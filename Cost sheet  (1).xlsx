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roducts" sheetId="1" r:id="rId5"/>
    <sheet state="visible" name="Sales Sheet" sheetId="2" r:id="rId6"/>
    <sheet state="visible" name="Sales Tracker" sheetId="3" r:id="rId7"/>
    <sheet state="visible" name="Ammo" sheetId="4" r:id="rId8"/>
    <sheet state="visible" name="Adding Totals" sheetId="5" r:id="rId9"/>
  </sheets>
  <definedNames>
    <definedName hidden="1" localSheetId="0" name="_xlnm._FilterDatabase">'Main Products'!$A$2:$AF$996</definedName>
  </definedNames>
  <calcPr/>
</workbook>
</file>

<file path=xl/sharedStrings.xml><?xml version="1.0" encoding="utf-8"?>
<sst xmlns="http://schemas.openxmlformats.org/spreadsheetml/2006/main" count="233" uniqueCount="216">
  <si>
    <t>Link</t>
  </si>
  <si>
    <t>DESCRIPTION</t>
  </si>
  <si>
    <t>$ Per RDS</t>
  </si>
  <si>
    <t>$ Per RDS Sold</t>
  </si>
  <si>
    <t>Sold $</t>
  </si>
  <si>
    <t>UNIT PRICE</t>
  </si>
  <si>
    <t>Tax RDS SOLD</t>
  </si>
  <si>
    <t>Tax RDS COST</t>
  </si>
  <si>
    <t>$ Made on Sale</t>
  </si>
  <si>
    <t>% Made</t>
  </si>
  <si>
    <t>500 9mm Remington Training</t>
  </si>
  <si>
    <t>@10%</t>
  </si>
  <si>
    <t>@15%</t>
  </si>
  <si>
    <t>RSR STOCK #</t>
  </si>
  <si>
    <t>UPC CODE</t>
  </si>
  <si>
    <t>Prior Sold $</t>
  </si>
  <si>
    <t>Retail Map</t>
  </si>
  <si>
    <t>MSRP</t>
  </si>
  <si>
    <t>Sell Price</t>
  </si>
  <si>
    <t>500 RDS .223 WOLF</t>
  </si>
  <si>
    <t>NW cost with TAX</t>
  </si>
  <si>
    <t>Credit Card Fee +TAX</t>
  </si>
  <si>
    <t>ADD Fees</t>
  </si>
  <si>
    <t>MAP+TAX</t>
  </si>
  <si>
    <t>Total Sale</t>
  </si>
  <si>
    <t>Online Sale Cost</t>
  </si>
  <si>
    <t>Sell Price -F&amp;F</t>
  </si>
  <si>
    <t>MAP Margin</t>
  </si>
  <si>
    <t>Margin Made $</t>
  </si>
  <si>
    <t>2 Margin Made $</t>
  </si>
  <si>
    <t xml:space="preserve"> HSEPS-CARRY-GR-MRS</t>
  </si>
  <si>
    <t>H-SUN EPS CARRY MRS GRN SOLAR ALUM</t>
  </si>
  <si>
    <t>TAX</t>
  </si>
  <si>
    <t>Shipping (Below $500 = $10)</t>
  </si>
  <si>
    <t>CMMG22BA6AE</t>
  </si>
  <si>
    <t>CMMG, AR Conversion Kit, 22LR</t>
  </si>
  <si>
    <t>EO552</t>
  </si>
  <si>
    <t xml:space="preserve">EOTech, 552 </t>
  </si>
  <si>
    <t>Total Cost</t>
  </si>
  <si>
    <t>Tax</t>
  </si>
  <si>
    <t>HSAEMS-211301</t>
  </si>
  <si>
    <t>AEMS SOLAR RED</t>
  </si>
  <si>
    <t>HSAEMS-PRO-X2-RD</t>
  </si>
  <si>
    <t xml:space="preserve">Holosun Technologies, AEMS X2 Pro, Red Dot, 2 MOA Dot with 65 MOA Circle, Fits 1913 Picatinny Rail, Lower 1/3 Mount, Black
</t>
  </si>
  <si>
    <t>HSARO-GD2</t>
  </si>
  <si>
    <t>H-SUN ARO ENCLOSED GLD 2MOA SIGHT</t>
  </si>
  <si>
    <t>N/A</t>
  </si>
  <si>
    <t>HSARO-GR2</t>
  </si>
  <si>
    <t>H-SUN ARO ENCLOSED GRN 2MOA SIGHT</t>
  </si>
  <si>
    <t>HSARO-MRS-GD</t>
  </si>
  <si>
    <t>H-SUN ARO ENCLOSED GLD MULTI-RETICLE</t>
  </si>
  <si>
    <t>HSARO-MRS-GR</t>
  </si>
  <si>
    <t>H-SUN ARO ENCLOSED GR MULTI-RETICLE</t>
  </si>
  <si>
    <t>HSARO-MRS-RD</t>
  </si>
  <si>
    <t>H-SUN ARO ENCLOSED RD MULTI-RETICLE</t>
  </si>
  <si>
    <t>HSARO-RD2</t>
  </si>
  <si>
    <t>H-SUN ARO ENCLOSED RED 2MOA SIGHT</t>
  </si>
  <si>
    <t>HSEPS-CARRY-GR-2</t>
  </si>
  <si>
    <t>H-SUN EPS CARRY 2 MOA GRN ALUM</t>
  </si>
  <si>
    <t>HSEPS-CARRY-RD-2</t>
  </si>
  <si>
    <t xml:space="preserve">Holosun Technologies, EPS Carry, Reflex Sight, 2 MOA Red Dot, Aluminum Housing, Matte Finish, Black
</t>
  </si>
  <si>
    <t>HSEPS-CARRY-RD-6</t>
  </si>
  <si>
    <t xml:space="preserve">Holosun Technologies, EPS Carry, Reflex Sight, 6 MOA Red Dot, Aluminum Housing, Matte Finish, Black
</t>
  </si>
  <si>
    <t>HSEPS-CARRY-RD-MRS</t>
  </si>
  <si>
    <t xml:space="preserve">Holosun Technologies, EPS Carry MRS, Reflex Sight, Multiple Reticle, 32 MOA Circle, 2 MOA Red Dot, Aluminum Housing, Matte Finish, Black, Solar with Internal Battery
</t>
  </si>
  <si>
    <t>HSEPS-GR-2</t>
  </si>
  <si>
    <t>H-SUN EPS 2 MOA GRN ALUM</t>
  </si>
  <si>
    <t>HSEPS-GR-MRS</t>
  </si>
  <si>
    <t>H-SUN EPS MRS GRN SOLAR ALUM</t>
  </si>
  <si>
    <t>HSEPS-RD-2</t>
  </si>
  <si>
    <t>Holosun Technologies, EPS, Reflex Sight, 2 MOA Red Dot, Aluminum Housing, Matte Finish, Black</t>
  </si>
  <si>
    <t>HSEPS-RD-6</t>
  </si>
  <si>
    <t xml:space="preserve">Holosun Technologies, EPS, Reflex Sight, 6 MOA Red Dot, Aluminum Housing, Matte Finish, Black
</t>
  </si>
  <si>
    <t>HSEPS-RD-MRS</t>
  </si>
  <si>
    <t xml:space="preserve">Holosun Technologies, EPS MRS, Reflex Sight, Multiple Reticle, 32 MOA Circle, 2 MOA Red Dot, Aluminum Housing, Matte Finish, Black, Solar with Internal Battery
</t>
  </si>
  <si>
    <t>HSHE508T-RD-X2</t>
  </si>
  <si>
    <t xml:space="preserve">Holosun Technologies, 508T-RD-X2, Red Dot, 32 MOA Ring &amp; 2 MOA Dot, Black Color, Side Battery, Solar Failsafe, Mount Not Included
</t>
  </si>
  <si>
    <t>HSHE509T-GR-X2</t>
  </si>
  <si>
    <t xml:space="preserve">Holosun Technologies, 509T X2 Green Dot, Multi-Reticle System (MRS) 32 MOA Circle and 2 MOA Dot, 2 MOA Dot, 32 MOA Circle Black, Solar Failsafe, Shake Awake, Black, Titanium, Includes RMR Adapter Plate (Not compatible with ZEV or Shadow Systems)
</t>
  </si>
  <si>
    <t>HSHE509T-RD-X2</t>
  </si>
  <si>
    <t xml:space="preserve">Holosun Technologies, 509T X2 Red Dot, Multi-Reticle System (MRS) 32 MOA Circle and 2 MOA Dot, 2 MOA Dot, 32 MOA Circle Black, Solar Failsafe, Shake Awake, Black, Titanium, Includes RMR Adapter Plate (Not compatible with ZEV or Shadow Systems)
</t>
  </si>
  <si>
    <t>HSHS407C-X2</t>
  </si>
  <si>
    <t xml:space="preserve">Holosun Technologies, 407C-X2, Red Dot, 2 MOA, Black, Side Battery, Solar Failsafe, Mount Not Included
</t>
  </si>
  <si>
    <t>HSHS407K-X2</t>
  </si>
  <si>
    <t xml:space="preserve">Holosun Technologies, 407K-X2, Red Dot, 6 MOA Dot, Black Color, Side Battery
</t>
  </si>
  <si>
    <t>HSHS507C-X2</t>
  </si>
  <si>
    <t xml:space="preserve">Holosun Technologies, 507C-X2, Red Dot, 32 MOA Ring &amp; 2 MOA Dot, Black Color, Side Battery, Solar Failsafe, Mount Not Included
</t>
  </si>
  <si>
    <t>HSHS507COMP</t>
  </si>
  <si>
    <t xml:space="preserve">Holosun Technologies, 507 Elite Competition, Red Dot, MRS Reticle (2 MOA Dot with 8/20/32 MOA Circle), 1.1"x0.87" Objective Lens, Matte, Black
</t>
  </si>
  <si>
    <t>HSHS507K-X2</t>
  </si>
  <si>
    <t xml:space="preserve">Holosun Technologies, 507K-X2, Red Dot, 32 MOA Ring &amp; 2 MOA Dot, Black Color
</t>
  </si>
  <si>
    <t>HSHS510C-FDE</t>
  </si>
  <si>
    <t xml:space="preserve">Holosun Technologies, HS510C, Reflex Sight, Multiple Reticle, 65 MOA Circle, 2 MOA Red Dot, Aluminum Housing, Matte Finish, Flat Dark Earth, Solar with Internal Battery
</t>
  </si>
  <si>
    <t>HSIRIS-GR1</t>
  </si>
  <si>
    <t>Holosun Technologies, IRIS 1, Rifle Laser System, Green Laser, Fits Picatinny, Remote Activated Button, Anodized Finish, Black</t>
  </si>
  <si>
    <t>HSIRIS-GR2</t>
  </si>
  <si>
    <t xml:space="preserve">Holosun Technologies, IRIS 2, Rifle Laser/Infrared System, Green/IR Laser, Fits Picatinny, Remote Activated Button, Anodized Finish, Black
</t>
  </si>
  <si>
    <t>HSIRIS-GR3</t>
  </si>
  <si>
    <t>Holosun Technologies, IRIS 3, Triple Function, Rifle Illuminator &amp; Laser/Infrared System, Green/IR Laser, IR Illuminator, Fits Picatinny, Remote Dual Activated Button, Anodized Finish, Black</t>
  </si>
  <si>
    <t>HSIRIS-GR4</t>
  </si>
  <si>
    <t>Holosun Technologies, IRIS 4, Quad Function, Rifle Illuminator &amp; Laser/Infrared System with White Light, Red Vis/IR Laser, 45mW IR Illuminator, 1,000 Lumen White Light, Fits Picatinny, Remote Triple Activated Button, Anodized Finish, Black</t>
  </si>
  <si>
    <t>HSIRIS-IR1</t>
  </si>
  <si>
    <t>Holosun Technologies, IRIS 1, Rifle Infrared System, IR Laser, Fits Picatinny, Remote Activated Button, Anodized Finish, Black</t>
  </si>
  <si>
    <t>HSIRIS-RD2</t>
  </si>
  <si>
    <t>Holosun Technologies, IRIS 2, Rifle Laser/Infrared System, Red/IR Laser, Fits Picatinny, Remote Activated Button, Anodized Finish, Black</t>
  </si>
  <si>
    <t>HSIRIS-RD3</t>
  </si>
  <si>
    <t>Holosun Technologies, IRIS 3, Triple Function, Rifle Illuminator &amp; Laser/Infrared System, Red/IR Laser, IR Illuminator, Fits Picatinny, Remote Dual Activated Button, Anodized Finish, Black</t>
  </si>
  <si>
    <t>HSIRIS-RD4</t>
  </si>
  <si>
    <t>HSLE221-GR-IR</t>
  </si>
  <si>
    <t xml:space="preserve">Holosun Technologies, LE221, Green Laser w/IR, Fits 1913 Picatinny Rail, Matte Finish, Black, Includes Remote Switch
</t>
  </si>
  <si>
    <t>HSLE420-GR</t>
  </si>
  <si>
    <t xml:space="preserve">Holosun Technologies, LE420, Green Visible and IR Laser w/IR Illuminator, Fits 1913 Picatinny Rail, Matte Finish, Black, Includes Remote Switch
</t>
  </si>
  <si>
    <t>HSP-ID-DUAL</t>
  </si>
  <si>
    <t xml:space="preserve">Holosun Technologies, Holosun P.ID, Weapon Light Laser Combo, 1000 LumenIR Illuminator, Green Laser, Fits Picatinny or Pistol, Anodized Finish, Black
</t>
  </si>
  <si>
    <t>HSP-ID-PRO</t>
  </si>
  <si>
    <t xml:space="preserve">Holosun Technologies, P.ID-Pro, Weapon Mounted Light/Laser, IR and Visible Green Laser, 350mW IR Illuminator, 1000 Lumen LED, Fits Picatinny or Pistol, Anodized Finish, Black
</t>
  </si>
  <si>
    <t>HSPTPC-TRMP-MP2-2-3-MC</t>
  </si>
  <si>
    <t>Thorax, Triple Rifle Mag Placard</t>
  </si>
  <si>
    <t>HSRONIN-EPS-CARRYGRMRS</t>
  </si>
  <si>
    <t>H-SUN RONIN EPS CARRY GREEN DOT MRS</t>
  </si>
  <si>
    <t>HSSCRS-RD-2</t>
  </si>
  <si>
    <t xml:space="preserve">Holosun Technologies, SCRS, Red Dot Sight, Non-Magnified, Fits 509T Footprint, Red 2 MOA Dot, Matte Finish, Black, Solar with 2032 Battery
</t>
  </si>
  <si>
    <t>HSSCRS-RD-MRS</t>
  </si>
  <si>
    <t xml:space="preserve">Holosun Technologies, SCRS, Red Dot Sight, Non-Magnified, Fits 509T Footprint, Red Ring &amp; 2 MOA Dot, Matte Finish, Black, Solar with 2032 Battery
</t>
  </si>
  <si>
    <t>MGASC223-5RD-SS</t>
  </si>
  <si>
    <t xml:space="preserve">Ammunition Storage Components, Magazine, 223 Rem, Fits AR-15, 5Rd, Stainless, Black, Orange Follower
</t>
  </si>
  <si>
    <t>MGASC223-5RD-SS-B</t>
  </si>
  <si>
    <t xml:space="preserve">Ammunition Storage Components, Ammunition Storage Components, Magazine, 223 Remington/556NATO, 5 Rounds, Fits AR Rifles, Stainless, Black Follower, Black
</t>
  </si>
  <si>
    <t>MGMPI1013BLK</t>
  </si>
  <si>
    <t xml:space="preserve">MAGPUL PMAG FOR CZ SCORPION 35RD BLK
</t>
  </si>
  <si>
    <t>MGMPI1182BLK</t>
  </si>
  <si>
    <t>MAGPUL PMAG 20 AR 300 B GEN M3 BLK</t>
  </si>
  <si>
    <t>MGMPI233BLK</t>
  </si>
  <si>
    <t>MAGPUL PMAG M3 5.56 40RD BLK</t>
  </si>
  <si>
    <t>MGMPI559BLK</t>
  </si>
  <si>
    <t xml:space="preserve">Magpul Industries, Magazine, PMAG 10 AR4 GEN M3, 223 Remington/556NATO, 10 Round, Fits AR Rifles, Black
</t>
  </si>
  <si>
    <t>MGMPI576BLK</t>
  </si>
  <si>
    <t>MAGPUL PMAG D-60 5.56 60RD BLK</t>
  </si>
  <si>
    <t>MGMPI662BLK</t>
  </si>
  <si>
    <t>MAGPUL PMAG FOR GLOCK 17 27RD BLK</t>
  </si>
  <si>
    <t>MGMPI800BLK</t>
  </si>
  <si>
    <t>MAGPUL PMAG M3 300BLK 30RD BLK</t>
  </si>
  <si>
    <t>MGRUG90428</t>
  </si>
  <si>
    <t xml:space="preserve">Ruger, Magazine, 556NATO, 5 Rounds, Fits SR-556, Steel, Blued Finish
</t>
  </si>
  <si>
    <t>Brax</t>
  </si>
  <si>
    <t>Per Unit Cost</t>
  </si>
  <si>
    <t>Cost * Units</t>
  </si>
  <si>
    <t>Cost*%</t>
  </si>
  <si>
    <t xml:space="preserve">Complete </t>
  </si>
  <si>
    <t>Shipping</t>
  </si>
  <si>
    <t>Free over $500</t>
  </si>
  <si>
    <t>Magpul Sig scoripion Mags</t>
  </si>
  <si>
    <t>D3 sling MC</t>
  </si>
  <si>
    <t>Brett Miller</t>
  </si>
  <si>
    <t>MPIMAG514-COY</t>
  </si>
  <si>
    <t>Magpul Industries, MS3 Sling, Gen 2, Coyote Brown</t>
  </si>
  <si>
    <t>Holosun EPS MRS (Full Size with Solar)</t>
  </si>
  <si>
    <t>MXM-48036</t>
  </si>
  <si>
    <t>Matt Castle</t>
  </si>
  <si>
    <t>Magpul 300 blk- 30 rd</t>
  </si>
  <si>
    <t>Maxim Defense Industries, Picatinny Rail Stock, PDW Style, Anodized Finish, Black, Fits Picatinny</t>
  </si>
  <si>
    <t>Magpul 300 blk - 20 rd</t>
  </si>
  <si>
    <t>Holosun AEMS Solar X2 Pro</t>
  </si>
  <si>
    <t>SFDS-SR07</t>
  </si>
  <si>
    <t xml:space="preserve">Surefire, Remote Switch, Scoutlight, Dual Sw/Tail Cap Assy For M6XX Scoutlight Series, Includes SR07 Rail Tape Switch, Black
</t>
  </si>
  <si>
    <t>Rem</t>
  </si>
  <si>
    <t>PMAG - 40</t>
  </si>
  <si>
    <t>PSNS-21R</t>
  </si>
  <si>
    <t>Drews Guy</t>
  </si>
  <si>
    <t>SFDS00-TN</t>
  </si>
  <si>
    <t xml:space="preserve">Surefire, DS00, Waterproof Switch Assembly For Scout Light (Not Compatible with Micro Scout Light Pro), Pressure Pad Not Included, Tan
</t>
  </si>
  <si>
    <t>Total</t>
  </si>
  <si>
    <t>SFDS07</t>
  </si>
  <si>
    <t xml:space="preserve">Surefire, Part, Scoutlight, Includes A Click On/Off Pushbutton Switch And ST07 Switch Assembly With 7" Plug-In Momentary-On Remote Tape Switch, Black
</t>
  </si>
  <si>
    <t>SFDS07-TN</t>
  </si>
  <si>
    <t xml:space="preserve">Surefire, DS07, Waterproof Switch Assembly For Scout Light, 7" Tape Switch Included, Tan
</t>
  </si>
  <si>
    <t>SFM340C-BK-PRO</t>
  </si>
  <si>
    <t>SUREFIRE M340C SCOUT PRO 500 LUM BLK</t>
  </si>
  <si>
    <t>SFM340C-TN-PRO</t>
  </si>
  <si>
    <t>SUREFIRE M340C SCOUT PRO 500 LUM TAN</t>
  </si>
  <si>
    <t>SFM340DFT-BK-PRO</t>
  </si>
  <si>
    <t>SUREFIRE SCOUT LIGHT TURBO 18350/123</t>
  </si>
  <si>
    <t>SFM340DFT-TN-PRO</t>
  </si>
  <si>
    <t>SUREFIRE SCOUT LIGHT TURBO 18350 TAN</t>
  </si>
  <si>
    <t>SFM340V-BK-PRO</t>
  </si>
  <si>
    <t>SUREFIRE M340V SCOUT PRO VAMPIRE BLK</t>
  </si>
  <si>
    <t>SFM340V-TN-PRO</t>
  </si>
  <si>
    <t>SUREFIRE M340V SCOUT PRO VAMPIRE TAN</t>
  </si>
  <si>
    <t>SFM640DF-BK-PRO</t>
  </si>
  <si>
    <t>SUREFIRE M640DF SCOUT PRO 1500LM BK</t>
  </si>
  <si>
    <t>SFM640DF-TN-PRO</t>
  </si>
  <si>
    <t xml:space="preserve"> SUREFIRE M640DF SCOUT PRO 1500LM TN</t>
  </si>
  <si>
    <t>SFM640DFT-BK-PRO</t>
  </si>
  <si>
    <t>SUREFIRE SCOUT LIGHT TURBO 18650/123</t>
  </si>
  <si>
    <t>SFM640DFT-TN-PRO</t>
  </si>
  <si>
    <t>SUREFIRE SCOUT LIGHT TURBO 18650 TAN</t>
  </si>
  <si>
    <t>SFM640U-BK-PRO</t>
  </si>
  <si>
    <t>SUREFIRE M640U SCOUT PRO 1000LUM BK</t>
  </si>
  <si>
    <t>SFM640U-TN-PRO</t>
  </si>
  <si>
    <t>SUREFIRE M640U SCOUT PRO 1000LUM TN</t>
  </si>
  <si>
    <t>SFM640V-BK-PRO</t>
  </si>
  <si>
    <t>SUREFIRE M640V SCOUT PRO VAMPIRE BK</t>
  </si>
  <si>
    <t>SFM640V-TN-PRO</t>
  </si>
  <si>
    <t>SUREFIRE M640V SCOUT PRO VAMPIRE TN</t>
  </si>
  <si>
    <t>SFXC3-A</t>
  </si>
  <si>
    <t>Surefire, XC3-A, Weapon Light, Fits Universal and Picatinny Accessory Rails, 550 Lumens, Aluminum Construction, Anodized Finish, Black</t>
  </si>
  <si>
    <t>SFZ68</t>
  </si>
  <si>
    <t xml:space="preserve">Surefire, Z68 TailCap, Fits Scout Light Weapon Lights, Protective Rear Cap Assembly, Black
</t>
  </si>
  <si>
    <t>SGSOTM11002</t>
  </si>
  <si>
    <t>Sig Tango MSR 1-10X26 FFP MSR-BDC 10</t>
  </si>
  <si>
    <t>STL69400</t>
  </si>
  <si>
    <t xml:space="preserve">Streamlight, TLR-7X Sub Weaponlight, 500 Lumens, Black, Fits Glock 43X/48
</t>
  </si>
  <si>
    <t>UTYAXNS-SI7B</t>
  </si>
  <si>
    <t>AXON SYNC 7"</t>
  </si>
  <si>
    <t>UTYSPK-IV1</t>
  </si>
  <si>
    <t>Unity Spark Light 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</si>
</sst>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(&quot;$&quot;* #,##0.00_);_(&quot;$&quot;* \(#,##0.00\);_(&quot;$&quot;* &quot;-&quot;??_);_(@_)"/>
  </numFmts>
  <fonts count="37">
    <font>
      <sz val="10.0"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  <scheme val="minor"/>
    </font>
    <font>
      <b/>
      <color theme="1"/>
      <name val="Arial"/>
      <scheme val="minor"/>
    </font>
    <font>
      <b/>
      <u/>
      <color rgb="FF000000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color rgb="FF333333"/>
      <name val="Arial"/>
    </font>
    <font>
      <u/>
      <color theme="1"/>
      <name val="Arial"/>
    </font>
    <font>
      <color rgb="FF333333"/>
      <name val="Helvetica Neue"/>
    </font>
    <font>
      <sz val="10.0"/>
      <color rgb="FF333333"/>
      <name val="Arial"/>
      <scheme val="minor"/>
    </font>
    <font>
      <sz val="10.0"/>
      <color rgb="FF000000"/>
      <name val="Arial"/>
    </font>
    <font>
      <sz val="10.0"/>
      <color rgb="FF333333"/>
      <name val="&quot;Helvetica Neue&quot;"/>
    </font>
    <font>
      <b/>
      <sz val="10.0"/>
      <color rgb="FF000000"/>
      <name val="AgencyFB"/>
    </font>
    <font>
      <u/>
      <sz val="10.0"/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  <fill>
      <patternFill patternType="solid">
        <fgColor rgb="FFFDFDFD"/>
        <bgColor rgb="FFFDFDFD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0" fillId="2" fontId="7" numFmtId="164" xfId="0" applyAlignment="1" applyFill="1" applyFont="1" applyNumberFormat="1">
      <alignment horizontal="center" readingOrder="0"/>
    </xf>
    <xf borderId="1" fillId="0" fontId="8" numFmtId="10" xfId="0" applyAlignment="1" applyBorder="1" applyFont="1" applyNumberFormat="1">
      <alignment horizontal="center" readingOrder="0"/>
    </xf>
    <xf borderId="0" fillId="3" fontId="9" numFmtId="9" xfId="0" applyAlignment="1" applyFill="1" applyFont="1" applyNumberFormat="1">
      <alignment horizontal="center" readingOrder="0"/>
    </xf>
    <xf borderId="1" fillId="4" fontId="10" numFmtId="0" xfId="0" applyAlignment="1" applyBorder="1" applyFill="1" applyFont="1">
      <alignment horizontal="center" readingOrder="0"/>
    </xf>
    <xf borderId="1" fillId="0" fontId="11" numFmtId="10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1" numFmtId="164" xfId="0" applyAlignment="1" applyBorder="1" applyFont="1" applyNumberFormat="1">
      <alignment horizontal="center" readingOrder="0"/>
    </xf>
    <xf borderId="0" fillId="0" fontId="11" numFmtId="164" xfId="0" applyAlignment="1" applyFont="1" applyNumberFormat="1">
      <alignment horizontal="center" readingOrder="0"/>
    </xf>
    <xf borderId="1" fillId="0" fontId="11" numFmtId="165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shrinkToFit="0" wrapText="1"/>
    </xf>
    <xf borderId="0" fillId="0" fontId="11" numFmtId="0" xfId="0" applyAlignment="1" applyFont="1">
      <alignment horizontal="center"/>
    </xf>
    <xf borderId="1" fillId="0" fontId="12" numFmtId="0" xfId="0" applyAlignment="1" applyBorder="1" applyFont="1">
      <alignment horizontal="center" readingOrder="0" shrinkToFit="0" wrapText="1"/>
    </xf>
    <xf borderId="1" fillId="0" fontId="13" numFmtId="0" xfId="0" applyAlignment="1" applyBorder="1" applyFont="1">
      <alignment horizontal="center" shrinkToFit="0" vertical="bottom" wrapText="1"/>
    </xf>
    <xf borderId="1" fillId="2" fontId="14" numFmtId="164" xfId="0" applyAlignment="1" applyBorder="1" applyFill="1" applyFont="1" applyNumberFormat="1">
      <alignment horizontal="center" readingOrder="0"/>
    </xf>
    <xf borderId="0" fillId="0" fontId="11" numFmtId="10" xfId="0" applyAlignment="1" applyFont="1" applyNumberFormat="1">
      <alignment horizontal="center" shrinkToFit="0" wrapText="1"/>
    </xf>
    <xf borderId="1" fillId="3" fontId="15" numFmtId="164" xfId="0" applyAlignment="1" applyBorder="1" applyFill="1" applyFont="1" applyNumberFormat="1">
      <alignment horizontal="center" readingOrder="0"/>
    </xf>
    <xf borderId="1" fillId="0" fontId="16" numFmtId="164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horizontal="center" shrinkToFit="0" wrapText="1"/>
    </xf>
    <xf borderId="1" fillId="0" fontId="18" numFmtId="0" xfId="0" applyAlignment="1" applyBorder="1" applyFont="1">
      <alignment horizontal="center" readingOrder="0"/>
    </xf>
    <xf borderId="1" fillId="0" fontId="19" numFmtId="165" xfId="0" applyAlignment="1" applyBorder="1" applyFont="1" applyNumberFormat="1">
      <alignment horizontal="center" readingOrder="0"/>
    </xf>
    <xf borderId="1" fillId="0" fontId="20" numFmtId="164" xfId="0" applyAlignment="1" applyBorder="1" applyFont="1" applyNumberFormat="1">
      <alignment horizontal="center" shrinkToFit="0" wrapText="1"/>
    </xf>
    <xf borderId="1" fillId="0" fontId="11" numFmtId="0" xfId="0" applyAlignment="1" applyBorder="1" applyFont="1">
      <alignment horizontal="center"/>
    </xf>
    <xf borderId="1" fillId="4" fontId="2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shrinkToFit="0" wrapText="1"/>
    </xf>
    <xf borderId="1" fillId="0" fontId="22" numFmtId="0" xfId="0" applyAlignment="1" applyBorder="1" applyFont="1">
      <alignment horizontal="center" vertical="bottom"/>
    </xf>
    <xf borderId="1" fillId="0" fontId="23" numFmtId="164" xfId="0" applyAlignment="1" applyBorder="1" applyFont="1" applyNumberFormat="1">
      <alignment horizontal="center" vertical="bottom"/>
    </xf>
    <xf borderId="1" fillId="0" fontId="11" numFmtId="0" xfId="0" applyAlignment="1" applyBorder="1" applyFont="1">
      <alignment horizontal="center" readingOrder="0" shrinkToFit="0" wrapText="1"/>
    </xf>
    <xf borderId="1" fillId="0" fontId="11" numFmtId="164" xfId="0" applyAlignment="1" applyBorder="1" applyFont="1" applyNumberFormat="1">
      <alignment horizontal="center" shrinkToFit="0" wrapText="1"/>
    </xf>
    <xf borderId="1" fillId="5" fontId="11" numFmtId="165" xfId="0" applyAlignment="1" applyBorder="1" applyFill="1" applyFont="1" applyNumberFormat="1">
      <alignment horizontal="center" readingOrder="0"/>
    </xf>
    <xf borderId="1" fillId="3" fontId="24" numFmtId="164" xfId="0" applyAlignment="1" applyBorder="1" applyFill="1" applyFont="1" applyNumberFormat="1">
      <alignment horizontal="center" readingOrder="0"/>
    </xf>
    <xf borderId="1" fillId="0" fontId="11" numFmtId="164" xfId="0" applyAlignment="1" applyBorder="1" applyFont="1" applyNumberFormat="1">
      <alignment horizontal="center"/>
    </xf>
    <xf borderId="1" fillId="0" fontId="25" numFmtId="0" xfId="0" applyAlignment="1" applyBorder="1" applyFont="1">
      <alignment horizontal="center" readingOrder="0"/>
    </xf>
    <xf borderId="1" fillId="2" fontId="11" numFmtId="164" xfId="0" applyAlignment="1" applyBorder="1" applyFill="1" applyFont="1" applyNumberFormat="1">
      <alignment horizontal="center" readingOrder="0"/>
    </xf>
    <xf borderId="1" fillId="0" fontId="26" numFmtId="0" xfId="0" applyAlignment="1" applyBorder="1" applyFont="1">
      <alignment horizontal="center" readingOrder="0"/>
    </xf>
    <xf borderId="1" fillId="3" fontId="11" numFmtId="165" xfId="0" applyAlignment="1" applyBorder="1" applyFill="1" applyFont="1" applyNumberFormat="1">
      <alignment horizontal="center" readingOrder="0"/>
    </xf>
    <xf borderId="1" fillId="0" fontId="27" numFmtId="0" xfId="0" applyAlignment="1" applyBorder="1" applyFont="1">
      <alignment horizontal="center" shrinkToFit="0" vertical="bottom" wrapText="1"/>
    </xf>
    <xf borderId="1" fillId="0" fontId="27" numFmtId="164" xfId="0" applyAlignment="1" applyBorder="1" applyFont="1" applyNumberFormat="1">
      <alignment horizontal="center" vertical="bottom"/>
    </xf>
    <xf borderId="1" fillId="0" fontId="27" numFmtId="164" xfId="0" applyAlignment="1" applyBorder="1" applyFont="1" applyNumberFormat="1">
      <alignment horizontal="center" readingOrder="0" vertical="bottom"/>
    </xf>
    <xf borderId="1" fillId="3" fontId="11" numFmtId="164" xfId="0" applyAlignment="1" applyBorder="1" applyFill="1" applyFont="1" applyNumberFormat="1">
      <alignment horizontal="center" readingOrder="0"/>
    </xf>
    <xf borderId="1" fillId="0" fontId="11" numFmtId="165" xfId="0" applyAlignment="1" applyBorder="1" applyFont="1" applyNumberFormat="1">
      <alignment horizontal="center"/>
    </xf>
    <xf borderId="1" fillId="0" fontId="11" numFmtId="164" xfId="0" applyAlignment="1" applyBorder="1" applyFont="1" applyNumberFormat="1">
      <alignment horizontal="center"/>
    </xf>
    <xf borderId="1" fillId="0" fontId="11" numFmtId="0" xfId="0" applyAlignment="1" applyBorder="1" applyFont="1">
      <alignment horizontal="center"/>
    </xf>
    <xf borderId="1" fillId="0" fontId="11" numFmtId="10" xfId="0" applyAlignment="1" applyBorder="1" applyFont="1" applyNumberFormat="1">
      <alignment horizontal="center"/>
    </xf>
    <xf borderId="1" fillId="0" fontId="27" numFmtId="0" xfId="0" applyAlignment="1" applyBorder="1" applyFont="1">
      <alignment horizontal="center" vertical="bottom"/>
    </xf>
    <xf borderId="0" fillId="0" fontId="11" numFmtId="164" xfId="0" applyAlignment="1" applyFont="1" applyNumberFormat="1">
      <alignment horizontal="center"/>
    </xf>
    <xf borderId="0" fillId="0" fontId="11" numFmtId="165" xfId="0" applyAlignment="1" applyFont="1" applyNumberFormat="1">
      <alignment horizontal="center"/>
    </xf>
    <xf borderId="0" fillId="0" fontId="11" numFmtId="10" xfId="0" applyAlignment="1" applyFont="1" applyNumberFormat="1">
      <alignment horizontal="center"/>
    </xf>
    <xf borderId="1" fillId="4" fontId="27" numFmtId="0" xfId="0" applyAlignment="1" applyBorder="1" applyFill="1" applyFont="1">
      <alignment horizontal="center" shrinkToFit="0" vertical="bottom" wrapText="1"/>
    </xf>
    <xf borderId="1" fillId="4" fontId="28" numFmtId="0" xfId="0" applyAlignment="1" applyBorder="1" applyFill="1" applyFont="1">
      <alignment horizontal="center" shrinkToFit="0" vertical="bottom" wrapText="1"/>
    </xf>
    <xf borderId="1" fillId="6" fontId="11" numFmtId="165" xfId="0" applyAlignment="1" applyBorder="1" applyFill="1" applyFont="1" applyNumberFormat="1">
      <alignment horizontal="center"/>
    </xf>
    <xf borderId="1" fillId="4" fontId="29" numFmtId="0" xfId="0" applyAlignment="1" applyBorder="1" applyFill="1" applyFont="1">
      <alignment horizontal="center" shrinkToFit="0" vertical="bottom" wrapText="1"/>
    </xf>
    <xf borderId="1" fillId="4" fontId="30" numFmtId="0" xfId="0" applyAlignment="1" applyBorder="1" applyFill="1" applyFont="1">
      <alignment horizontal="center" shrinkToFit="0" vertical="bottom" wrapText="1"/>
    </xf>
    <xf borderId="1" fillId="3" fontId="11" numFmtId="164" xfId="0" applyAlignment="1" applyBorder="1" applyFill="1" applyFont="1" applyNumberFormat="1">
      <alignment horizontal="center"/>
    </xf>
    <xf borderId="1" fillId="7" fontId="27" numFmtId="0" xfId="0" applyAlignment="1" applyBorder="1" applyFill="1" applyFont="1">
      <alignment horizontal="center" shrinkToFit="0" vertical="bottom" wrapText="1"/>
    </xf>
    <xf borderId="1" fillId="4" fontId="0" numFmtId="0" xfId="0" applyAlignment="1" applyBorder="1" applyFill="1" applyFont="1">
      <alignment horizontal="center" readingOrder="0" shrinkToFit="0" wrapText="1"/>
    </xf>
    <xf borderId="1" fillId="4" fontId="0" numFmtId="0" xfId="0" applyAlignment="1" applyBorder="1" applyFill="1" applyFont="1">
      <alignment horizontal="center" readingOrder="0"/>
    </xf>
    <xf borderId="1" fillId="4" fontId="31" numFmtId="0" xfId="0" applyAlignment="1" applyBorder="1" applyFill="1" applyFont="1">
      <alignment horizontal="center" readingOrder="0" shrinkToFit="0" wrapText="1"/>
    </xf>
    <xf borderId="1" fillId="0" fontId="27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readingOrder="0"/>
    </xf>
    <xf borderId="1" fillId="4" fontId="31" numFmtId="0" xfId="0" applyAlignment="1" applyBorder="1" applyFill="1" applyFont="1">
      <alignment readingOrder="0" shrinkToFit="0" wrapText="1"/>
    </xf>
    <xf borderId="1" fillId="0" fontId="27" numFmtId="0" xfId="0" applyAlignment="1" applyBorder="1" applyFont="1">
      <alignment horizontal="center" shrinkToFit="0" vertical="bottom" wrapText="1"/>
    </xf>
    <xf borderId="1" fillId="0" fontId="27" numFmtId="164" xfId="0" applyAlignment="1" applyBorder="1" applyFont="1" applyNumberFormat="1">
      <alignment horizontal="center" vertical="bottom"/>
    </xf>
    <xf borderId="1" fillId="2" fontId="27" numFmtId="164" xfId="0" applyAlignment="1" applyBorder="1" applyFill="1" applyFont="1" applyNumberFormat="1">
      <alignment horizontal="center" vertical="bottom"/>
    </xf>
    <xf borderId="0" fillId="0" fontId="18" numFmtId="164" xfId="0" applyAlignment="1" applyFont="1" applyNumberForma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8" fontId="11" numFmtId="164" xfId="0" applyAlignment="1" applyFill="1" applyFont="1" applyNumberFormat="1">
      <alignment horizontal="center"/>
    </xf>
    <xf borderId="0" fillId="3" fontId="11" numFmtId="164" xfId="0" applyAlignment="1" applyFill="1" applyFont="1" applyNumberFormat="1">
      <alignment horizontal="center"/>
    </xf>
    <xf borderId="1" fillId="4" fontId="32" numFmtId="0" xfId="0" applyAlignment="1" applyBorder="1" applyFill="1" applyFont="1">
      <alignment horizontal="center" readingOrder="0" shrinkToFit="0" wrapText="1"/>
    </xf>
    <xf borderId="1" fillId="4" fontId="32" numFmtId="0" xfId="0" applyAlignment="1" applyBorder="1" applyFill="1" applyFont="1">
      <alignment horizontal="center" readingOrder="0"/>
    </xf>
    <xf borderId="1" fillId="4" fontId="33" numFmtId="0" xfId="0" applyAlignment="1" applyBorder="1" applyFill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1" fillId="7" fontId="10" numFmtId="0" xfId="0" applyAlignment="1" applyBorder="1" applyFill="1" applyFont="1">
      <alignment horizontal="center" readingOrder="0"/>
    </xf>
    <xf borderId="1" fillId="4" fontId="34" numFmtId="0" xfId="0" applyAlignment="1" applyBorder="1" applyFill="1" applyFont="1">
      <alignment horizontal="center" readingOrder="0"/>
    </xf>
    <xf borderId="1" fillId="4" fontId="35" numFmtId="0" xfId="0" applyAlignment="1" applyBorder="1" applyFill="1" applyFont="1">
      <alignment horizontal="center" readingOrder="0" shrinkToFit="0" wrapText="1"/>
    </xf>
    <xf borderId="1" fillId="4" fontId="36" numFmtId="0" xfId="0" applyAlignment="1" applyBorder="1" applyFill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wrapText="1"/>
    </xf>
    <xf borderId="1" fillId="2" fontId="11" numFmtId="164" xfId="0" applyAlignment="1" applyBorder="1" applyFill="1" applyFont="1" applyNumberFormat="1">
      <alignment horizontal="center"/>
    </xf>
    <xf borderId="0" fillId="0" fontId="27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2">
    <tableStyle count="3" pivot="0" name="Sales Tracker-style">
      <tableStyleElement dxfId="1" type="headerRow"/>
      <tableStyleElement dxfId="2" type="firstRowStripe"/>
      <tableStyleElement dxfId="3" type="secondRowStripe"/>
    </tableStyle>
    <tableStyle count="3" pivot="0" name="Sales She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998" displayName="Table_1" name="Table_1" id="2">
  <tableColumns count="8">
    <tableColumn name="RSR STOCK #" id="1"/>
    <tableColumn name="UPC CODE" id="2"/>
    <tableColumn name="DESCRIPTION" id="3"/>
    <tableColumn name="Retail Map" id="4"/>
    <tableColumn name="MSRP" id="5"/>
    <tableColumn name="Sell Price" id="6"/>
    <tableColumn name="TAX" id="7"/>
    <tableColumn name="Shipping (Below $500 = $10)" id="8"/>
  </tableColumns>
  <tableStyleInfo name="Sales Sheet-style" showColumnStripes="0" showFirstColumn="1" showLastColumn="1" showRowStripes="1"/>
</table>
</file>

<file path=xl/tables/table2.xml><?xml version="1.0" encoding="utf-8"?>
<table xmlns="http://schemas.openxmlformats.org/spreadsheetml/2006/main" ref="A3:H1002" displayName="Table_2" name="Table_2" id="1">
  <tableColumns count="8">
    <tableColumn name="RSR STOCK #" id="1"/>
    <tableColumn name="UPC CODE" id="2"/>
    <tableColumn name="DESCRIPTION" id="3"/>
    <tableColumn name="Quanity" id="4"/>
    <tableColumn name="Price Sold" id="5"/>
    <tableColumn name="Option Price" id="6"/>
    <tableColumn name="Sales Commision" id="7"/>
    <tableColumn name="Salesman" id="8"/>
  </tableColumns>
  <tableStyleInfo name="Sales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3.13"/>
    <col customWidth="1" min="2" max="2" width="12.13"/>
    <col customWidth="1" min="3" max="3" width="39.5"/>
    <col customWidth="1" min="4" max="4" width="12.88"/>
    <col customWidth="1" min="5" max="5" width="13.0"/>
    <col customWidth="1" min="6" max="6" width="11.88"/>
    <col customWidth="1" min="7" max="7" width="8.38"/>
    <col customWidth="1" min="8" max="8" width="11.0"/>
    <col customWidth="1" min="9" max="9" width="18.5"/>
    <col customWidth="1" min="10" max="10" width="21.5"/>
    <col customWidth="1" min="11" max="12" width="12.25"/>
    <col customWidth="1" min="13" max="13" width="17.63"/>
    <col customWidth="1" min="14" max="15" width="16.13"/>
    <col customWidth="1" min="16" max="16" width="14.0"/>
    <col customWidth="1" min="17" max="17" width="16.0"/>
    <col customWidth="1" min="18" max="18" width="17.38"/>
  </cols>
  <sheetData>
    <row r="1">
      <c r="A1" s="2"/>
      <c r="B1" s="3"/>
      <c r="C1" s="2"/>
      <c r="D1" s="5"/>
      <c r="E1" s="5"/>
      <c r="F1" s="7"/>
      <c r="G1" s="5"/>
      <c r="H1" s="9"/>
      <c r="I1" s="11">
        <v>0.06</v>
      </c>
      <c r="J1" s="11">
        <v>0.03</v>
      </c>
      <c r="K1" s="11"/>
      <c r="L1" s="11"/>
      <c r="M1" s="11"/>
      <c r="N1" s="11">
        <v>0.1</v>
      </c>
      <c r="O1" s="11">
        <v>0.15</v>
      </c>
      <c r="P1" s="11"/>
      <c r="Q1" s="15" t="s">
        <v>11</v>
      </c>
      <c r="R1" s="15" t="s">
        <v>12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</row>
    <row r="2">
      <c r="A2" s="18" t="s">
        <v>13</v>
      </c>
      <c r="B2" s="1" t="s">
        <v>14</v>
      </c>
      <c r="C2" s="18" t="s">
        <v>1</v>
      </c>
      <c r="D2" s="4" t="s">
        <v>15</v>
      </c>
      <c r="E2" s="4" t="s">
        <v>5</v>
      </c>
      <c r="F2" s="20" t="s">
        <v>16</v>
      </c>
      <c r="G2" s="4" t="s">
        <v>17</v>
      </c>
      <c r="H2" s="22" t="s">
        <v>18</v>
      </c>
      <c r="I2" s="6" t="s">
        <v>20</v>
      </c>
      <c r="J2" s="6" t="s">
        <v>21</v>
      </c>
      <c r="K2" s="6" t="s">
        <v>22</v>
      </c>
      <c r="L2" s="6" t="s">
        <v>23</v>
      </c>
      <c r="M2" s="26" t="s">
        <v>25</v>
      </c>
      <c r="N2" s="6" t="s">
        <v>26</v>
      </c>
      <c r="O2" s="6" t="s">
        <v>26</v>
      </c>
      <c r="P2" s="6" t="s">
        <v>27</v>
      </c>
      <c r="Q2" s="6" t="s">
        <v>28</v>
      </c>
      <c r="R2" s="6" t="s">
        <v>29</v>
      </c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</row>
    <row r="3">
      <c r="A3" s="33" t="s">
        <v>30</v>
      </c>
      <c r="B3" s="12">
        <v>8.10047071594E11</v>
      </c>
      <c r="C3" s="33" t="s">
        <v>31</v>
      </c>
      <c r="D3" s="37"/>
      <c r="E3" s="13">
        <v>339.69</v>
      </c>
      <c r="F3" s="39">
        <v>429.99</v>
      </c>
      <c r="G3" s="13">
        <v>505.87</v>
      </c>
      <c r="H3" s="45">
        <f>IFERROR((E3*$N$1)+E3, "")</f>
        <v>373.659</v>
      </c>
      <c r="I3" s="46">
        <f t="shared" ref="I3:I6" si="1">($I$1*E3)+E3</f>
        <v>360.0714</v>
      </c>
      <c r="J3" s="46">
        <f t="shared" ref="J3:J6" si="2">($J$1*I3)+I3</f>
        <v>370.873542</v>
      </c>
      <c r="K3" s="46">
        <f t="shared" ref="K3:K6" si="3">J3-E3</f>
        <v>31.183542</v>
      </c>
      <c r="L3" s="46">
        <f t="shared" ref="L3:L6" si="4">((F3*$I$1)+F3)</f>
        <v>455.7894</v>
      </c>
      <c r="M3" s="46">
        <f t="shared" ref="M3:M6" si="5">(+L3*$J$1)+L3</f>
        <v>469.463082</v>
      </c>
      <c r="N3" s="46">
        <f t="shared" ref="N3:N6" si="6">($N$1*J3)+J3</f>
        <v>407.9608962</v>
      </c>
      <c r="O3" s="46">
        <f t="shared" ref="O3:O6" si="7">($O$1*J3)+J3</f>
        <v>426.5045733</v>
      </c>
      <c r="P3" s="46">
        <f t="shared" ref="P3:P6" si="8">M3-F3</f>
        <v>39.473082</v>
      </c>
      <c r="Q3" s="46">
        <f t="shared" ref="Q3:Q4" si="9">N3-E3</f>
        <v>68.2708962</v>
      </c>
      <c r="R3" s="46">
        <f t="shared" ref="R3:R4" si="10">O3-E3</f>
        <v>86.8145733</v>
      </c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>
      <c r="A4" s="33" t="s">
        <v>34</v>
      </c>
      <c r="B4" s="12">
        <v>8.15835017143E11</v>
      </c>
      <c r="C4" s="33" t="s">
        <v>35</v>
      </c>
      <c r="D4" s="13"/>
      <c r="E4" s="13">
        <v>167.22</v>
      </c>
      <c r="F4" s="39">
        <v>222.95</v>
      </c>
      <c r="G4" s="13">
        <v>222.95</v>
      </c>
      <c r="H4" s="45">
        <f t="shared" ref="H4:H6" si="11">(E4*$N$1)+E4</f>
        <v>183.942</v>
      </c>
      <c r="I4" s="46">
        <f t="shared" si="1"/>
        <v>177.2532</v>
      </c>
      <c r="J4" s="46">
        <f t="shared" si="2"/>
        <v>182.570796</v>
      </c>
      <c r="K4" s="46">
        <f t="shared" si="3"/>
        <v>15.350796</v>
      </c>
      <c r="L4" s="46">
        <f t="shared" si="4"/>
        <v>236.327</v>
      </c>
      <c r="M4" s="46">
        <f t="shared" si="5"/>
        <v>243.41681</v>
      </c>
      <c r="N4" s="46">
        <f t="shared" si="6"/>
        <v>200.8278756</v>
      </c>
      <c r="O4" s="46">
        <f t="shared" si="7"/>
        <v>209.9564154</v>
      </c>
      <c r="P4" s="46">
        <f t="shared" si="8"/>
        <v>20.46681</v>
      </c>
      <c r="Q4" s="46">
        <f t="shared" si="9"/>
        <v>33.6078756</v>
      </c>
      <c r="R4" s="46">
        <f t="shared" si="10"/>
        <v>42.7364154</v>
      </c>
      <c r="S4" s="12">
        <v>360.0</v>
      </c>
      <c r="T4" s="28" t="str">
        <f>S4-#REF!</f>
        <v>#REF!</v>
      </c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>
      <c r="A5" s="33" t="s">
        <v>36</v>
      </c>
      <c r="B5" s="12">
        <v>6.72294526513E11</v>
      </c>
      <c r="C5" s="33" t="s">
        <v>37</v>
      </c>
      <c r="D5" s="37"/>
      <c r="E5" s="13">
        <v>513.02</v>
      </c>
      <c r="F5" s="39">
        <v>629.0</v>
      </c>
      <c r="G5" s="13">
        <v>665.0</v>
      </c>
      <c r="H5" s="45">
        <f t="shared" si="11"/>
        <v>564.322</v>
      </c>
      <c r="I5" s="46">
        <f t="shared" si="1"/>
        <v>543.8012</v>
      </c>
      <c r="J5" s="46">
        <f t="shared" si="2"/>
        <v>560.115236</v>
      </c>
      <c r="K5" s="46">
        <f t="shared" si="3"/>
        <v>47.095236</v>
      </c>
      <c r="L5" s="46">
        <f t="shared" si="4"/>
        <v>666.74</v>
      </c>
      <c r="M5" s="46">
        <f t="shared" si="5"/>
        <v>686.7422</v>
      </c>
      <c r="N5" s="46">
        <f t="shared" si="6"/>
        <v>616.1267596</v>
      </c>
      <c r="O5" s="46">
        <f t="shared" si="7"/>
        <v>644.1325214</v>
      </c>
      <c r="P5" s="46">
        <f t="shared" si="8"/>
        <v>57.7422</v>
      </c>
      <c r="Q5" s="46">
        <f t="shared" ref="Q5:Q6" si="12">N5-J5</f>
        <v>56.0115236</v>
      </c>
      <c r="R5" s="46">
        <f t="shared" ref="R5:R6" si="13">O5-J5</f>
        <v>84.0172854</v>
      </c>
      <c r="S5" s="12" t="s">
        <v>38</v>
      </c>
      <c r="T5" s="12" t="s">
        <v>39</v>
      </c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>
      <c r="A6" s="33" t="s">
        <v>40</v>
      </c>
      <c r="B6" s="12">
        <v>8.10047071228E11</v>
      </c>
      <c r="C6" s="33" t="s">
        <v>41</v>
      </c>
      <c r="D6" s="13">
        <v>330.0</v>
      </c>
      <c r="E6" s="13">
        <v>315.99</v>
      </c>
      <c r="F6" s="39">
        <v>399.99</v>
      </c>
      <c r="G6" s="13">
        <v>470.58</v>
      </c>
      <c r="H6" s="45">
        <f t="shared" si="11"/>
        <v>347.589</v>
      </c>
      <c r="I6" s="46">
        <f t="shared" si="1"/>
        <v>334.9494</v>
      </c>
      <c r="J6" s="46">
        <f t="shared" si="2"/>
        <v>344.997882</v>
      </c>
      <c r="K6" s="46">
        <f t="shared" si="3"/>
        <v>29.007882</v>
      </c>
      <c r="L6" s="46">
        <f t="shared" si="4"/>
        <v>423.9894</v>
      </c>
      <c r="M6" s="46">
        <f t="shared" si="5"/>
        <v>436.709082</v>
      </c>
      <c r="N6" s="56">
        <f t="shared" si="6"/>
        <v>379.4976702</v>
      </c>
      <c r="O6" s="46">
        <f t="shared" si="7"/>
        <v>396.7475643</v>
      </c>
      <c r="P6" s="46">
        <f t="shared" si="8"/>
        <v>36.719082</v>
      </c>
      <c r="Q6" s="46">
        <f t="shared" si="12"/>
        <v>34.4997882</v>
      </c>
      <c r="R6" s="46">
        <f t="shared" si="13"/>
        <v>51.7496823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>
      <c r="A7" s="33" t="s">
        <v>42</v>
      </c>
      <c r="B7" s="12">
        <v>8.10047073741E11</v>
      </c>
      <c r="C7" s="33" t="s">
        <v>43</v>
      </c>
      <c r="D7" s="37"/>
      <c r="E7" s="13">
        <v>315.99</v>
      </c>
      <c r="F7" s="39">
        <v>399.99</v>
      </c>
      <c r="G7" s="13">
        <v>470.58</v>
      </c>
      <c r="H7" s="59">
        <f>IF(E7="", "", IFERROR((E7*$N$1)+E7, ""))</f>
        <v>347.589</v>
      </c>
      <c r="I7" s="46">
        <f>IF(E7="", "", IFERROR(($I$1*E7)+E7, ""))</f>
        <v>334.9494</v>
      </c>
      <c r="J7" s="46">
        <f>IF(I7="", "", IFERROR(($J$1*I7)+I7, ""))</f>
        <v>344.997882</v>
      </c>
      <c r="K7" s="46">
        <f>IF(E7="", "", IFERROR(J7-E7, ""))</f>
        <v>29.007882</v>
      </c>
      <c r="L7" s="46">
        <f>IF(F7="", "", IFERROR((F7*$I$1)+F7, ""))</f>
        <v>423.9894</v>
      </c>
      <c r="M7" s="46">
        <f>IF(L7="", "", IFERROR((+L7*$J$1)+L7, ""))</f>
        <v>436.709082</v>
      </c>
      <c r="N7" s="46">
        <f>IF(J7="", "", IFERROR(($N$1*J7)+J7, ""))</f>
        <v>379.4976702</v>
      </c>
      <c r="O7" s="46">
        <f>IF(J7="", "", IFERROR(($O$1*J7)+J7, ""))</f>
        <v>396.7475643</v>
      </c>
      <c r="P7" s="46">
        <f>IF(F7="", "", IFERROR(M7-F7, ""))</f>
        <v>36.719082</v>
      </c>
      <c r="Q7" s="46">
        <f>IF(J7="", "", IFERROR(N7-J7, ""))</f>
        <v>34.4997882</v>
      </c>
      <c r="R7" s="46">
        <f>IF(J7="", "", IFERROR(O7-J7, ""))</f>
        <v>51.7496823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>
      <c r="A8" s="33" t="s">
        <v>44</v>
      </c>
      <c r="B8" s="12">
        <v>8.10047073611E11</v>
      </c>
      <c r="C8" s="33" t="s">
        <v>45</v>
      </c>
      <c r="D8" s="37"/>
      <c r="E8" s="13">
        <v>110.39</v>
      </c>
      <c r="F8" s="39" t="s">
        <v>46</v>
      </c>
      <c r="G8" s="13">
        <v>188.22</v>
      </c>
      <c r="H8" s="45">
        <f t="shared" ref="H8:H28" si="14">(E8*$N$1)+E8</f>
        <v>121.429</v>
      </c>
      <c r="I8" s="46">
        <f t="shared" ref="I8:I28" si="15">($I$1*E8)+E8</f>
        <v>117.0134</v>
      </c>
      <c r="J8" s="46">
        <f t="shared" ref="J8:J28" si="16">($J$1*I8)+I8</f>
        <v>120.523802</v>
      </c>
      <c r="K8" s="46">
        <f t="shared" ref="K8:K28" si="17">J8-E8</f>
        <v>10.133802</v>
      </c>
      <c r="L8" s="46" t="str">
        <f t="shared" ref="L8:L28" si="18">((F8*$I$1)+F8)</f>
        <v>#VALUE!</v>
      </c>
      <c r="M8" s="46" t="str">
        <f t="shared" ref="M8:M28" si="19">(+L8*$J$1)+L8</f>
        <v>#VALUE!</v>
      </c>
      <c r="N8" s="46">
        <f t="shared" ref="N8:N28" si="20">($N$1*J8)+J8</f>
        <v>132.5761822</v>
      </c>
      <c r="O8" s="46">
        <f t="shared" ref="O8:O28" si="21">($O$1*J8)+J8</f>
        <v>138.6023723</v>
      </c>
      <c r="P8" s="46" t="str">
        <f t="shared" ref="P8:P28" si="22">M8-F8</f>
        <v>#VALUE!</v>
      </c>
      <c r="Q8" s="46">
        <f t="shared" ref="Q8:Q28" si="23">N8-E8</f>
        <v>22.1861822</v>
      </c>
      <c r="R8" s="46">
        <f t="shared" ref="R8:R28" si="24">O8-E8</f>
        <v>28.2123723</v>
      </c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>
      <c r="A9" s="33" t="s">
        <v>47</v>
      </c>
      <c r="B9" s="12">
        <v>8.10047073604E11</v>
      </c>
      <c r="C9" s="33" t="s">
        <v>48</v>
      </c>
      <c r="D9" s="37"/>
      <c r="E9" s="13">
        <v>117.29</v>
      </c>
      <c r="F9" s="39" t="s">
        <v>46</v>
      </c>
      <c r="G9" s="13">
        <v>199.99</v>
      </c>
      <c r="H9" s="45">
        <f t="shared" si="14"/>
        <v>129.019</v>
      </c>
      <c r="I9" s="46">
        <f t="shared" si="15"/>
        <v>124.3274</v>
      </c>
      <c r="J9" s="46">
        <f t="shared" si="16"/>
        <v>128.057222</v>
      </c>
      <c r="K9" s="46">
        <f t="shared" si="17"/>
        <v>10.767222</v>
      </c>
      <c r="L9" s="46" t="str">
        <f t="shared" si="18"/>
        <v>#VALUE!</v>
      </c>
      <c r="M9" s="46" t="str">
        <f t="shared" si="19"/>
        <v>#VALUE!</v>
      </c>
      <c r="N9" s="46">
        <f t="shared" si="20"/>
        <v>140.8629442</v>
      </c>
      <c r="O9" s="46">
        <f t="shared" si="21"/>
        <v>147.2658053</v>
      </c>
      <c r="P9" s="46" t="str">
        <f t="shared" si="22"/>
        <v>#VALUE!</v>
      </c>
      <c r="Q9" s="46">
        <f t="shared" si="23"/>
        <v>23.5729442</v>
      </c>
      <c r="R9" s="46">
        <f t="shared" si="24"/>
        <v>29.9758053</v>
      </c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>
      <c r="A10" s="33" t="s">
        <v>49</v>
      </c>
      <c r="B10" s="12">
        <v>8.10047073635E11</v>
      </c>
      <c r="C10" s="33" t="s">
        <v>50</v>
      </c>
      <c r="D10" s="37"/>
      <c r="E10" s="13">
        <v>137.99</v>
      </c>
      <c r="F10" s="39" t="s">
        <v>46</v>
      </c>
      <c r="G10" s="13">
        <v>235.28</v>
      </c>
      <c r="H10" s="45">
        <f t="shared" si="14"/>
        <v>151.789</v>
      </c>
      <c r="I10" s="46">
        <f t="shared" si="15"/>
        <v>146.2694</v>
      </c>
      <c r="J10" s="46">
        <f t="shared" si="16"/>
        <v>150.657482</v>
      </c>
      <c r="K10" s="46">
        <f t="shared" si="17"/>
        <v>12.667482</v>
      </c>
      <c r="L10" s="46" t="str">
        <f t="shared" si="18"/>
        <v>#VALUE!</v>
      </c>
      <c r="M10" s="46" t="str">
        <f t="shared" si="19"/>
        <v>#VALUE!</v>
      </c>
      <c r="N10" s="46">
        <f t="shared" si="20"/>
        <v>165.7232302</v>
      </c>
      <c r="O10" s="46">
        <f t="shared" si="21"/>
        <v>173.2561043</v>
      </c>
      <c r="P10" s="46" t="str">
        <f t="shared" si="22"/>
        <v>#VALUE!</v>
      </c>
      <c r="Q10" s="46">
        <f t="shared" si="23"/>
        <v>27.7332302</v>
      </c>
      <c r="R10" s="46">
        <f t="shared" si="24"/>
        <v>35.2661043</v>
      </c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>
      <c r="A11" s="33" t="s">
        <v>51</v>
      </c>
      <c r="B11" s="12">
        <v>8.10047073666E11</v>
      </c>
      <c r="C11" s="33" t="s">
        <v>52</v>
      </c>
      <c r="D11" s="37"/>
      <c r="E11" s="13">
        <v>144.89</v>
      </c>
      <c r="F11" s="39" t="s">
        <v>46</v>
      </c>
      <c r="G11" s="13">
        <v>247.05</v>
      </c>
      <c r="H11" s="45">
        <f t="shared" si="14"/>
        <v>159.379</v>
      </c>
      <c r="I11" s="46">
        <f t="shared" si="15"/>
        <v>153.5834</v>
      </c>
      <c r="J11" s="46">
        <f t="shared" si="16"/>
        <v>158.190902</v>
      </c>
      <c r="K11" s="46">
        <f t="shared" si="17"/>
        <v>13.300902</v>
      </c>
      <c r="L11" s="46" t="str">
        <f t="shared" si="18"/>
        <v>#VALUE!</v>
      </c>
      <c r="M11" s="46" t="str">
        <f t="shared" si="19"/>
        <v>#VALUE!</v>
      </c>
      <c r="N11" s="46">
        <f t="shared" si="20"/>
        <v>174.0099922</v>
      </c>
      <c r="O11" s="46">
        <f t="shared" si="21"/>
        <v>181.9195373</v>
      </c>
      <c r="P11" s="46" t="str">
        <f t="shared" si="22"/>
        <v>#VALUE!</v>
      </c>
      <c r="Q11" s="46">
        <f t="shared" si="23"/>
        <v>29.1199922</v>
      </c>
      <c r="R11" s="46">
        <f t="shared" si="24"/>
        <v>37.0295373</v>
      </c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>
      <c r="A12" s="33" t="s">
        <v>53</v>
      </c>
      <c r="B12" s="12">
        <v>8.10047073628E11</v>
      </c>
      <c r="C12" s="33" t="s">
        <v>54</v>
      </c>
      <c r="D12" s="37"/>
      <c r="E12" s="13">
        <v>137.99</v>
      </c>
      <c r="F12" s="39" t="s">
        <v>46</v>
      </c>
      <c r="G12" s="13">
        <v>235.28</v>
      </c>
      <c r="H12" s="45">
        <f t="shared" si="14"/>
        <v>151.789</v>
      </c>
      <c r="I12" s="46">
        <f t="shared" si="15"/>
        <v>146.2694</v>
      </c>
      <c r="J12" s="46">
        <f t="shared" si="16"/>
        <v>150.657482</v>
      </c>
      <c r="K12" s="46">
        <f t="shared" si="17"/>
        <v>12.667482</v>
      </c>
      <c r="L12" s="46" t="str">
        <f t="shared" si="18"/>
        <v>#VALUE!</v>
      </c>
      <c r="M12" s="46" t="str">
        <f t="shared" si="19"/>
        <v>#VALUE!</v>
      </c>
      <c r="N12" s="46">
        <f t="shared" si="20"/>
        <v>165.7232302</v>
      </c>
      <c r="O12" s="46">
        <f t="shared" si="21"/>
        <v>173.2561043</v>
      </c>
      <c r="P12" s="46" t="str">
        <f t="shared" si="22"/>
        <v>#VALUE!</v>
      </c>
      <c r="Q12" s="46">
        <f t="shared" si="23"/>
        <v>27.7332302</v>
      </c>
      <c r="R12" s="46">
        <f t="shared" si="24"/>
        <v>35.2661043</v>
      </c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>
      <c r="A13" s="33" t="s">
        <v>55</v>
      </c>
      <c r="B13" s="12">
        <v>8.10047073598E11</v>
      </c>
      <c r="C13" s="33" t="s">
        <v>56</v>
      </c>
      <c r="D13" s="37"/>
      <c r="E13" s="13">
        <v>110.39</v>
      </c>
      <c r="F13" s="39" t="s">
        <v>46</v>
      </c>
      <c r="G13" s="13">
        <v>188.22</v>
      </c>
      <c r="H13" s="45">
        <f t="shared" si="14"/>
        <v>121.429</v>
      </c>
      <c r="I13" s="46">
        <f t="shared" si="15"/>
        <v>117.0134</v>
      </c>
      <c r="J13" s="46">
        <f t="shared" si="16"/>
        <v>120.523802</v>
      </c>
      <c r="K13" s="46">
        <f t="shared" si="17"/>
        <v>10.133802</v>
      </c>
      <c r="L13" s="46" t="str">
        <f t="shared" si="18"/>
        <v>#VALUE!</v>
      </c>
      <c r="M13" s="46" t="str">
        <f t="shared" si="19"/>
        <v>#VALUE!</v>
      </c>
      <c r="N13" s="46">
        <f t="shared" si="20"/>
        <v>132.5761822</v>
      </c>
      <c r="O13" s="46">
        <f t="shared" si="21"/>
        <v>138.6023723</v>
      </c>
      <c r="P13" s="46" t="str">
        <f t="shared" si="22"/>
        <v>#VALUE!</v>
      </c>
      <c r="Q13" s="46">
        <f t="shared" si="23"/>
        <v>22.1861822</v>
      </c>
      <c r="R13" s="46">
        <f t="shared" si="24"/>
        <v>28.2123723</v>
      </c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>
      <c r="A14" s="33" t="s">
        <v>57</v>
      </c>
      <c r="B14" s="12">
        <v>8.10047072249E11</v>
      </c>
      <c r="C14" s="33" t="s">
        <v>58</v>
      </c>
      <c r="D14" s="37"/>
      <c r="E14" s="13">
        <v>272.54</v>
      </c>
      <c r="F14" s="39">
        <v>344.99</v>
      </c>
      <c r="G14" s="13">
        <v>405.87</v>
      </c>
      <c r="H14" s="45">
        <f t="shared" si="14"/>
        <v>299.794</v>
      </c>
      <c r="I14" s="46">
        <f t="shared" si="15"/>
        <v>288.8924</v>
      </c>
      <c r="J14" s="46">
        <f t="shared" si="16"/>
        <v>297.559172</v>
      </c>
      <c r="K14" s="46">
        <f t="shared" si="17"/>
        <v>25.019172</v>
      </c>
      <c r="L14" s="46">
        <f t="shared" si="18"/>
        <v>365.6894</v>
      </c>
      <c r="M14" s="46">
        <f t="shared" si="19"/>
        <v>376.660082</v>
      </c>
      <c r="N14" s="46">
        <f t="shared" si="20"/>
        <v>327.3150892</v>
      </c>
      <c r="O14" s="46">
        <f t="shared" si="21"/>
        <v>342.1930478</v>
      </c>
      <c r="P14" s="46">
        <f t="shared" si="22"/>
        <v>31.670082</v>
      </c>
      <c r="Q14" s="46">
        <f t="shared" si="23"/>
        <v>54.7750892</v>
      </c>
      <c r="R14" s="46">
        <f t="shared" si="24"/>
        <v>69.6530478</v>
      </c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>
      <c r="A15" s="33" t="s">
        <v>59</v>
      </c>
      <c r="B15" s="12">
        <v>8.10047072225E11</v>
      </c>
      <c r="C15" s="33" t="s">
        <v>60</v>
      </c>
      <c r="D15" s="13">
        <v>287.38</v>
      </c>
      <c r="E15" s="13">
        <v>260.69</v>
      </c>
      <c r="F15" s="39">
        <v>329.99</v>
      </c>
      <c r="G15" s="13">
        <v>388.22</v>
      </c>
      <c r="H15" s="45">
        <f t="shared" si="14"/>
        <v>286.759</v>
      </c>
      <c r="I15" s="46">
        <f t="shared" si="15"/>
        <v>276.3314</v>
      </c>
      <c r="J15" s="46">
        <f t="shared" si="16"/>
        <v>284.621342</v>
      </c>
      <c r="K15" s="46">
        <f t="shared" si="17"/>
        <v>23.931342</v>
      </c>
      <c r="L15" s="46">
        <f t="shared" si="18"/>
        <v>349.7894</v>
      </c>
      <c r="M15" s="46">
        <f t="shared" si="19"/>
        <v>360.283082</v>
      </c>
      <c r="N15" s="46">
        <f t="shared" si="20"/>
        <v>313.0834762</v>
      </c>
      <c r="O15" s="46">
        <f t="shared" si="21"/>
        <v>327.3145433</v>
      </c>
      <c r="P15" s="46">
        <f t="shared" si="22"/>
        <v>30.293082</v>
      </c>
      <c r="Q15" s="46">
        <f t="shared" si="23"/>
        <v>52.3934762</v>
      </c>
      <c r="R15" s="46">
        <f t="shared" si="24"/>
        <v>66.6245433</v>
      </c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>
      <c r="A16" s="33" t="s">
        <v>61</v>
      </c>
      <c r="B16" s="12">
        <v>8.10047072263E11</v>
      </c>
      <c r="C16" s="33" t="s">
        <v>62</v>
      </c>
      <c r="D16" s="37"/>
      <c r="E16" s="13">
        <v>260.69</v>
      </c>
      <c r="F16" s="39">
        <v>329.99</v>
      </c>
      <c r="G16" s="13">
        <v>388.22</v>
      </c>
      <c r="H16" s="45">
        <f t="shared" si="14"/>
        <v>286.759</v>
      </c>
      <c r="I16" s="46">
        <f t="shared" si="15"/>
        <v>276.3314</v>
      </c>
      <c r="J16" s="46">
        <f t="shared" si="16"/>
        <v>284.621342</v>
      </c>
      <c r="K16" s="46">
        <f t="shared" si="17"/>
        <v>23.931342</v>
      </c>
      <c r="L16" s="46">
        <f t="shared" si="18"/>
        <v>349.7894</v>
      </c>
      <c r="M16" s="46">
        <f t="shared" si="19"/>
        <v>360.283082</v>
      </c>
      <c r="N16" s="46">
        <f t="shared" si="20"/>
        <v>313.0834762</v>
      </c>
      <c r="O16" s="46">
        <f t="shared" si="21"/>
        <v>327.3145433</v>
      </c>
      <c r="P16" s="46">
        <f t="shared" si="22"/>
        <v>30.293082</v>
      </c>
      <c r="Q16" s="46">
        <f t="shared" si="23"/>
        <v>52.3934762</v>
      </c>
      <c r="R16" s="46">
        <f t="shared" si="24"/>
        <v>66.6245433</v>
      </c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>
      <c r="A17" s="33" t="s">
        <v>63</v>
      </c>
      <c r="B17" s="12">
        <v>8.1004707157E11</v>
      </c>
      <c r="C17" s="33" t="s">
        <v>64</v>
      </c>
      <c r="D17" s="37"/>
      <c r="E17" s="13">
        <v>315.99</v>
      </c>
      <c r="F17" s="39">
        <v>399.99</v>
      </c>
      <c r="G17" s="13">
        <v>470.58</v>
      </c>
      <c r="H17" s="45">
        <f t="shared" si="14"/>
        <v>347.589</v>
      </c>
      <c r="I17" s="46">
        <f t="shared" si="15"/>
        <v>334.9494</v>
      </c>
      <c r="J17" s="46">
        <f t="shared" si="16"/>
        <v>344.997882</v>
      </c>
      <c r="K17" s="46">
        <f t="shared" si="17"/>
        <v>29.007882</v>
      </c>
      <c r="L17" s="46">
        <f t="shared" si="18"/>
        <v>423.9894</v>
      </c>
      <c r="M17" s="46">
        <f t="shared" si="19"/>
        <v>436.709082</v>
      </c>
      <c r="N17" s="46">
        <f t="shared" si="20"/>
        <v>379.4976702</v>
      </c>
      <c r="O17" s="46">
        <f t="shared" si="21"/>
        <v>396.7475643</v>
      </c>
      <c r="P17" s="46">
        <f t="shared" si="22"/>
        <v>36.719082</v>
      </c>
      <c r="Q17" s="46">
        <f t="shared" si="23"/>
        <v>63.5076702</v>
      </c>
      <c r="R17" s="46">
        <f t="shared" si="24"/>
        <v>80.7575643</v>
      </c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>
      <c r="A18" s="33" t="s">
        <v>65</v>
      </c>
      <c r="B18" s="12">
        <v>8.10047072232E11</v>
      </c>
      <c r="C18" s="33" t="s">
        <v>66</v>
      </c>
      <c r="D18" s="37"/>
      <c r="E18" s="13">
        <v>272.54</v>
      </c>
      <c r="F18" s="39">
        <v>344.99</v>
      </c>
      <c r="G18" s="13">
        <v>405.87</v>
      </c>
      <c r="H18" s="45">
        <f t="shared" si="14"/>
        <v>299.794</v>
      </c>
      <c r="I18" s="46">
        <f t="shared" si="15"/>
        <v>288.8924</v>
      </c>
      <c r="J18" s="46">
        <f t="shared" si="16"/>
        <v>297.559172</v>
      </c>
      <c r="K18" s="46">
        <f t="shared" si="17"/>
        <v>25.019172</v>
      </c>
      <c r="L18" s="46">
        <f t="shared" si="18"/>
        <v>365.6894</v>
      </c>
      <c r="M18" s="46">
        <f t="shared" si="19"/>
        <v>376.660082</v>
      </c>
      <c r="N18" s="46">
        <f t="shared" si="20"/>
        <v>327.3150892</v>
      </c>
      <c r="O18" s="46">
        <f t="shared" si="21"/>
        <v>342.1930478</v>
      </c>
      <c r="P18" s="46">
        <f t="shared" si="22"/>
        <v>31.670082</v>
      </c>
      <c r="Q18" s="46">
        <f t="shared" si="23"/>
        <v>54.7750892</v>
      </c>
      <c r="R18" s="46">
        <f t="shared" si="24"/>
        <v>69.6530478</v>
      </c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  <row r="19">
      <c r="A19" s="33" t="s">
        <v>67</v>
      </c>
      <c r="B19" s="12">
        <v>8.10047071587E11</v>
      </c>
      <c r="C19" s="33" t="s">
        <v>68</v>
      </c>
      <c r="D19" s="37"/>
      <c r="E19" s="13">
        <v>339.69</v>
      </c>
      <c r="F19" s="39">
        <v>429.99</v>
      </c>
      <c r="G19" s="13">
        <v>505.87</v>
      </c>
      <c r="H19" s="45">
        <f t="shared" si="14"/>
        <v>373.659</v>
      </c>
      <c r="I19" s="46">
        <f t="shared" si="15"/>
        <v>360.0714</v>
      </c>
      <c r="J19" s="46">
        <f t="shared" si="16"/>
        <v>370.873542</v>
      </c>
      <c r="K19" s="46">
        <f t="shared" si="17"/>
        <v>31.183542</v>
      </c>
      <c r="L19" s="46">
        <f t="shared" si="18"/>
        <v>455.7894</v>
      </c>
      <c r="M19" s="46">
        <f t="shared" si="19"/>
        <v>469.463082</v>
      </c>
      <c r="N19" s="46">
        <f t="shared" si="20"/>
        <v>407.9608962</v>
      </c>
      <c r="O19" s="46">
        <f t="shared" si="21"/>
        <v>426.5045733</v>
      </c>
      <c r="P19" s="46">
        <f t="shared" si="22"/>
        <v>39.473082</v>
      </c>
      <c r="Q19" s="46">
        <f t="shared" si="23"/>
        <v>68.2708962</v>
      </c>
      <c r="R19" s="46">
        <f t="shared" si="24"/>
        <v>86.8145733</v>
      </c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</row>
    <row r="20">
      <c r="A20" s="61" t="s">
        <v>69</v>
      </c>
      <c r="B20" s="62">
        <v>8.10047072218E11</v>
      </c>
      <c r="C20" s="63" t="s">
        <v>70</v>
      </c>
      <c r="D20" s="13">
        <v>287.38</v>
      </c>
      <c r="E20" s="13">
        <v>260.69</v>
      </c>
      <c r="F20" s="39">
        <v>329.99</v>
      </c>
      <c r="G20" s="13">
        <v>388.22</v>
      </c>
      <c r="H20" s="45">
        <f t="shared" si="14"/>
        <v>286.759</v>
      </c>
      <c r="I20" s="46">
        <f t="shared" si="15"/>
        <v>276.3314</v>
      </c>
      <c r="J20" s="46">
        <f t="shared" si="16"/>
        <v>284.621342</v>
      </c>
      <c r="K20" s="46">
        <f t="shared" si="17"/>
        <v>23.931342</v>
      </c>
      <c r="L20" s="46">
        <f t="shared" si="18"/>
        <v>349.7894</v>
      </c>
      <c r="M20" s="46">
        <f t="shared" si="19"/>
        <v>360.283082</v>
      </c>
      <c r="N20" s="46">
        <f t="shared" si="20"/>
        <v>313.0834762</v>
      </c>
      <c r="O20" s="46">
        <f t="shared" si="21"/>
        <v>327.3145433</v>
      </c>
      <c r="P20" s="46">
        <f t="shared" si="22"/>
        <v>30.293082</v>
      </c>
      <c r="Q20" s="46">
        <f t="shared" si="23"/>
        <v>52.3934762</v>
      </c>
      <c r="R20" s="46">
        <f t="shared" si="24"/>
        <v>66.6245433</v>
      </c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</row>
    <row r="21">
      <c r="A21" s="33" t="s">
        <v>71</v>
      </c>
      <c r="B21" s="12">
        <v>8.10047072256E11</v>
      </c>
      <c r="C21" s="33" t="s">
        <v>72</v>
      </c>
      <c r="D21" s="37"/>
      <c r="E21" s="13">
        <v>260.69</v>
      </c>
      <c r="F21" s="39">
        <v>329.99</v>
      </c>
      <c r="G21" s="13">
        <v>388.22</v>
      </c>
      <c r="H21" s="45">
        <f t="shared" si="14"/>
        <v>286.759</v>
      </c>
      <c r="I21" s="46">
        <f t="shared" si="15"/>
        <v>276.3314</v>
      </c>
      <c r="J21" s="46">
        <f t="shared" si="16"/>
        <v>284.621342</v>
      </c>
      <c r="K21" s="46">
        <f t="shared" si="17"/>
        <v>23.931342</v>
      </c>
      <c r="L21" s="46">
        <f t="shared" si="18"/>
        <v>349.7894</v>
      </c>
      <c r="M21" s="46">
        <f t="shared" si="19"/>
        <v>360.283082</v>
      </c>
      <c r="N21" s="46">
        <f t="shared" si="20"/>
        <v>313.0834762</v>
      </c>
      <c r="O21" s="46">
        <f t="shared" si="21"/>
        <v>327.3145433</v>
      </c>
      <c r="P21" s="46">
        <f t="shared" si="22"/>
        <v>30.293082</v>
      </c>
      <c r="Q21" s="46">
        <f t="shared" si="23"/>
        <v>52.3934762</v>
      </c>
      <c r="R21" s="46">
        <f t="shared" si="24"/>
        <v>66.6245433</v>
      </c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</row>
    <row r="22">
      <c r="A22" s="33" t="s">
        <v>73</v>
      </c>
      <c r="B22" s="12">
        <v>8.10047071563E11</v>
      </c>
      <c r="C22" s="33" t="s">
        <v>74</v>
      </c>
      <c r="D22" s="37"/>
      <c r="E22" s="13">
        <v>315.99</v>
      </c>
      <c r="F22" s="39">
        <v>399.99</v>
      </c>
      <c r="G22" s="13">
        <v>470.58</v>
      </c>
      <c r="H22" s="45">
        <f t="shared" si="14"/>
        <v>347.589</v>
      </c>
      <c r="I22" s="46">
        <f t="shared" si="15"/>
        <v>334.9494</v>
      </c>
      <c r="J22" s="46">
        <f t="shared" si="16"/>
        <v>344.997882</v>
      </c>
      <c r="K22" s="46">
        <f t="shared" si="17"/>
        <v>29.007882</v>
      </c>
      <c r="L22" s="46">
        <f t="shared" si="18"/>
        <v>423.9894</v>
      </c>
      <c r="M22" s="46">
        <f t="shared" si="19"/>
        <v>436.709082</v>
      </c>
      <c r="N22" s="46">
        <f t="shared" si="20"/>
        <v>379.4976702</v>
      </c>
      <c r="O22" s="46">
        <f t="shared" si="21"/>
        <v>396.7475643</v>
      </c>
      <c r="P22" s="46">
        <f t="shared" si="22"/>
        <v>36.719082</v>
      </c>
      <c r="Q22" s="46">
        <f t="shared" si="23"/>
        <v>63.5076702</v>
      </c>
      <c r="R22" s="46">
        <f t="shared" si="24"/>
        <v>80.7575643</v>
      </c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</row>
    <row r="23">
      <c r="A23" s="33" t="s">
        <v>75</v>
      </c>
      <c r="B23" s="12">
        <v>8.10047071242E11</v>
      </c>
      <c r="C23" s="33" t="s">
        <v>76</v>
      </c>
      <c r="D23" s="37"/>
      <c r="E23" s="13">
        <v>270.09</v>
      </c>
      <c r="F23" s="39">
        <v>369.99</v>
      </c>
      <c r="G23" s="13">
        <v>435.28</v>
      </c>
      <c r="H23" s="45">
        <f t="shared" si="14"/>
        <v>297.099</v>
      </c>
      <c r="I23" s="46">
        <f t="shared" si="15"/>
        <v>286.2954</v>
      </c>
      <c r="J23" s="46">
        <f t="shared" si="16"/>
        <v>294.884262</v>
      </c>
      <c r="K23" s="46">
        <f t="shared" si="17"/>
        <v>24.794262</v>
      </c>
      <c r="L23" s="46">
        <f t="shared" si="18"/>
        <v>392.1894</v>
      </c>
      <c r="M23" s="46">
        <f t="shared" si="19"/>
        <v>403.955082</v>
      </c>
      <c r="N23" s="46">
        <f t="shared" si="20"/>
        <v>324.3726882</v>
      </c>
      <c r="O23" s="46">
        <f t="shared" si="21"/>
        <v>339.1169013</v>
      </c>
      <c r="P23" s="46">
        <f t="shared" si="22"/>
        <v>33.965082</v>
      </c>
      <c r="Q23" s="46">
        <f t="shared" si="23"/>
        <v>54.2826882</v>
      </c>
      <c r="R23" s="46">
        <f t="shared" si="24"/>
        <v>69.0269013</v>
      </c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</row>
    <row r="24">
      <c r="A24" s="33" t="s">
        <v>77</v>
      </c>
      <c r="B24" s="12">
        <v>6.05930625868E11</v>
      </c>
      <c r="C24" s="33" t="s">
        <v>78</v>
      </c>
      <c r="D24" s="37"/>
      <c r="E24" s="13">
        <v>335.79</v>
      </c>
      <c r="F24" s="39">
        <v>459.99</v>
      </c>
      <c r="G24" s="13">
        <v>541.16</v>
      </c>
      <c r="H24" s="45">
        <f t="shared" si="14"/>
        <v>369.369</v>
      </c>
      <c r="I24" s="46">
        <f t="shared" si="15"/>
        <v>355.9374</v>
      </c>
      <c r="J24" s="46">
        <f t="shared" si="16"/>
        <v>366.615522</v>
      </c>
      <c r="K24" s="46">
        <f t="shared" si="17"/>
        <v>30.825522</v>
      </c>
      <c r="L24" s="46">
        <f t="shared" si="18"/>
        <v>487.5894</v>
      </c>
      <c r="M24" s="46">
        <f t="shared" si="19"/>
        <v>502.217082</v>
      </c>
      <c r="N24" s="46">
        <f t="shared" si="20"/>
        <v>403.2770742</v>
      </c>
      <c r="O24" s="46">
        <f t="shared" si="21"/>
        <v>421.6078503</v>
      </c>
      <c r="P24" s="46">
        <f t="shared" si="22"/>
        <v>42.227082</v>
      </c>
      <c r="Q24" s="46">
        <f t="shared" si="23"/>
        <v>67.4870742</v>
      </c>
      <c r="R24" s="46">
        <f t="shared" si="24"/>
        <v>85.8178503</v>
      </c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</row>
    <row r="25">
      <c r="A25" s="33" t="s">
        <v>79</v>
      </c>
      <c r="B25" s="12">
        <v>8.100470716E11</v>
      </c>
      <c r="C25" s="33" t="s">
        <v>80</v>
      </c>
      <c r="D25" s="37"/>
      <c r="E25" s="13">
        <v>313.89</v>
      </c>
      <c r="F25" s="39">
        <v>429.99</v>
      </c>
      <c r="G25" s="13">
        <v>505.87</v>
      </c>
      <c r="H25" s="45">
        <f t="shared" si="14"/>
        <v>345.279</v>
      </c>
      <c r="I25" s="46">
        <f t="shared" si="15"/>
        <v>332.7234</v>
      </c>
      <c r="J25" s="46">
        <f t="shared" si="16"/>
        <v>342.705102</v>
      </c>
      <c r="K25" s="46">
        <f t="shared" si="17"/>
        <v>28.815102</v>
      </c>
      <c r="L25" s="46">
        <f t="shared" si="18"/>
        <v>455.7894</v>
      </c>
      <c r="M25" s="46">
        <f t="shared" si="19"/>
        <v>469.463082</v>
      </c>
      <c r="N25" s="46">
        <f t="shared" si="20"/>
        <v>376.9756122</v>
      </c>
      <c r="O25" s="46">
        <f t="shared" si="21"/>
        <v>394.1108673</v>
      </c>
      <c r="P25" s="46">
        <f t="shared" si="22"/>
        <v>39.473082</v>
      </c>
      <c r="Q25" s="46">
        <f t="shared" si="23"/>
        <v>63.0856122</v>
      </c>
      <c r="R25" s="46">
        <f t="shared" si="24"/>
        <v>80.2208673</v>
      </c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</row>
    <row r="26">
      <c r="A26" s="33" t="s">
        <v>81</v>
      </c>
      <c r="B26" s="12">
        <v>8.10047071181E11</v>
      </c>
      <c r="C26" s="33" t="s">
        <v>82</v>
      </c>
      <c r="D26" s="37"/>
      <c r="E26" s="13">
        <v>169.04</v>
      </c>
      <c r="F26" s="39">
        <v>244.99</v>
      </c>
      <c r="G26" s="13">
        <v>288.22</v>
      </c>
      <c r="H26" s="45">
        <f t="shared" si="14"/>
        <v>185.944</v>
      </c>
      <c r="I26" s="46">
        <f t="shared" si="15"/>
        <v>179.1824</v>
      </c>
      <c r="J26" s="46">
        <f t="shared" si="16"/>
        <v>184.557872</v>
      </c>
      <c r="K26" s="46">
        <f t="shared" si="17"/>
        <v>15.517872</v>
      </c>
      <c r="L26" s="46">
        <f t="shared" si="18"/>
        <v>259.6894</v>
      </c>
      <c r="M26" s="46">
        <f t="shared" si="19"/>
        <v>267.480082</v>
      </c>
      <c r="N26" s="46">
        <f t="shared" si="20"/>
        <v>203.0136592</v>
      </c>
      <c r="O26" s="46">
        <f t="shared" si="21"/>
        <v>212.2415528</v>
      </c>
      <c r="P26" s="46">
        <f t="shared" si="22"/>
        <v>22.490082</v>
      </c>
      <c r="Q26" s="46">
        <f t="shared" si="23"/>
        <v>33.9736592</v>
      </c>
      <c r="R26" s="46">
        <f t="shared" si="24"/>
        <v>43.2015528</v>
      </c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</row>
    <row r="27">
      <c r="A27" s="33" t="s">
        <v>83</v>
      </c>
      <c r="B27" s="12">
        <v>8.10047071204E11</v>
      </c>
      <c r="C27" s="33" t="s">
        <v>84</v>
      </c>
      <c r="D27" s="37"/>
      <c r="E27" s="13">
        <v>155.24</v>
      </c>
      <c r="F27" s="39">
        <v>224.99</v>
      </c>
      <c r="G27" s="13">
        <v>264.69</v>
      </c>
      <c r="H27" s="45">
        <f t="shared" si="14"/>
        <v>170.764</v>
      </c>
      <c r="I27" s="46">
        <f t="shared" si="15"/>
        <v>164.5544</v>
      </c>
      <c r="J27" s="46">
        <f t="shared" si="16"/>
        <v>169.491032</v>
      </c>
      <c r="K27" s="46">
        <f t="shared" si="17"/>
        <v>14.251032</v>
      </c>
      <c r="L27" s="46">
        <f t="shared" si="18"/>
        <v>238.4894</v>
      </c>
      <c r="M27" s="46">
        <f t="shared" si="19"/>
        <v>245.644082</v>
      </c>
      <c r="N27" s="46">
        <f t="shared" si="20"/>
        <v>186.4401352</v>
      </c>
      <c r="O27" s="46">
        <f t="shared" si="21"/>
        <v>194.9146868</v>
      </c>
      <c r="P27" s="46">
        <f t="shared" si="22"/>
        <v>20.654082</v>
      </c>
      <c r="Q27" s="46">
        <f t="shared" si="23"/>
        <v>31.2001352</v>
      </c>
      <c r="R27" s="46">
        <f t="shared" si="24"/>
        <v>39.6746868</v>
      </c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</row>
    <row r="28">
      <c r="A28" s="33" t="s">
        <v>85</v>
      </c>
      <c r="B28" s="12">
        <v>8.10047071174E11</v>
      </c>
      <c r="C28" s="33" t="s">
        <v>86</v>
      </c>
      <c r="D28" s="37"/>
      <c r="E28" s="13">
        <v>213.89</v>
      </c>
      <c r="F28" s="39">
        <v>309.99</v>
      </c>
      <c r="G28" s="13">
        <v>364.69</v>
      </c>
      <c r="H28" s="45">
        <f t="shared" si="14"/>
        <v>235.279</v>
      </c>
      <c r="I28" s="46">
        <f t="shared" si="15"/>
        <v>226.7234</v>
      </c>
      <c r="J28" s="46">
        <f t="shared" si="16"/>
        <v>233.525102</v>
      </c>
      <c r="K28" s="46">
        <f t="shared" si="17"/>
        <v>19.635102</v>
      </c>
      <c r="L28" s="46">
        <f t="shared" si="18"/>
        <v>328.5894</v>
      </c>
      <c r="M28" s="46">
        <f t="shared" si="19"/>
        <v>338.447082</v>
      </c>
      <c r="N28" s="46">
        <f t="shared" si="20"/>
        <v>256.8776122</v>
      </c>
      <c r="O28" s="46">
        <f t="shared" si="21"/>
        <v>268.5538673</v>
      </c>
      <c r="P28" s="46">
        <f t="shared" si="22"/>
        <v>28.457082</v>
      </c>
      <c r="Q28" s="46">
        <f t="shared" si="23"/>
        <v>42.9876122</v>
      </c>
      <c r="R28" s="46">
        <f t="shared" si="24"/>
        <v>54.6638673</v>
      </c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</row>
    <row r="29">
      <c r="A29" s="33" t="s">
        <v>87</v>
      </c>
      <c r="B29" s="12">
        <v>8.10047072928E11</v>
      </c>
      <c r="C29" s="33" t="s">
        <v>88</v>
      </c>
      <c r="D29" s="37"/>
      <c r="E29" s="13">
        <v>255.29</v>
      </c>
      <c r="F29" s="39">
        <v>369.99</v>
      </c>
      <c r="G29" s="13">
        <v>435.28</v>
      </c>
      <c r="H29" s="59">
        <f>IF(E29="", "", IFERROR((E29*$N$1)+E29, ""))</f>
        <v>280.819</v>
      </c>
      <c r="I29" s="46">
        <f>IF(E29="", "", IFERROR(($I$1*E29)+E29, ""))</f>
        <v>270.6074</v>
      </c>
      <c r="J29" s="46">
        <f>IF(I29="", "", IFERROR(($J$1*I29)+I29, ""))</f>
        <v>278.725622</v>
      </c>
      <c r="K29" s="46">
        <f>IF(E29="", "", IFERROR(J29-E29, ""))</f>
        <v>23.435622</v>
      </c>
      <c r="L29" s="46">
        <f>IF(F29="", "", IFERROR((F29*$I$1)+F29, ""))</f>
        <v>392.1894</v>
      </c>
      <c r="M29" s="46">
        <f>IF(L29="", "", IFERROR((+L29*$J$1)+L29, ""))</f>
        <v>403.955082</v>
      </c>
      <c r="N29" s="46">
        <f>IF(J29="", "", IFERROR(($N$1*J29)+J29, ""))</f>
        <v>306.5981842</v>
      </c>
      <c r="O29" s="46">
        <f>IF(J29="", "", IFERROR(($O$1*J29)+J29, ""))</f>
        <v>320.5344653</v>
      </c>
      <c r="P29" s="46">
        <f>IF(F29="", "", IFERROR(M29-F29, ""))</f>
        <v>33.965082</v>
      </c>
      <c r="Q29" s="46">
        <f>IF(J29="", "", IFERROR(N29-J29, ""))</f>
        <v>27.8725622</v>
      </c>
      <c r="R29" s="46">
        <f>IF(J29="", "", IFERROR(O29-J29, ""))</f>
        <v>41.8088433</v>
      </c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</row>
    <row r="30">
      <c r="A30" s="33" t="s">
        <v>89</v>
      </c>
      <c r="B30" s="12">
        <v>8.10047071211E11</v>
      </c>
      <c r="C30" s="33" t="s">
        <v>90</v>
      </c>
      <c r="D30" s="37"/>
      <c r="E30" s="13">
        <v>204.23</v>
      </c>
      <c r="F30" s="39">
        <v>295.99</v>
      </c>
      <c r="G30" s="13">
        <v>348.22</v>
      </c>
      <c r="H30" s="45">
        <f t="shared" ref="H30:H31" si="25">(E30*$N$1)+E30</f>
        <v>224.653</v>
      </c>
      <c r="I30" s="46">
        <f t="shared" ref="I30:I31" si="26">($I$1*E30)+E30</f>
        <v>216.4838</v>
      </c>
      <c r="J30" s="46">
        <f t="shared" ref="J30:J31" si="27">($J$1*I30)+I30</f>
        <v>222.978314</v>
      </c>
      <c r="K30" s="46">
        <f t="shared" ref="K30:K31" si="28">J30-E30</f>
        <v>18.748314</v>
      </c>
      <c r="L30" s="46">
        <f t="shared" ref="L30:L31" si="29">((F30*$I$1)+F30)</f>
        <v>313.7494</v>
      </c>
      <c r="M30" s="46">
        <f t="shared" ref="M30:M31" si="30">(+L30*$J$1)+L30</f>
        <v>323.161882</v>
      </c>
      <c r="N30" s="46">
        <f t="shared" ref="N30:N31" si="31">($N$1*J30)+J30</f>
        <v>245.2761454</v>
      </c>
      <c r="O30" s="46">
        <f t="shared" ref="O30:O31" si="32">($O$1*J30)+J30</f>
        <v>256.4250611</v>
      </c>
      <c r="P30" s="46">
        <f t="shared" ref="P30:P31" si="33">M30-F30</f>
        <v>27.171882</v>
      </c>
      <c r="Q30" s="46">
        <f t="shared" ref="Q30:Q31" si="34">N30-E30</f>
        <v>41.0461454</v>
      </c>
      <c r="R30" s="46">
        <f t="shared" ref="R30:R31" si="35">O30-E30</f>
        <v>52.1950611</v>
      </c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</row>
    <row r="31">
      <c r="A31" s="33" t="s">
        <v>91</v>
      </c>
      <c r="B31" s="12">
        <v>6.05930624991E11</v>
      </c>
      <c r="C31" s="33" t="s">
        <v>92</v>
      </c>
      <c r="D31" s="37"/>
      <c r="E31" s="13">
        <v>213.89</v>
      </c>
      <c r="F31" s="39">
        <v>309.99</v>
      </c>
      <c r="G31" s="13">
        <v>364.69</v>
      </c>
      <c r="H31" s="45">
        <f t="shared" si="25"/>
        <v>235.279</v>
      </c>
      <c r="I31" s="46">
        <f t="shared" si="26"/>
        <v>226.7234</v>
      </c>
      <c r="J31" s="46">
        <f t="shared" si="27"/>
        <v>233.525102</v>
      </c>
      <c r="K31" s="46">
        <f t="shared" si="28"/>
        <v>19.635102</v>
      </c>
      <c r="L31" s="46">
        <f t="shared" si="29"/>
        <v>328.5894</v>
      </c>
      <c r="M31" s="46">
        <f t="shared" si="30"/>
        <v>338.447082</v>
      </c>
      <c r="N31" s="46">
        <f t="shared" si="31"/>
        <v>256.8776122</v>
      </c>
      <c r="O31" s="46">
        <f t="shared" si="32"/>
        <v>268.5538673</v>
      </c>
      <c r="P31" s="46">
        <f t="shared" si="33"/>
        <v>28.457082</v>
      </c>
      <c r="Q31" s="46">
        <f t="shared" si="34"/>
        <v>42.9876122</v>
      </c>
      <c r="R31" s="46">
        <f t="shared" si="35"/>
        <v>54.6638673</v>
      </c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</row>
    <row r="32">
      <c r="A32" s="33" t="s">
        <v>93</v>
      </c>
      <c r="B32" s="12">
        <v>8.10047073826E11</v>
      </c>
      <c r="C32" s="33" t="s">
        <v>94</v>
      </c>
      <c r="D32" s="37"/>
      <c r="E32" s="13">
        <v>218.99</v>
      </c>
      <c r="F32" s="39">
        <v>299.99</v>
      </c>
      <c r="G32" s="13">
        <v>352.93</v>
      </c>
      <c r="H32" s="59">
        <f t="shared" ref="H32:H40" si="36">IF(E32="", "", IFERROR((E32*$N$1)+E32, ""))</f>
        <v>240.889</v>
      </c>
      <c r="I32" s="46">
        <f t="shared" ref="I32:I40" si="37">IF(E32="", "", IFERROR(($I$1*E32)+E32, ""))</f>
        <v>232.1294</v>
      </c>
      <c r="J32" s="46">
        <f t="shared" ref="J32:J40" si="38">IF(I32="", "", IFERROR(($J$1*I32)+I32, ""))</f>
        <v>239.093282</v>
      </c>
      <c r="K32" s="46">
        <f t="shared" ref="K32:K40" si="39">IF(E32="", "", IFERROR(J32-E32, ""))</f>
        <v>20.103282</v>
      </c>
      <c r="L32" s="46">
        <f t="shared" ref="L32:L40" si="40">IF(F32="", "", IFERROR((F32*$I$1)+F32, ""))</f>
        <v>317.9894</v>
      </c>
      <c r="M32" s="46">
        <f t="shared" ref="M32:M40" si="41">IF(L32="", "", IFERROR((+L32*$J$1)+L32, ""))</f>
        <v>327.529082</v>
      </c>
      <c r="N32" s="46">
        <f t="shared" ref="N32:N40" si="42">IF(J32="", "", IFERROR(($N$1*J32)+J32, ""))</f>
        <v>263.0026102</v>
      </c>
      <c r="O32" s="46">
        <f t="shared" ref="O32:O40" si="43">IF(J32="", "", IFERROR(($O$1*J32)+J32, ""))</f>
        <v>274.9572743</v>
      </c>
      <c r="P32" s="46">
        <f t="shared" ref="P32:P40" si="44">IF(F32="", "", IFERROR(M32-F32, ""))</f>
        <v>27.539082</v>
      </c>
      <c r="Q32" s="46">
        <f t="shared" ref="Q32:Q40" si="45">IF(J32="", "", IFERROR(N32-J32, ""))</f>
        <v>23.9093282</v>
      </c>
      <c r="R32" s="46">
        <f t="shared" ref="R32:R40" si="46">IF(J32="", "", IFERROR(O32-J32, ""))</f>
        <v>35.8639923</v>
      </c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</row>
    <row r="33">
      <c r="A33" s="33" t="s">
        <v>95</v>
      </c>
      <c r="B33" s="12">
        <v>8.10047073857E11</v>
      </c>
      <c r="C33" s="33" t="s">
        <v>96</v>
      </c>
      <c r="D33" s="37"/>
      <c r="E33" s="13">
        <v>364.99</v>
      </c>
      <c r="F33" s="39">
        <v>499.99</v>
      </c>
      <c r="G33" s="13">
        <v>588.22</v>
      </c>
      <c r="H33" s="59">
        <f t="shared" si="36"/>
        <v>401.489</v>
      </c>
      <c r="I33" s="46">
        <f t="shared" si="37"/>
        <v>386.8894</v>
      </c>
      <c r="J33" s="46">
        <f t="shared" si="38"/>
        <v>398.496082</v>
      </c>
      <c r="K33" s="46">
        <f t="shared" si="39"/>
        <v>33.506082</v>
      </c>
      <c r="L33" s="46">
        <f t="shared" si="40"/>
        <v>529.9894</v>
      </c>
      <c r="M33" s="46">
        <f t="shared" si="41"/>
        <v>545.889082</v>
      </c>
      <c r="N33" s="46">
        <f t="shared" si="42"/>
        <v>438.3456902</v>
      </c>
      <c r="O33" s="46">
        <f t="shared" si="43"/>
        <v>458.2704943</v>
      </c>
      <c r="P33" s="46">
        <f t="shared" si="44"/>
        <v>45.899082</v>
      </c>
      <c r="Q33" s="46">
        <f t="shared" si="45"/>
        <v>39.8496082</v>
      </c>
      <c r="R33" s="46">
        <f t="shared" si="46"/>
        <v>59.7744123</v>
      </c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</row>
    <row r="34">
      <c r="A34" s="33" t="s">
        <v>97</v>
      </c>
      <c r="B34" s="65">
        <v>8.10047073871E11</v>
      </c>
      <c r="C34" s="33" t="s">
        <v>98</v>
      </c>
      <c r="D34" s="37"/>
      <c r="E34" s="13">
        <v>715.0</v>
      </c>
      <c r="F34" s="39">
        <v>899.99</v>
      </c>
      <c r="G34" s="13">
        <v>1058.81</v>
      </c>
      <c r="H34" s="59">
        <f t="shared" si="36"/>
        <v>786.5</v>
      </c>
      <c r="I34" s="46">
        <f t="shared" si="37"/>
        <v>757.9</v>
      </c>
      <c r="J34" s="46">
        <f t="shared" si="38"/>
        <v>780.637</v>
      </c>
      <c r="K34" s="46">
        <f t="shared" si="39"/>
        <v>65.637</v>
      </c>
      <c r="L34" s="46">
        <f t="shared" si="40"/>
        <v>953.9894</v>
      </c>
      <c r="M34" s="46">
        <f t="shared" si="41"/>
        <v>982.609082</v>
      </c>
      <c r="N34" s="46">
        <f t="shared" si="42"/>
        <v>858.7007</v>
      </c>
      <c r="O34" s="46">
        <f t="shared" si="43"/>
        <v>897.73255</v>
      </c>
      <c r="P34" s="46">
        <f t="shared" si="44"/>
        <v>82.619082</v>
      </c>
      <c r="Q34" s="46">
        <f t="shared" si="45"/>
        <v>78.0637</v>
      </c>
      <c r="R34" s="46">
        <f t="shared" si="46"/>
        <v>117.09555</v>
      </c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</row>
    <row r="35">
      <c r="A35" s="33" t="s">
        <v>97</v>
      </c>
      <c r="B35" s="12">
        <v>8.10047073871E11</v>
      </c>
      <c r="C35" s="33" t="s">
        <v>98</v>
      </c>
      <c r="D35" s="37"/>
      <c r="E35" s="13">
        <v>656.99</v>
      </c>
      <c r="F35" s="39">
        <v>899.99</v>
      </c>
      <c r="G35" s="13">
        <v>1058.81</v>
      </c>
      <c r="H35" s="59">
        <f t="shared" si="36"/>
        <v>722.689</v>
      </c>
      <c r="I35" s="46">
        <f t="shared" si="37"/>
        <v>696.4094</v>
      </c>
      <c r="J35" s="46">
        <f t="shared" si="38"/>
        <v>717.301682</v>
      </c>
      <c r="K35" s="46">
        <f t="shared" si="39"/>
        <v>60.311682</v>
      </c>
      <c r="L35" s="46">
        <f t="shared" si="40"/>
        <v>953.9894</v>
      </c>
      <c r="M35" s="46">
        <f t="shared" si="41"/>
        <v>982.609082</v>
      </c>
      <c r="N35" s="46">
        <f t="shared" si="42"/>
        <v>789.0318502</v>
      </c>
      <c r="O35" s="46">
        <f t="shared" si="43"/>
        <v>824.8969343</v>
      </c>
      <c r="P35" s="46">
        <f t="shared" si="44"/>
        <v>82.619082</v>
      </c>
      <c r="Q35" s="46">
        <f t="shared" si="45"/>
        <v>71.7301682</v>
      </c>
      <c r="R35" s="46">
        <f t="shared" si="46"/>
        <v>107.5952523</v>
      </c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</row>
    <row r="36">
      <c r="A36" s="33" t="s">
        <v>99</v>
      </c>
      <c r="B36" s="12">
        <v>8.10047073895E11</v>
      </c>
      <c r="C36" s="66" t="s">
        <v>100</v>
      </c>
      <c r="D36" s="37"/>
      <c r="E36" s="13">
        <v>729.99</v>
      </c>
      <c r="F36" s="39">
        <v>999.99</v>
      </c>
      <c r="G36" s="13">
        <v>1176.46</v>
      </c>
      <c r="H36" s="59">
        <f t="shared" si="36"/>
        <v>802.989</v>
      </c>
      <c r="I36" s="46">
        <f t="shared" si="37"/>
        <v>773.7894</v>
      </c>
      <c r="J36" s="46">
        <f t="shared" si="38"/>
        <v>797.003082</v>
      </c>
      <c r="K36" s="46">
        <f t="shared" si="39"/>
        <v>67.013082</v>
      </c>
      <c r="L36" s="46">
        <f t="shared" si="40"/>
        <v>1059.9894</v>
      </c>
      <c r="M36" s="46">
        <f t="shared" si="41"/>
        <v>1091.789082</v>
      </c>
      <c r="N36" s="46">
        <f t="shared" si="42"/>
        <v>876.7033902</v>
      </c>
      <c r="O36" s="46">
        <f t="shared" si="43"/>
        <v>916.5535443</v>
      </c>
      <c r="P36" s="46">
        <f t="shared" si="44"/>
        <v>91.799082</v>
      </c>
      <c r="Q36" s="46">
        <f t="shared" si="45"/>
        <v>79.7003082</v>
      </c>
      <c r="R36" s="46">
        <f t="shared" si="46"/>
        <v>119.5504623</v>
      </c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</row>
    <row r="37">
      <c r="A37" s="33" t="s">
        <v>101</v>
      </c>
      <c r="B37" s="12">
        <v>8.10047073833E11</v>
      </c>
      <c r="C37" s="33" t="s">
        <v>102</v>
      </c>
      <c r="D37" s="37"/>
      <c r="E37" s="13">
        <v>218.99</v>
      </c>
      <c r="F37" s="39">
        <v>299.99</v>
      </c>
      <c r="G37" s="13">
        <v>352.93</v>
      </c>
      <c r="H37" s="59">
        <f t="shared" si="36"/>
        <v>240.889</v>
      </c>
      <c r="I37" s="46">
        <f t="shared" si="37"/>
        <v>232.1294</v>
      </c>
      <c r="J37" s="46">
        <f t="shared" si="38"/>
        <v>239.093282</v>
      </c>
      <c r="K37" s="46">
        <f t="shared" si="39"/>
        <v>20.103282</v>
      </c>
      <c r="L37" s="46">
        <f t="shared" si="40"/>
        <v>317.9894</v>
      </c>
      <c r="M37" s="46">
        <f t="shared" si="41"/>
        <v>327.529082</v>
      </c>
      <c r="N37" s="46">
        <f t="shared" si="42"/>
        <v>263.0026102</v>
      </c>
      <c r="O37" s="46">
        <f t="shared" si="43"/>
        <v>274.9572743</v>
      </c>
      <c r="P37" s="46">
        <f t="shared" si="44"/>
        <v>27.539082</v>
      </c>
      <c r="Q37" s="46">
        <f t="shared" si="45"/>
        <v>23.9093282</v>
      </c>
      <c r="R37" s="46">
        <f t="shared" si="46"/>
        <v>35.8639923</v>
      </c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</row>
    <row r="38">
      <c r="A38" s="33" t="s">
        <v>103</v>
      </c>
      <c r="B38" s="12">
        <v>8.1004707384E11</v>
      </c>
      <c r="C38" s="33" t="s">
        <v>104</v>
      </c>
      <c r="D38" s="37"/>
      <c r="E38" s="13">
        <v>364.99</v>
      </c>
      <c r="F38" s="39">
        <v>499.99</v>
      </c>
      <c r="G38" s="13">
        <v>588.22</v>
      </c>
      <c r="H38" s="59">
        <f t="shared" si="36"/>
        <v>401.489</v>
      </c>
      <c r="I38" s="46">
        <f t="shared" si="37"/>
        <v>386.8894</v>
      </c>
      <c r="J38" s="46">
        <f t="shared" si="38"/>
        <v>398.496082</v>
      </c>
      <c r="K38" s="46">
        <f t="shared" si="39"/>
        <v>33.506082</v>
      </c>
      <c r="L38" s="46">
        <f t="shared" si="40"/>
        <v>529.9894</v>
      </c>
      <c r="M38" s="46">
        <f t="shared" si="41"/>
        <v>545.889082</v>
      </c>
      <c r="N38" s="46">
        <f t="shared" si="42"/>
        <v>438.3456902</v>
      </c>
      <c r="O38" s="46">
        <f t="shared" si="43"/>
        <v>458.2704943</v>
      </c>
      <c r="P38" s="46">
        <f t="shared" si="44"/>
        <v>45.899082</v>
      </c>
      <c r="Q38" s="46">
        <f t="shared" si="45"/>
        <v>39.8496082</v>
      </c>
      <c r="R38" s="46">
        <f t="shared" si="46"/>
        <v>59.7744123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</row>
    <row r="39">
      <c r="A39" s="33" t="s">
        <v>105</v>
      </c>
      <c r="B39" s="12">
        <v>8.10047073864E11</v>
      </c>
      <c r="C39" s="33" t="s">
        <v>106</v>
      </c>
      <c r="D39" s="37"/>
      <c r="E39" s="13">
        <v>656.99</v>
      </c>
      <c r="F39" s="39">
        <v>599.99</v>
      </c>
      <c r="G39" s="13">
        <v>1058.81</v>
      </c>
      <c r="H39" s="59">
        <f t="shared" si="36"/>
        <v>722.689</v>
      </c>
      <c r="I39" s="46">
        <f t="shared" si="37"/>
        <v>696.4094</v>
      </c>
      <c r="J39" s="46">
        <f t="shared" si="38"/>
        <v>717.301682</v>
      </c>
      <c r="K39" s="46">
        <f t="shared" si="39"/>
        <v>60.311682</v>
      </c>
      <c r="L39" s="46">
        <f t="shared" si="40"/>
        <v>635.9894</v>
      </c>
      <c r="M39" s="46">
        <f t="shared" si="41"/>
        <v>655.069082</v>
      </c>
      <c r="N39" s="46">
        <f t="shared" si="42"/>
        <v>789.0318502</v>
      </c>
      <c r="O39" s="46">
        <f t="shared" si="43"/>
        <v>824.8969343</v>
      </c>
      <c r="P39" s="46">
        <f t="shared" si="44"/>
        <v>55.079082</v>
      </c>
      <c r="Q39" s="46">
        <f t="shared" si="45"/>
        <v>71.7301682</v>
      </c>
      <c r="R39" s="46">
        <f t="shared" si="46"/>
        <v>107.5952523</v>
      </c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</row>
    <row r="40">
      <c r="A40" s="33" t="s">
        <v>107</v>
      </c>
      <c r="B40" s="12">
        <v>8.10047073888E11</v>
      </c>
      <c r="C40" s="33" t="s">
        <v>100</v>
      </c>
      <c r="D40" s="37"/>
      <c r="E40" s="13">
        <v>729.99</v>
      </c>
      <c r="F40" s="39">
        <v>999.99</v>
      </c>
      <c r="G40" s="13">
        <v>1176.46</v>
      </c>
      <c r="H40" s="59">
        <f t="shared" si="36"/>
        <v>802.989</v>
      </c>
      <c r="I40" s="46">
        <f t="shared" si="37"/>
        <v>773.7894</v>
      </c>
      <c r="J40" s="46">
        <f t="shared" si="38"/>
        <v>797.003082</v>
      </c>
      <c r="K40" s="46">
        <f t="shared" si="39"/>
        <v>67.013082</v>
      </c>
      <c r="L40" s="46">
        <f t="shared" si="40"/>
        <v>1059.9894</v>
      </c>
      <c r="M40" s="46">
        <f t="shared" si="41"/>
        <v>1091.789082</v>
      </c>
      <c r="N40" s="46">
        <f t="shared" si="42"/>
        <v>876.7033902</v>
      </c>
      <c r="O40" s="46">
        <f t="shared" si="43"/>
        <v>916.5535443</v>
      </c>
      <c r="P40" s="46">
        <f t="shared" si="44"/>
        <v>91.799082</v>
      </c>
      <c r="Q40" s="46">
        <f t="shared" si="45"/>
        <v>79.7003082</v>
      </c>
      <c r="R40" s="46">
        <f t="shared" si="46"/>
        <v>119.5504623</v>
      </c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</row>
    <row r="41">
      <c r="A41" s="33" t="s">
        <v>108</v>
      </c>
      <c r="B41" s="12">
        <v>6.05930625462E11</v>
      </c>
      <c r="C41" s="33" t="s">
        <v>109</v>
      </c>
      <c r="D41" s="37"/>
      <c r="E41" s="13">
        <v>532.89</v>
      </c>
      <c r="F41" s="39">
        <v>729.99</v>
      </c>
      <c r="G41" s="13">
        <v>858.81</v>
      </c>
      <c r="H41" s="45">
        <f t="shared" ref="H41:H45" si="47">(E41*$N$1)+E41</f>
        <v>586.179</v>
      </c>
      <c r="I41" s="46">
        <f t="shared" ref="I41:I50" si="48">($I$1*E41)+E41</f>
        <v>564.8634</v>
      </c>
      <c r="J41" s="46">
        <f t="shared" ref="J41:J50" si="49">($J$1*I41)+I41</f>
        <v>581.809302</v>
      </c>
      <c r="K41" s="46">
        <f t="shared" ref="K41:K50" si="50">J41-E41</f>
        <v>48.919302</v>
      </c>
      <c r="L41" s="46">
        <f t="shared" ref="L41:L50" si="51">((F41*$I$1)+F41)</f>
        <v>773.7894</v>
      </c>
      <c r="M41" s="46">
        <f t="shared" ref="M41:M50" si="52">(+L41*$J$1)+L41</f>
        <v>797.003082</v>
      </c>
      <c r="N41" s="46">
        <f t="shared" ref="N41:N50" si="53">($N$1*J41)+J41</f>
        <v>639.9902322</v>
      </c>
      <c r="O41" s="46">
        <f t="shared" ref="O41:O50" si="54">($O$1*J41)+J41</f>
        <v>669.0806973</v>
      </c>
      <c r="P41" s="46">
        <f t="shared" ref="P41:P50" si="55">M41-F41</f>
        <v>67.013082</v>
      </c>
      <c r="Q41" s="46">
        <f t="shared" ref="Q41:Q50" si="56">N41-E41</f>
        <v>107.1002322</v>
      </c>
      <c r="R41" s="46">
        <f t="shared" ref="R41:R50" si="57">O41-E41</f>
        <v>136.1906973</v>
      </c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</row>
    <row r="42">
      <c r="A42" s="33" t="s">
        <v>110</v>
      </c>
      <c r="B42" s="12">
        <v>6.05930625486E11</v>
      </c>
      <c r="C42" s="33" t="s">
        <v>111</v>
      </c>
      <c r="D42" s="37"/>
      <c r="E42" s="13">
        <v>875.99</v>
      </c>
      <c r="F42" s="39">
        <v>1199.0</v>
      </c>
      <c r="G42" s="13">
        <v>1411.75</v>
      </c>
      <c r="H42" s="45">
        <f t="shared" si="47"/>
        <v>963.589</v>
      </c>
      <c r="I42" s="46">
        <f t="shared" si="48"/>
        <v>928.5494</v>
      </c>
      <c r="J42" s="46">
        <f t="shared" si="49"/>
        <v>956.405882</v>
      </c>
      <c r="K42" s="46">
        <f t="shared" si="50"/>
        <v>80.415882</v>
      </c>
      <c r="L42" s="46">
        <f t="shared" si="51"/>
        <v>1270.94</v>
      </c>
      <c r="M42" s="46">
        <f t="shared" si="52"/>
        <v>1309.0682</v>
      </c>
      <c r="N42" s="46">
        <f t="shared" si="53"/>
        <v>1052.04647</v>
      </c>
      <c r="O42" s="46">
        <f t="shared" si="54"/>
        <v>1099.866764</v>
      </c>
      <c r="P42" s="46">
        <f t="shared" si="55"/>
        <v>110.0682</v>
      </c>
      <c r="Q42" s="46">
        <f t="shared" si="56"/>
        <v>176.0564702</v>
      </c>
      <c r="R42" s="46">
        <f t="shared" si="57"/>
        <v>223.8767643</v>
      </c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</row>
    <row r="43">
      <c r="A43" s="33" t="s">
        <v>112</v>
      </c>
      <c r="B43" s="12">
        <v>8.10047072294E11</v>
      </c>
      <c r="C43" s="33" t="s">
        <v>113</v>
      </c>
      <c r="D43" s="37"/>
      <c r="E43" s="13">
        <v>165.59</v>
      </c>
      <c r="F43" s="39">
        <v>239.99</v>
      </c>
      <c r="G43" s="13">
        <v>282.34</v>
      </c>
      <c r="H43" s="45">
        <f t="shared" si="47"/>
        <v>182.149</v>
      </c>
      <c r="I43" s="46">
        <f t="shared" si="48"/>
        <v>175.5254</v>
      </c>
      <c r="J43" s="46">
        <f t="shared" si="49"/>
        <v>180.791162</v>
      </c>
      <c r="K43" s="46">
        <f t="shared" si="50"/>
        <v>15.201162</v>
      </c>
      <c r="L43" s="46">
        <f t="shared" si="51"/>
        <v>254.3894</v>
      </c>
      <c r="M43" s="46">
        <f t="shared" si="52"/>
        <v>262.021082</v>
      </c>
      <c r="N43" s="46">
        <f t="shared" si="53"/>
        <v>198.8702782</v>
      </c>
      <c r="O43" s="46">
        <f t="shared" si="54"/>
        <v>207.9098363</v>
      </c>
      <c r="P43" s="46">
        <f t="shared" si="55"/>
        <v>22.031082</v>
      </c>
      <c r="Q43" s="46">
        <f t="shared" si="56"/>
        <v>33.2802782</v>
      </c>
      <c r="R43" s="46">
        <f t="shared" si="57"/>
        <v>42.3198363</v>
      </c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</row>
    <row r="44">
      <c r="A44" s="33" t="s">
        <v>114</v>
      </c>
      <c r="B44" s="12">
        <v>8.10047073802E11</v>
      </c>
      <c r="C44" s="33" t="s">
        <v>115</v>
      </c>
      <c r="D44" s="37"/>
      <c r="E44" s="13">
        <v>241.49</v>
      </c>
      <c r="F44" s="39">
        <v>349.99</v>
      </c>
      <c r="G44" s="13">
        <v>411.75</v>
      </c>
      <c r="H44" s="45">
        <f t="shared" si="47"/>
        <v>265.639</v>
      </c>
      <c r="I44" s="46">
        <f t="shared" si="48"/>
        <v>255.9794</v>
      </c>
      <c r="J44" s="46">
        <f t="shared" si="49"/>
        <v>263.658782</v>
      </c>
      <c r="K44" s="46">
        <f t="shared" si="50"/>
        <v>22.168782</v>
      </c>
      <c r="L44" s="46">
        <f t="shared" si="51"/>
        <v>370.9894</v>
      </c>
      <c r="M44" s="46">
        <f t="shared" si="52"/>
        <v>382.119082</v>
      </c>
      <c r="N44" s="46">
        <f t="shared" si="53"/>
        <v>290.0246602</v>
      </c>
      <c r="O44" s="46">
        <f t="shared" si="54"/>
        <v>303.2075993</v>
      </c>
      <c r="P44" s="46">
        <f t="shared" si="55"/>
        <v>32.129082</v>
      </c>
      <c r="Q44" s="46">
        <f t="shared" si="56"/>
        <v>48.5346602</v>
      </c>
      <c r="R44" s="46">
        <f t="shared" si="57"/>
        <v>61.7175993</v>
      </c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</row>
    <row r="45">
      <c r="A45" s="33" t="s">
        <v>116</v>
      </c>
      <c r="B45" s="12" t="s">
        <v>46</v>
      </c>
      <c r="C45" s="33" t="s">
        <v>117</v>
      </c>
      <c r="D45" s="13"/>
      <c r="E45" s="13">
        <v>77.19</v>
      </c>
      <c r="F45" s="39">
        <v>95.0</v>
      </c>
      <c r="G45" s="13">
        <v>95.0</v>
      </c>
      <c r="H45" s="45">
        <f t="shared" si="47"/>
        <v>84.909</v>
      </c>
      <c r="I45" s="46">
        <f t="shared" si="48"/>
        <v>81.8214</v>
      </c>
      <c r="J45" s="46">
        <f t="shared" si="49"/>
        <v>84.276042</v>
      </c>
      <c r="K45" s="46">
        <f t="shared" si="50"/>
        <v>7.086042</v>
      </c>
      <c r="L45" s="46">
        <f t="shared" si="51"/>
        <v>100.7</v>
      </c>
      <c r="M45" s="46">
        <f t="shared" si="52"/>
        <v>103.721</v>
      </c>
      <c r="N45" s="46">
        <f t="shared" si="53"/>
        <v>92.7036462</v>
      </c>
      <c r="O45" s="46">
        <f t="shared" si="54"/>
        <v>96.9174483</v>
      </c>
      <c r="P45" s="46">
        <f t="shared" si="55"/>
        <v>8.721</v>
      </c>
      <c r="Q45" s="46">
        <f t="shared" si="56"/>
        <v>15.5136462</v>
      </c>
      <c r="R45" s="46">
        <f t="shared" si="57"/>
        <v>19.7274483</v>
      </c>
      <c r="S45" s="12">
        <v>20.0</v>
      </c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</row>
    <row r="46">
      <c r="A46" s="33" t="s">
        <v>118</v>
      </c>
      <c r="B46" s="12">
        <v>8.10047073215E11</v>
      </c>
      <c r="C46" s="33" t="s">
        <v>119</v>
      </c>
      <c r="D46" s="37"/>
      <c r="E46" s="13">
        <v>331.79</v>
      </c>
      <c r="F46" s="39">
        <v>419.99</v>
      </c>
      <c r="G46" s="13">
        <v>494.11</v>
      </c>
      <c r="H46" s="45">
        <f>IFERROR((E46*$N$1)+E46, "")</f>
        <v>364.969</v>
      </c>
      <c r="I46" s="46">
        <f t="shared" si="48"/>
        <v>351.6974</v>
      </c>
      <c r="J46" s="46">
        <f t="shared" si="49"/>
        <v>362.248322</v>
      </c>
      <c r="K46" s="46">
        <f t="shared" si="50"/>
        <v>30.458322</v>
      </c>
      <c r="L46" s="46">
        <f t="shared" si="51"/>
        <v>445.1894</v>
      </c>
      <c r="M46" s="46">
        <f t="shared" si="52"/>
        <v>458.545082</v>
      </c>
      <c r="N46" s="46">
        <f t="shared" si="53"/>
        <v>398.4731542</v>
      </c>
      <c r="O46" s="46">
        <f t="shared" si="54"/>
        <v>416.5855703</v>
      </c>
      <c r="P46" s="46">
        <f t="shared" si="55"/>
        <v>38.555082</v>
      </c>
      <c r="Q46" s="46">
        <f t="shared" si="56"/>
        <v>66.6831542</v>
      </c>
      <c r="R46" s="46">
        <f t="shared" si="57"/>
        <v>84.7955703</v>
      </c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</row>
    <row r="47">
      <c r="A47" s="33" t="s">
        <v>120</v>
      </c>
      <c r="B47" s="12">
        <v>8.10047072904E11</v>
      </c>
      <c r="C47" s="33" t="s">
        <v>121</v>
      </c>
      <c r="D47" s="37"/>
      <c r="E47" s="13">
        <v>167.89</v>
      </c>
      <c r="F47" s="39">
        <v>229.99</v>
      </c>
      <c r="G47" s="13">
        <v>270.58</v>
      </c>
      <c r="H47" s="45">
        <f t="shared" ref="H47:H50" si="58">(E47*$N$1)+E47</f>
        <v>184.679</v>
      </c>
      <c r="I47" s="46">
        <f t="shared" si="48"/>
        <v>177.9634</v>
      </c>
      <c r="J47" s="46">
        <f t="shared" si="49"/>
        <v>183.302302</v>
      </c>
      <c r="K47" s="46">
        <f t="shared" si="50"/>
        <v>15.412302</v>
      </c>
      <c r="L47" s="46">
        <f t="shared" si="51"/>
        <v>243.7894</v>
      </c>
      <c r="M47" s="46">
        <f t="shared" si="52"/>
        <v>251.103082</v>
      </c>
      <c r="N47" s="46">
        <f t="shared" si="53"/>
        <v>201.6325322</v>
      </c>
      <c r="O47" s="46">
        <f t="shared" si="54"/>
        <v>210.7976473</v>
      </c>
      <c r="P47" s="46">
        <f t="shared" si="55"/>
        <v>21.113082</v>
      </c>
      <c r="Q47" s="46">
        <f t="shared" si="56"/>
        <v>33.7425322</v>
      </c>
      <c r="R47" s="46">
        <f t="shared" si="57"/>
        <v>42.9076473</v>
      </c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</row>
    <row r="48">
      <c r="A48" s="33" t="s">
        <v>122</v>
      </c>
      <c r="B48" s="12">
        <v>8.10047072881E11</v>
      </c>
      <c r="C48" s="33" t="s">
        <v>123</v>
      </c>
      <c r="D48" s="37"/>
      <c r="E48" s="13">
        <v>197.09</v>
      </c>
      <c r="F48" s="39">
        <v>269.99</v>
      </c>
      <c r="G48" s="13">
        <v>317.64</v>
      </c>
      <c r="H48" s="45">
        <f t="shared" si="58"/>
        <v>216.799</v>
      </c>
      <c r="I48" s="46">
        <f t="shared" si="48"/>
        <v>208.9154</v>
      </c>
      <c r="J48" s="46">
        <f t="shared" si="49"/>
        <v>215.182862</v>
      </c>
      <c r="K48" s="46">
        <f t="shared" si="50"/>
        <v>18.092862</v>
      </c>
      <c r="L48" s="46">
        <f t="shared" si="51"/>
        <v>286.1894</v>
      </c>
      <c r="M48" s="46">
        <f t="shared" si="52"/>
        <v>294.775082</v>
      </c>
      <c r="N48" s="46">
        <f t="shared" si="53"/>
        <v>236.7011482</v>
      </c>
      <c r="O48" s="46">
        <f t="shared" si="54"/>
        <v>247.4602913</v>
      </c>
      <c r="P48" s="46">
        <f t="shared" si="55"/>
        <v>24.785082</v>
      </c>
      <c r="Q48" s="46">
        <f t="shared" si="56"/>
        <v>39.6111482</v>
      </c>
      <c r="R48" s="46">
        <f t="shared" si="57"/>
        <v>50.3702913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</row>
    <row r="49">
      <c r="A49" s="67" t="s">
        <v>124</v>
      </c>
      <c r="B49" s="67">
        <v>8.18805011707E11</v>
      </c>
      <c r="C49" s="67" t="s">
        <v>125</v>
      </c>
      <c r="D49" s="68"/>
      <c r="E49" s="68">
        <v>13.78</v>
      </c>
      <c r="F49" s="69">
        <v>17.99</v>
      </c>
      <c r="G49" s="68">
        <v>19.99</v>
      </c>
      <c r="H49" s="45">
        <f t="shared" si="58"/>
        <v>15.158</v>
      </c>
      <c r="I49" s="46">
        <f t="shared" si="48"/>
        <v>14.6068</v>
      </c>
      <c r="J49" s="46">
        <f t="shared" si="49"/>
        <v>15.045004</v>
      </c>
      <c r="K49" s="46">
        <f t="shared" si="50"/>
        <v>1.265004</v>
      </c>
      <c r="L49" s="46">
        <f t="shared" si="51"/>
        <v>19.0694</v>
      </c>
      <c r="M49" s="46">
        <f t="shared" si="52"/>
        <v>19.641482</v>
      </c>
      <c r="N49" s="46">
        <f t="shared" si="53"/>
        <v>16.5495044</v>
      </c>
      <c r="O49" s="46">
        <f t="shared" si="54"/>
        <v>17.3017546</v>
      </c>
      <c r="P49" s="46">
        <f t="shared" si="55"/>
        <v>1.651482</v>
      </c>
      <c r="Q49" s="46">
        <f t="shared" si="56"/>
        <v>2.7695044</v>
      </c>
      <c r="R49" s="46">
        <f t="shared" si="57"/>
        <v>3.5217546</v>
      </c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</row>
    <row r="50">
      <c r="A50" s="67" t="s">
        <v>126</v>
      </c>
      <c r="B50" s="67">
        <v>8.18805010014E11</v>
      </c>
      <c r="C50" s="67" t="s">
        <v>127</v>
      </c>
      <c r="D50" s="68"/>
      <c r="E50" s="68">
        <v>13.78</v>
      </c>
      <c r="F50" s="69">
        <v>17.99</v>
      </c>
      <c r="G50" s="68">
        <v>19.99</v>
      </c>
      <c r="H50" s="45">
        <f t="shared" si="58"/>
        <v>15.158</v>
      </c>
      <c r="I50" s="46">
        <f t="shared" si="48"/>
        <v>14.6068</v>
      </c>
      <c r="J50" s="46">
        <f t="shared" si="49"/>
        <v>15.045004</v>
      </c>
      <c r="K50" s="46">
        <f t="shared" si="50"/>
        <v>1.265004</v>
      </c>
      <c r="L50" s="46">
        <f t="shared" si="51"/>
        <v>19.0694</v>
      </c>
      <c r="M50" s="46">
        <f t="shared" si="52"/>
        <v>19.641482</v>
      </c>
      <c r="N50" s="46">
        <f t="shared" si="53"/>
        <v>16.5495044</v>
      </c>
      <c r="O50" s="46">
        <f t="shared" si="54"/>
        <v>17.3017546</v>
      </c>
      <c r="P50" s="46">
        <f t="shared" si="55"/>
        <v>1.651482</v>
      </c>
      <c r="Q50" s="46">
        <f t="shared" si="56"/>
        <v>2.7695044</v>
      </c>
      <c r="R50" s="46">
        <f t="shared" si="57"/>
        <v>3.5217546</v>
      </c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</row>
    <row r="51">
      <c r="A51" s="33" t="s">
        <v>128</v>
      </c>
      <c r="B51" s="12">
        <v>8.40815122531E11</v>
      </c>
      <c r="C51" s="33" t="s">
        <v>129</v>
      </c>
      <c r="D51" s="37"/>
      <c r="E51" s="13">
        <v>14.0</v>
      </c>
      <c r="F51" s="13">
        <v>18.95</v>
      </c>
      <c r="G51" s="13">
        <v>19.95</v>
      </c>
      <c r="H51" s="37">
        <f t="shared" ref="H51:H57" si="59">IF(E51="", "", IFERROR((E51*$N$1)+E51, ""))</f>
        <v>15.4</v>
      </c>
      <c r="I51" s="46">
        <f t="shared" ref="I51:I57" si="60">IF(E51="", "", IFERROR(($I$1*E51)+E51, ""))</f>
        <v>14.84</v>
      </c>
      <c r="J51" s="46">
        <f t="shared" ref="J51:J57" si="61">IF(I51="", "", IFERROR(($J$1*I51)+I51, ""))</f>
        <v>15.2852</v>
      </c>
      <c r="K51" s="46">
        <f t="shared" ref="K51:K57" si="62">IF(E51="", "", IFERROR(J51-E51, ""))</f>
        <v>1.2852</v>
      </c>
      <c r="L51" s="46">
        <f t="shared" ref="L51:L57" si="63">IF(F51="", "", IFERROR((F51*$I$1)+F51, ""))</f>
        <v>20.087</v>
      </c>
      <c r="M51" s="46">
        <f t="shared" ref="M51:M57" si="64">IF(L51="", "", IFERROR((+L51*$J$1)+L51, ""))</f>
        <v>20.68961</v>
      </c>
      <c r="N51" s="46">
        <f t="shared" ref="N51:N57" si="65">IF(J51="", "", IFERROR(($N$1*J51)+J51, ""))</f>
        <v>16.81372</v>
      </c>
      <c r="O51" s="46">
        <f t="shared" ref="O51:O57" si="66">IF(J51="", "", IFERROR(($O$1*J51)+J51, ""))</f>
        <v>17.57798</v>
      </c>
      <c r="P51" s="46">
        <f t="shared" ref="P51:P57" si="67">IF(F51="", "", IFERROR(M51-F51, ""))</f>
        <v>1.73961</v>
      </c>
      <c r="Q51" s="46">
        <f t="shared" ref="Q51:Q57" si="68">IF(J51="", "", IFERROR(N51-J51, ""))</f>
        <v>1.52852</v>
      </c>
      <c r="R51" s="46">
        <f t="shared" ref="R51:R57" si="69">IF(J51="", "", IFERROR(O51-J51, ""))</f>
        <v>2.29278</v>
      </c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</row>
    <row r="52">
      <c r="A52" s="33" t="s">
        <v>130</v>
      </c>
      <c r="B52" s="12">
        <v>8.40815132233E11</v>
      </c>
      <c r="C52" s="33" t="s">
        <v>131</v>
      </c>
      <c r="D52" s="37"/>
      <c r="E52" s="13">
        <v>10.74</v>
      </c>
      <c r="F52" s="13">
        <v>15.15</v>
      </c>
      <c r="G52" s="13">
        <v>15.95</v>
      </c>
      <c r="H52" s="37">
        <f t="shared" si="59"/>
        <v>11.814</v>
      </c>
      <c r="I52" s="46">
        <f t="shared" si="60"/>
        <v>11.3844</v>
      </c>
      <c r="J52" s="46">
        <f t="shared" si="61"/>
        <v>11.725932</v>
      </c>
      <c r="K52" s="46">
        <f t="shared" si="62"/>
        <v>0.985932</v>
      </c>
      <c r="L52" s="46">
        <f t="shared" si="63"/>
        <v>16.059</v>
      </c>
      <c r="M52" s="46">
        <f t="shared" si="64"/>
        <v>16.54077</v>
      </c>
      <c r="N52" s="46">
        <f t="shared" si="65"/>
        <v>12.8985252</v>
      </c>
      <c r="O52" s="46">
        <f t="shared" si="66"/>
        <v>13.4848218</v>
      </c>
      <c r="P52" s="46">
        <f t="shared" si="67"/>
        <v>1.39077</v>
      </c>
      <c r="Q52" s="46">
        <f t="shared" si="68"/>
        <v>1.1725932</v>
      </c>
      <c r="R52" s="46">
        <f t="shared" si="69"/>
        <v>1.7588898</v>
      </c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</row>
    <row r="53">
      <c r="A53" s="33" t="s">
        <v>132</v>
      </c>
      <c r="B53" s="12">
        <v>8.73750009698E11</v>
      </c>
      <c r="C53" s="33" t="s">
        <v>133</v>
      </c>
      <c r="D53" s="37"/>
      <c r="E53" s="13">
        <v>15.47</v>
      </c>
      <c r="F53" s="13">
        <v>21.8</v>
      </c>
      <c r="G53" s="13">
        <v>22.95</v>
      </c>
      <c r="H53" s="37">
        <f t="shared" si="59"/>
        <v>17.017</v>
      </c>
      <c r="I53" s="46">
        <f t="shared" si="60"/>
        <v>16.3982</v>
      </c>
      <c r="J53" s="46">
        <f t="shared" si="61"/>
        <v>16.890146</v>
      </c>
      <c r="K53" s="46">
        <f t="shared" si="62"/>
        <v>1.420146</v>
      </c>
      <c r="L53" s="46">
        <f t="shared" si="63"/>
        <v>23.108</v>
      </c>
      <c r="M53" s="46">
        <f t="shared" si="64"/>
        <v>23.80124</v>
      </c>
      <c r="N53" s="46">
        <f t="shared" si="65"/>
        <v>18.5791606</v>
      </c>
      <c r="O53" s="46">
        <f t="shared" si="66"/>
        <v>19.4236679</v>
      </c>
      <c r="P53" s="46">
        <f t="shared" si="67"/>
        <v>2.00124</v>
      </c>
      <c r="Q53" s="46">
        <f t="shared" si="68"/>
        <v>1.6890146</v>
      </c>
      <c r="R53" s="46">
        <f t="shared" si="69"/>
        <v>2.5335219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</row>
    <row r="54">
      <c r="A54" s="33" t="s">
        <v>134</v>
      </c>
      <c r="B54" s="12">
        <v>8.73750006192E11</v>
      </c>
      <c r="C54" s="33" t="s">
        <v>135</v>
      </c>
      <c r="D54" s="37"/>
      <c r="E54" s="13">
        <v>10.08</v>
      </c>
      <c r="F54" s="39">
        <v>14.2</v>
      </c>
      <c r="G54" s="13">
        <v>14.95</v>
      </c>
      <c r="H54" s="59">
        <f t="shared" si="59"/>
        <v>11.088</v>
      </c>
      <c r="I54" s="46">
        <f t="shared" si="60"/>
        <v>10.6848</v>
      </c>
      <c r="J54" s="46">
        <f t="shared" si="61"/>
        <v>11.005344</v>
      </c>
      <c r="K54" s="46">
        <f t="shared" si="62"/>
        <v>0.925344</v>
      </c>
      <c r="L54" s="46">
        <f t="shared" si="63"/>
        <v>15.052</v>
      </c>
      <c r="M54" s="46">
        <f t="shared" si="64"/>
        <v>15.50356</v>
      </c>
      <c r="N54" s="46">
        <f t="shared" si="65"/>
        <v>12.1058784</v>
      </c>
      <c r="O54" s="46">
        <f t="shared" si="66"/>
        <v>12.6561456</v>
      </c>
      <c r="P54" s="46">
        <f t="shared" si="67"/>
        <v>1.30356</v>
      </c>
      <c r="Q54" s="46">
        <f t="shared" si="68"/>
        <v>1.1005344</v>
      </c>
      <c r="R54" s="46">
        <f t="shared" si="69"/>
        <v>1.6508016</v>
      </c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</row>
    <row r="55">
      <c r="A55" s="33" t="s">
        <v>136</v>
      </c>
      <c r="B55" s="12">
        <v>8.4081510056E11</v>
      </c>
      <c r="C55" s="33" t="s">
        <v>137</v>
      </c>
      <c r="D55" s="37"/>
      <c r="E55" s="13">
        <v>90.92</v>
      </c>
      <c r="F55" s="13">
        <v>128.2</v>
      </c>
      <c r="G55" s="13">
        <v>134.95</v>
      </c>
      <c r="H55" s="37">
        <f t="shared" si="59"/>
        <v>100.012</v>
      </c>
      <c r="I55" s="46">
        <f t="shared" si="60"/>
        <v>96.3752</v>
      </c>
      <c r="J55" s="46">
        <f t="shared" si="61"/>
        <v>99.266456</v>
      </c>
      <c r="K55" s="46">
        <f t="shared" si="62"/>
        <v>8.346456</v>
      </c>
      <c r="L55" s="46">
        <f t="shared" si="63"/>
        <v>135.892</v>
      </c>
      <c r="M55" s="46">
        <f t="shared" si="64"/>
        <v>139.96876</v>
      </c>
      <c r="N55" s="46">
        <f t="shared" si="65"/>
        <v>109.1931016</v>
      </c>
      <c r="O55" s="46">
        <f t="shared" si="66"/>
        <v>114.1564244</v>
      </c>
      <c r="P55" s="46">
        <f t="shared" si="67"/>
        <v>11.76876</v>
      </c>
      <c r="Q55" s="46">
        <f t="shared" si="68"/>
        <v>9.9266456</v>
      </c>
      <c r="R55" s="46">
        <f t="shared" si="69"/>
        <v>14.8899684</v>
      </c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</row>
    <row r="56">
      <c r="A56" s="33" t="s">
        <v>138</v>
      </c>
      <c r="B56" s="12">
        <v>8.40815109716E11</v>
      </c>
      <c r="C56" s="33" t="s">
        <v>139</v>
      </c>
      <c r="D56" s="37"/>
      <c r="E56" s="13">
        <v>13.44</v>
      </c>
      <c r="F56" s="13">
        <v>18.95</v>
      </c>
      <c r="G56" s="13">
        <v>19.95</v>
      </c>
      <c r="H56" s="37">
        <f t="shared" si="59"/>
        <v>14.784</v>
      </c>
      <c r="I56" s="46">
        <f t="shared" si="60"/>
        <v>14.2464</v>
      </c>
      <c r="J56" s="46">
        <f t="shared" si="61"/>
        <v>14.673792</v>
      </c>
      <c r="K56" s="46">
        <f t="shared" si="62"/>
        <v>1.233792</v>
      </c>
      <c r="L56" s="46">
        <f t="shared" si="63"/>
        <v>20.087</v>
      </c>
      <c r="M56" s="46">
        <f t="shared" si="64"/>
        <v>20.68961</v>
      </c>
      <c r="N56" s="46">
        <f t="shared" si="65"/>
        <v>16.1411712</v>
      </c>
      <c r="O56" s="46">
        <f t="shared" si="66"/>
        <v>16.8748608</v>
      </c>
      <c r="P56" s="46">
        <f t="shared" si="67"/>
        <v>1.73961</v>
      </c>
      <c r="Q56" s="46">
        <f t="shared" si="68"/>
        <v>1.4673792</v>
      </c>
      <c r="R56" s="46">
        <f t="shared" si="69"/>
        <v>2.2010688</v>
      </c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</row>
    <row r="57">
      <c r="A57" s="33" t="s">
        <v>140</v>
      </c>
      <c r="B57" s="12">
        <v>8.40815117223E11</v>
      </c>
      <c r="C57" s="33" t="s">
        <v>141</v>
      </c>
      <c r="D57" s="37"/>
      <c r="E57" s="13">
        <v>10.31</v>
      </c>
      <c r="F57" s="13">
        <v>15.15</v>
      </c>
      <c r="G57" s="13">
        <v>15.95</v>
      </c>
      <c r="H57" s="37">
        <f t="shared" si="59"/>
        <v>11.341</v>
      </c>
      <c r="I57" s="46">
        <f t="shared" si="60"/>
        <v>10.9286</v>
      </c>
      <c r="J57" s="46">
        <f t="shared" si="61"/>
        <v>11.256458</v>
      </c>
      <c r="K57" s="46">
        <f t="shared" si="62"/>
        <v>0.946458</v>
      </c>
      <c r="L57" s="46">
        <f t="shared" si="63"/>
        <v>16.059</v>
      </c>
      <c r="M57" s="46">
        <f t="shared" si="64"/>
        <v>16.54077</v>
      </c>
      <c r="N57" s="46">
        <f t="shared" si="65"/>
        <v>12.3821038</v>
      </c>
      <c r="O57" s="46">
        <f t="shared" si="66"/>
        <v>12.9449267</v>
      </c>
      <c r="P57" s="46">
        <f t="shared" si="67"/>
        <v>1.39077</v>
      </c>
      <c r="Q57" s="46">
        <f t="shared" si="68"/>
        <v>1.1256458</v>
      </c>
      <c r="R57" s="46">
        <f t="shared" si="69"/>
        <v>1.6884687</v>
      </c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</row>
    <row r="58">
      <c r="A58" s="67" t="s">
        <v>142</v>
      </c>
      <c r="B58" s="67">
        <v>7.3667690428E11</v>
      </c>
      <c r="C58" s="67" t="s">
        <v>143</v>
      </c>
      <c r="D58" s="68"/>
      <c r="E58" s="68">
        <v>15.92</v>
      </c>
      <c r="F58" s="69" t="s">
        <v>46</v>
      </c>
      <c r="G58" s="68">
        <v>26.95</v>
      </c>
      <c r="H58" s="45">
        <f t="shared" ref="H58:H60" si="70">(E58*$N$1)+E58</f>
        <v>17.512</v>
      </c>
      <c r="I58" s="46">
        <f t="shared" ref="I58:I60" si="71">($I$1*E58)+E58</f>
        <v>16.8752</v>
      </c>
      <c r="J58" s="46">
        <f t="shared" ref="J58:J60" si="72">($J$1*I58)+I58</f>
        <v>17.381456</v>
      </c>
      <c r="K58" s="46">
        <f t="shared" ref="K58:K60" si="73">J58-E58</f>
        <v>1.461456</v>
      </c>
      <c r="L58" s="46" t="str">
        <f t="shared" ref="L58:L60" si="74">((F58*$I$1)+F58)</f>
        <v>#VALUE!</v>
      </c>
      <c r="M58" s="46" t="str">
        <f t="shared" ref="M58:M60" si="75">(+L58*$J$1)+L58</f>
        <v>#VALUE!</v>
      </c>
      <c r="N58" s="46">
        <f t="shared" ref="N58:N60" si="76">($N$1*J58)+J58</f>
        <v>19.1196016</v>
      </c>
      <c r="O58" s="46">
        <f t="shared" ref="O58:O60" si="77">($O$1*J58)+J58</f>
        <v>19.9886744</v>
      </c>
      <c r="P58" s="46" t="str">
        <f t="shared" ref="P58:P60" si="78">M58-F58</f>
        <v>#VALUE!</v>
      </c>
      <c r="Q58" s="46">
        <f t="shared" ref="Q58:Q60" si="79">N58-E58</f>
        <v>3.1996016</v>
      </c>
      <c r="R58" s="46">
        <f t="shared" ref="R58:R60" si="80">O58-E58</f>
        <v>4.0686744</v>
      </c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</row>
    <row r="59">
      <c r="A59" s="33" t="s">
        <v>154</v>
      </c>
      <c r="B59" s="12">
        <v>8.73750010687E11</v>
      </c>
      <c r="C59" s="33" t="s">
        <v>155</v>
      </c>
      <c r="D59" s="37"/>
      <c r="E59" s="13">
        <v>36.68</v>
      </c>
      <c r="F59" s="39">
        <v>47.45</v>
      </c>
      <c r="G59" s="13">
        <v>49.95</v>
      </c>
      <c r="H59" s="45">
        <f t="shared" si="70"/>
        <v>40.348</v>
      </c>
      <c r="I59" s="46">
        <f t="shared" si="71"/>
        <v>38.8808</v>
      </c>
      <c r="J59" s="46">
        <f t="shared" si="72"/>
        <v>40.047224</v>
      </c>
      <c r="K59" s="46">
        <f t="shared" si="73"/>
        <v>3.367224</v>
      </c>
      <c r="L59" s="46">
        <f t="shared" si="74"/>
        <v>50.297</v>
      </c>
      <c r="M59" s="46">
        <f t="shared" si="75"/>
        <v>51.80591</v>
      </c>
      <c r="N59" s="46">
        <f t="shared" si="76"/>
        <v>44.0519464</v>
      </c>
      <c r="O59" s="46">
        <f t="shared" si="77"/>
        <v>46.0543076</v>
      </c>
      <c r="P59" s="46">
        <f t="shared" si="78"/>
        <v>4.35591</v>
      </c>
      <c r="Q59" s="46">
        <f t="shared" si="79"/>
        <v>7.3719464</v>
      </c>
      <c r="R59" s="46">
        <f t="shared" si="80"/>
        <v>9.3743076</v>
      </c>
      <c r="S59" s="12">
        <v>340.0</v>
      </c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</row>
    <row r="60">
      <c r="A60" s="75" t="s">
        <v>157</v>
      </c>
      <c r="B60" s="76">
        <v>6.80017480363E11</v>
      </c>
      <c r="C60" s="77" t="s">
        <v>160</v>
      </c>
      <c r="D60" s="37"/>
      <c r="E60" s="13">
        <v>269.46</v>
      </c>
      <c r="F60" s="39" t="s">
        <v>46</v>
      </c>
      <c r="G60" s="13">
        <v>349.95</v>
      </c>
      <c r="H60" s="45">
        <f t="shared" si="70"/>
        <v>296.406</v>
      </c>
      <c r="I60" s="46">
        <f t="shared" si="71"/>
        <v>285.6276</v>
      </c>
      <c r="J60" s="46">
        <f t="shared" si="72"/>
        <v>294.196428</v>
      </c>
      <c r="K60" s="46">
        <f t="shared" si="73"/>
        <v>24.736428</v>
      </c>
      <c r="L60" s="46" t="str">
        <f t="shared" si="74"/>
        <v>#VALUE!</v>
      </c>
      <c r="M60" s="46" t="str">
        <f t="shared" si="75"/>
        <v>#VALUE!</v>
      </c>
      <c r="N60" s="46">
        <f t="shared" si="76"/>
        <v>323.6160708</v>
      </c>
      <c r="O60" s="46">
        <f t="shared" si="77"/>
        <v>338.3258922</v>
      </c>
      <c r="P60" s="46" t="str">
        <f t="shared" si="78"/>
        <v>#VALUE!</v>
      </c>
      <c r="Q60" s="46">
        <f t="shared" si="79"/>
        <v>54.1560708</v>
      </c>
      <c r="R60" s="46">
        <f t="shared" si="80"/>
        <v>68.8658922</v>
      </c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</row>
    <row r="61">
      <c r="A61" s="33" t="s">
        <v>163</v>
      </c>
      <c r="B61" s="12">
        <v>8.4871323864E10</v>
      </c>
      <c r="C61" s="33" t="s">
        <v>164</v>
      </c>
      <c r="D61" s="37"/>
      <c r="E61" s="13">
        <v>132.3</v>
      </c>
      <c r="F61" s="39">
        <v>189.0</v>
      </c>
      <c r="G61" s="13">
        <v>210.0</v>
      </c>
      <c r="H61" s="59">
        <f>IF(E61="", "", IFERROR((E61*$N$1)+E61, ""))</f>
        <v>145.53</v>
      </c>
      <c r="I61" s="46">
        <f>IF(E61="", "", IFERROR(($I$1*E61)+E61, ""))</f>
        <v>140.238</v>
      </c>
      <c r="J61" s="46">
        <f>IF(I61="", "", IFERROR(($J$1*I61)+I61, ""))</f>
        <v>144.44514</v>
      </c>
      <c r="K61" s="46">
        <f>IF(E61="", "", IFERROR(J61-E61, ""))</f>
        <v>12.14514</v>
      </c>
      <c r="L61" s="46">
        <f>IF(F61="", "", IFERROR((F61*$I$1)+F61, ""))</f>
        <v>200.34</v>
      </c>
      <c r="M61" s="46">
        <f>IF(L61="", "", IFERROR((+L61*$J$1)+L61, ""))</f>
        <v>206.3502</v>
      </c>
      <c r="N61" s="46">
        <f>IF(J61="", "", IFERROR(($N$1*J61)+J61, ""))</f>
        <v>158.889654</v>
      </c>
      <c r="O61" s="46">
        <f>IF(J61="", "", IFERROR(($O$1*J61)+J61, ""))</f>
        <v>166.111911</v>
      </c>
      <c r="P61" s="46">
        <f>IF(F61="", "", IFERROR(M61-F61, ""))</f>
        <v>17.3502</v>
      </c>
      <c r="Q61" s="46">
        <f>IF(J61="", "", IFERROR(N61-J61, ""))</f>
        <v>14.444514</v>
      </c>
      <c r="R61" s="46">
        <f>IF(J61="", "", IFERROR(O61-J61, ""))</f>
        <v>21.666771</v>
      </c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</row>
    <row r="62">
      <c r="A62" s="33" t="s">
        <v>169</v>
      </c>
      <c r="B62" s="12">
        <v>8.4871327558E10</v>
      </c>
      <c r="C62" s="33" t="s">
        <v>170</v>
      </c>
      <c r="D62" s="37"/>
      <c r="E62" s="13">
        <v>91.7</v>
      </c>
      <c r="F62" s="39">
        <v>131.0</v>
      </c>
      <c r="G62" s="13">
        <v>145.0</v>
      </c>
      <c r="H62" s="45">
        <f>(E62*$N$1)+E62</f>
        <v>100.87</v>
      </c>
      <c r="I62" s="46">
        <f>($I$1*E62)+E62</f>
        <v>97.202</v>
      </c>
      <c r="J62" s="46">
        <f>($J$1*I62)+I62</f>
        <v>100.11806</v>
      </c>
      <c r="K62" s="46">
        <f>J62-E62</f>
        <v>8.41806</v>
      </c>
      <c r="L62" s="46">
        <f>((F62*$I$1)+F62)</f>
        <v>138.86</v>
      </c>
      <c r="M62" s="46">
        <f>(+L62*$J$1)+L62</f>
        <v>143.0258</v>
      </c>
      <c r="N62" s="46">
        <f>($N$1*J62)+J62</f>
        <v>110.129866</v>
      </c>
      <c r="O62" s="46">
        <f>($O$1*J62)+J62</f>
        <v>115.135769</v>
      </c>
      <c r="P62" s="46">
        <f>M62-F62</f>
        <v>12.0258</v>
      </c>
      <c r="Q62" s="46">
        <f>N62-E62</f>
        <v>18.429866</v>
      </c>
      <c r="R62" s="46">
        <f>O62-E62</f>
        <v>23.435769</v>
      </c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</row>
    <row r="63">
      <c r="A63" s="33" t="s">
        <v>172</v>
      </c>
      <c r="B63" s="12">
        <v>8.4871323857E10</v>
      </c>
      <c r="C63" s="33" t="s">
        <v>173</v>
      </c>
      <c r="D63" s="37"/>
      <c r="E63" s="13">
        <v>129.5</v>
      </c>
      <c r="F63" s="39">
        <v>185.0</v>
      </c>
      <c r="G63" s="13">
        <v>205.0</v>
      </c>
      <c r="H63" s="59">
        <f>IF(E63="", "", IFERROR((E63*$N$1)+E63, ""))</f>
        <v>142.45</v>
      </c>
      <c r="I63" s="46">
        <f>IF(E63="", "", IFERROR(($I$1*E63)+E63, ""))</f>
        <v>137.27</v>
      </c>
      <c r="J63" s="46">
        <f>IF(I63="", "", IFERROR(($J$1*I63)+I63, ""))</f>
        <v>141.3881</v>
      </c>
      <c r="K63" s="46">
        <f>IF(E63="", "", IFERROR(J63-E63, ""))</f>
        <v>11.8881</v>
      </c>
      <c r="L63" s="46">
        <f>IF(F63="", "", IFERROR((F63*$I$1)+F63, ""))</f>
        <v>196.1</v>
      </c>
      <c r="M63" s="46">
        <f>IF(L63="", "", IFERROR((+L63*$J$1)+L63, ""))</f>
        <v>201.983</v>
      </c>
      <c r="N63" s="46">
        <f>IF(J63="", "", IFERROR(($N$1*J63)+J63, ""))</f>
        <v>155.52691</v>
      </c>
      <c r="O63" s="46">
        <f>IF(J63="", "", IFERROR(($O$1*J63)+J63, ""))</f>
        <v>162.596315</v>
      </c>
      <c r="P63" s="46">
        <f>IF(F63="", "", IFERROR(M63-F63, ""))</f>
        <v>16.983</v>
      </c>
      <c r="Q63" s="46">
        <f>IF(J63="", "", IFERROR(N63-J63, ""))</f>
        <v>14.13881</v>
      </c>
      <c r="R63" s="46">
        <f>IF(J63="", "", IFERROR(O63-J63, ""))</f>
        <v>21.208215</v>
      </c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</row>
    <row r="64">
      <c r="A64" s="33" t="s">
        <v>174</v>
      </c>
      <c r="B64" s="72">
        <v>8.4871327565E10</v>
      </c>
      <c r="C64" s="33" t="s">
        <v>175</v>
      </c>
      <c r="D64" s="37"/>
      <c r="E64" s="13">
        <v>129.5</v>
      </c>
      <c r="F64" s="39">
        <v>185.0</v>
      </c>
      <c r="G64" s="13">
        <v>205.0</v>
      </c>
      <c r="H64" s="45">
        <f t="shared" ref="H64:H78" si="81">(E64*$N$1)+E64</f>
        <v>142.45</v>
      </c>
      <c r="I64" s="46">
        <f t="shared" ref="I64:I78" si="82">($I$1*E64)+E64</f>
        <v>137.27</v>
      </c>
      <c r="J64" s="46">
        <f t="shared" ref="J64:J78" si="83">($J$1*I64)+I64</f>
        <v>141.3881</v>
      </c>
      <c r="K64" s="46">
        <f t="shared" ref="K64:K78" si="84">J64-E64</f>
        <v>11.8881</v>
      </c>
      <c r="L64" s="46">
        <f t="shared" ref="L64:L78" si="85">((F64*$I$1)+F64)</f>
        <v>196.1</v>
      </c>
      <c r="M64" s="46">
        <f t="shared" ref="M64:M78" si="86">(+L64*$J$1)+L64</f>
        <v>201.983</v>
      </c>
      <c r="N64" s="46">
        <f t="shared" ref="N64:N78" si="87">($N$1*J64)+J64</f>
        <v>155.52691</v>
      </c>
      <c r="O64" s="46">
        <f t="shared" ref="O64:O78" si="88">($O$1*J64)+J64</f>
        <v>162.596315</v>
      </c>
      <c r="P64" s="46">
        <f t="shared" ref="P64:P78" si="89">M64-F64</f>
        <v>16.983</v>
      </c>
      <c r="Q64" s="46">
        <f t="shared" ref="Q64:Q78" si="90">N64-E64</f>
        <v>26.02691</v>
      </c>
      <c r="R64" s="46">
        <f t="shared" ref="R64:R78" si="91">O64-E64</f>
        <v>33.096315</v>
      </c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</row>
    <row r="65">
      <c r="A65" s="78" t="s">
        <v>176</v>
      </c>
      <c r="B65" s="79">
        <v>8.4871329224E10</v>
      </c>
      <c r="C65" s="33" t="s">
        <v>177</v>
      </c>
      <c r="D65" s="37"/>
      <c r="E65" s="13">
        <v>232.4</v>
      </c>
      <c r="F65" s="39">
        <v>332.0</v>
      </c>
      <c r="G65" s="13">
        <v>369.0</v>
      </c>
      <c r="H65" s="45">
        <f t="shared" si="81"/>
        <v>255.64</v>
      </c>
      <c r="I65" s="46">
        <f t="shared" si="82"/>
        <v>246.344</v>
      </c>
      <c r="J65" s="46">
        <f t="shared" si="83"/>
        <v>253.73432</v>
      </c>
      <c r="K65" s="46">
        <f t="shared" si="84"/>
        <v>21.33432</v>
      </c>
      <c r="L65" s="46">
        <f t="shared" si="85"/>
        <v>351.92</v>
      </c>
      <c r="M65" s="46">
        <f t="shared" si="86"/>
        <v>362.4776</v>
      </c>
      <c r="N65" s="46">
        <f t="shared" si="87"/>
        <v>279.107752</v>
      </c>
      <c r="O65" s="46">
        <f t="shared" si="88"/>
        <v>291.794468</v>
      </c>
      <c r="P65" s="46">
        <f t="shared" si="89"/>
        <v>30.4776</v>
      </c>
      <c r="Q65" s="46">
        <f t="shared" si="90"/>
        <v>46.707752</v>
      </c>
      <c r="R65" s="46">
        <f t="shared" si="91"/>
        <v>59.394468</v>
      </c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</row>
    <row r="66">
      <c r="A66" s="33" t="s">
        <v>178</v>
      </c>
      <c r="B66" s="12">
        <v>8.4871329231E10</v>
      </c>
      <c r="C66" s="78" t="s">
        <v>179</v>
      </c>
      <c r="D66" s="37"/>
      <c r="E66" s="13">
        <v>232.4</v>
      </c>
      <c r="F66" s="39">
        <v>332.0</v>
      </c>
      <c r="G66" s="13">
        <v>369.0</v>
      </c>
      <c r="H66" s="45">
        <f t="shared" si="81"/>
        <v>255.64</v>
      </c>
      <c r="I66" s="46">
        <f t="shared" si="82"/>
        <v>246.344</v>
      </c>
      <c r="J66" s="46">
        <f t="shared" si="83"/>
        <v>253.73432</v>
      </c>
      <c r="K66" s="46">
        <f t="shared" si="84"/>
        <v>21.33432</v>
      </c>
      <c r="L66" s="46">
        <f t="shared" si="85"/>
        <v>351.92</v>
      </c>
      <c r="M66" s="46">
        <f t="shared" si="86"/>
        <v>362.4776</v>
      </c>
      <c r="N66" s="46">
        <f t="shared" si="87"/>
        <v>279.107752</v>
      </c>
      <c r="O66" s="46">
        <f t="shared" si="88"/>
        <v>291.794468</v>
      </c>
      <c r="P66" s="46">
        <f t="shared" si="89"/>
        <v>30.4776</v>
      </c>
      <c r="Q66" s="46">
        <f t="shared" si="90"/>
        <v>46.707752</v>
      </c>
      <c r="R66" s="46">
        <f t="shared" si="91"/>
        <v>59.394468</v>
      </c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</row>
    <row r="67">
      <c r="A67" s="33" t="s">
        <v>180</v>
      </c>
      <c r="B67" s="12">
        <v>8.4871331555E10</v>
      </c>
      <c r="C67" s="33" t="s">
        <v>181</v>
      </c>
      <c r="D67" s="37"/>
      <c r="E67" s="13">
        <v>257.6</v>
      </c>
      <c r="F67" s="39">
        <v>368.0</v>
      </c>
      <c r="G67" s="13">
        <v>409.0</v>
      </c>
      <c r="H67" s="45">
        <f t="shared" si="81"/>
        <v>283.36</v>
      </c>
      <c r="I67" s="46">
        <f t="shared" si="82"/>
        <v>273.056</v>
      </c>
      <c r="J67" s="46">
        <f t="shared" si="83"/>
        <v>281.24768</v>
      </c>
      <c r="K67" s="46">
        <f t="shared" si="84"/>
        <v>23.64768</v>
      </c>
      <c r="L67" s="46">
        <f t="shared" si="85"/>
        <v>390.08</v>
      </c>
      <c r="M67" s="46">
        <f t="shared" si="86"/>
        <v>401.7824</v>
      </c>
      <c r="N67" s="46">
        <f t="shared" si="87"/>
        <v>309.372448</v>
      </c>
      <c r="O67" s="46">
        <f t="shared" si="88"/>
        <v>323.434832</v>
      </c>
      <c r="P67" s="46">
        <f t="shared" si="89"/>
        <v>33.7824</v>
      </c>
      <c r="Q67" s="46">
        <f t="shared" si="90"/>
        <v>51.772448</v>
      </c>
      <c r="R67" s="46">
        <f t="shared" si="91"/>
        <v>65.834832</v>
      </c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>
      <c r="A68" s="33" t="s">
        <v>182</v>
      </c>
      <c r="B68" s="12">
        <v>8.4871331562E10</v>
      </c>
      <c r="C68" s="33" t="s">
        <v>183</v>
      </c>
      <c r="D68" s="37"/>
      <c r="E68" s="13">
        <v>276.5</v>
      </c>
      <c r="F68" s="39">
        <v>395.0</v>
      </c>
      <c r="G68" s="13">
        <v>439.0</v>
      </c>
      <c r="H68" s="45">
        <f t="shared" si="81"/>
        <v>304.15</v>
      </c>
      <c r="I68" s="46">
        <f t="shared" si="82"/>
        <v>293.09</v>
      </c>
      <c r="J68" s="46">
        <f t="shared" si="83"/>
        <v>301.8827</v>
      </c>
      <c r="K68" s="46">
        <f t="shared" si="84"/>
        <v>25.3827</v>
      </c>
      <c r="L68" s="46">
        <f t="shared" si="85"/>
        <v>418.7</v>
      </c>
      <c r="M68" s="46">
        <f t="shared" si="86"/>
        <v>431.261</v>
      </c>
      <c r="N68" s="46">
        <f t="shared" si="87"/>
        <v>332.07097</v>
      </c>
      <c r="O68" s="46">
        <f t="shared" si="88"/>
        <v>347.165105</v>
      </c>
      <c r="P68" s="46">
        <f t="shared" si="89"/>
        <v>36.261</v>
      </c>
      <c r="Q68" s="46">
        <f t="shared" si="90"/>
        <v>55.57097</v>
      </c>
      <c r="R68" s="46">
        <f t="shared" si="91"/>
        <v>70.665105</v>
      </c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</row>
    <row r="69">
      <c r="A69" s="33" t="s">
        <v>184</v>
      </c>
      <c r="B69" s="12">
        <v>8.4871329248E10</v>
      </c>
      <c r="C69" s="33" t="s">
        <v>185</v>
      </c>
      <c r="D69" s="37"/>
      <c r="E69" s="13">
        <v>359.2</v>
      </c>
      <c r="F69" s="39">
        <v>449.0</v>
      </c>
      <c r="G69" s="13">
        <v>499.0</v>
      </c>
      <c r="H69" s="45">
        <f t="shared" si="81"/>
        <v>395.12</v>
      </c>
      <c r="I69" s="46">
        <f t="shared" si="82"/>
        <v>380.752</v>
      </c>
      <c r="J69" s="46">
        <f t="shared" si="83"/>
        <v>392.17456</v>
      </c>
      <c r="K69" s="46">
        <f t="shared" si="84"/>
        <v>32.97456</v>
      </c>
      <c r="L69" s="46">
        <f t="shared" si="85"/>
        <v>475.94</v>
      </c>
      <c r="M69" s="46">
        <f t="shared" si="86"/>
        <v>490.2182</v>
      </c>
      <c r="N69" s="46">
        <f t="shared" si="87"/>
        <v>431.392016</v>
      </c>
      <c r="O69" s="46">
        <f t="shared" si="88"/>
        <v>451.000744</v>
      </c>
      <c r="P69" s="46">
        <f t="shared" si="89"/>
        <v>41.2182</v>
      </c>
      <c r="Q69" s="46">
        <f t="shared" si="90"/>
        <v>72.192016</v>
      </c>
      <c r="R69" s="46">
        <f t="shared" si="91"/>
        <v>91.800744</v>
      </c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</row>
    <row r="70">
      <c r="A70" s="33" t="s">
        <v>186</v>
      </c>
      <c r="B70" s="12">
        <v>8.4871329255E10</v>
      </c>
      <c r="C70" s="33" t="s">
        <v>187</v>
      </c>
      <c r="D70" s="37"/>
      <c r="E70" s="13">
        <v>359.2</v>
      </c>
      <c r="F70" s="39">
        <v>449.0</v>
      </c>
      <c r="G70" s="13">
        <v>499.0</v>
      </c>
      <c r="H70" s="45">
        <f t="shared" si="81"/>
        <v>395.12</v>
      </c>
      <c r="I70" s="46">
        <f t="shared" si="82"/>
        <v>380.752</v>
      </c>
      <c r="J70" s="46">
        <f t="shared" si="83"/>
        <v>392.17456</v>
      </c>
      <c r="K70" s="46">
        <f t="shared" si="84"/>
        <v>32.97456</v>
      </c>
      <c r="L70" s="46">
        <f t="shared" si="85"/>
        <v>475.94</v>
      </c>
      <c r="M70" s="46">
        <f t="shared" si="86"/>
        <v>490.2182</v>
      </c>
      <c r="N70" s="46">
        <f t="shared" si="87"/>
        <v>431.392016</v>
      </c>
      <c r="O70" s="46">
        <f t="shared" si="88"/>
        <v>451.000744</v>
      </c>
      <c r="P70" s="46">
        <f t="shared" si="89"/>
        <v>41.2182</v>
      </c>
      <c r="Q70" s="46">
        <f t="shared" si="90"/>
        <v>72.192016</v>
      </c>
      <c r="R70" s="46">
        <f t="shared" si="91"/>
        <v>91.800744</v>
      </c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</row>
    <row r="71">
      <c r="A71" s="33" t="s">
        <v>188</v>
      </c>
      <c r="B71" s="12">
        <v>8.4871329262E10</v>
      </c>
      <c r="C71" s="33" t="s">
        <v>189</v>
      </c>
      <c r="D71" s="37"/>
      <c r="E71" s="13">
        <v>232.4</v>
      </c>
      <c r="F71" s="39">
        <v>332.0</v>
      </c>
      <c r="G71" s="13">
        <v>369.0</v>
      </c>
      <c r="H71" s="45">
        <f t="shared" si="81"/>
        <v>255.64</v>
      </c>
      <c r="I71" s="46">
        <f t="shared" si="82"/>
        <v>246.344</v>
      </c>
      <c r="J71" s="46">
        <f t="shared" si="83"/>
        <v>253.73432</v>
      </c>
      <c r="K71" s="46">
        <f t="shared" si="84"/>
        <v>21.33432</v>
      </c>
      <c r="L71" s="46">
        <f t="shared" si="85"/>
        <v>351.92</v>
      </c>
      <c r="M71" s="46">
        <f t="shared" si="86"/>
        <v>362.4776</v>
      </c>
      <c r="N71" s="46">
        <f t="shared" si="87"/>
        <v>279.107752</v>
      </c>
      <c r="O71" s="46">
        <f t="shared" si="88"/>
        <v>291.794468</v>
      </c>
      <c r="P71" s="46">
        <f t="shared" si="89"/>
        <v>30.4776</v>
      </c>
      <c r="Q71" s="46">
        <f t="shared" si="90"/>
        <v>46.707752</v>
      </c>
      <c r="R71" s="46">
        <f t="shared" si="91"/>
        <v>59.394468</v>
      </c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</row>
    <row r="72">
      <c r="A72" s="33" t="s">
        <v>190</v>
      </c>
      <c r="B72" s="79">
        <v>8.4871329279E10</v>
      </c>
      <c r="C72" s="33" t="s">
        <v>191</v>
      </c>
      <c r="D72" s="37"/>
      <c r="E72" s="13">
        <v>251.3</v>
      </c>
      <c r="F72" s="39">
        <v>359.0</v>
      </c>
      <c r="G72" s="13">
        <v>399.0</v>
      </c>
      <c r="H72" s="45">
        <f t="shared" si="81"/>
        <v>276.43</v>
      </c>
      <c r="I72" s="46">
        <f t="shared" si="82"/>
        <v>266.378</v>
      </c>
      <c r="J72" s="46">
        <f t="shared" si="83"/>
        <v>274.36934</v>
      </c>
      <c r="K72" s="46">
        <f t="shared" si="84"/>
        <v>23.06934</v>
      </c>
      <c r="L72" s="46">
        <f t="shared" si="85"/>
        <v>380.54</v>
      </c>
      <c r="M72" s="46">
        <f t="shared" si="86"/>
        <v>391.9562</v>
      </c>
      <c r="N72" s="46">
        <f t="shared" si="87"/>
        <v>301.806274</v>
      </c>
      <c r="O72" s="46">
        <f t="shared" si="88"/>
        <v>315.524741</v>
      </c>
      <c r="P72" s="46">
        <f t="shared" si="89"/>
        <v>32.9562</v>
      </c>
      <c r="Q72" s="46">
        <f t="shared" si="90"/>
        <v>50.506274</v>
      </c>
      <c r="R72" s="46">
        <f t="shared" si="91"/>
        <v>64.224741</v>
      </c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>
      <c r="A73" s="33" t="s">
        <v>192</v>
      </c>
      <c r="B73" s="12">
        <v>8.4871331579E10</v>
      </c>
      <c r="C73" s="33" t="s">
        <v>193</v>
      </c>
      <c r="D73" s="37"/>
      <c r="E73" s="13">
        <v>257.6</v>
      </c>
      <c r="F73" s="39">
        <v>368.0</v>
      </c>
      <c r="G73" s="13">
        <v>409.0</v>
      </c>
      <c r="H73" s="45">
        <f t="shared" si="81"/>
        <v>283.36</v>
      </c>
      <c r="I73" s="46">
        <f t="shared" si="82"/>
        <v>273.056</v>
      </c>
      <c r="J73" s="46">
        <f t="shared" si="83"/>
        <v>281.24768</v>
      </c>
      <c r="K73" s="46">
        <f t="shared" si="84"/>
        <v>23.64768</v>
      </c>
      <c r="L73" s="46">
        <f t="shared" si="85"/>
        <v>390.08</v>
      </c>
      <c r="M73" s="46">
        <f t="shared" si="86"/>
        <v>401.7824</v>
      </c>
      <c r="N73" s="46">
        <f t="shared" si="87"/>
        <v>309.372448</v>
      </c>
      <c r="O73" s="46">
        <f t="shared" si="88"/>
        <v>323.434832</v>
      </c>
      <c r="P73" s="46">
        <f t="shared" si="89"/>
        <v>33.7824</v>
      </c>
      <c r="Q73" s="46">
        <f t="shared" si="90"/>
        <v>51.772448</v>
      </c>
      <c r="R73" s="46">
        <f t="shared" si="91"/>
        <v>65.834832</v>
      </c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>
      <c r="A74" s="33" t="s">
        <v>194</v>
      </c>
      <c r="B74" s="12">
        <v>8.4871331586E10</v>
      </c>
      <c r="C74" s="33" t="s">
        <v>195</v>
      </c>
      <c r="D74" s="37"/>
      <c r="E74" s="13">
        <v>276.5</v>
      </c>
      <c r="F74" s="39">
        <v>395.0</v>
      </c>
      <c r="G74" s="13">
        <v>439.0</v>
      </c>
      <c r="H74" s="45">
        <f t="shared" si="81"/>
        <v>304.15</v>
      </c>
      <c r="I74" s="46">
        <f t="shared" si="82"/>
        <v>293.09</v>
      </c>
      <c r="J74" s="46">
        <f t="shared" si="83"/>
        <v>301.8827</v>
      </c>
      <c r="K74" s="46">
        <f t="shared" si="84"/>
        <v>25.3827</v>
      </c>
      <c r="L74" s="46">
        <f t="shared" si="85"/>
        <v>418.7</v>
      </c>
      <c r="M74" s="46">
        <f t="shared" si="86"/>
        <v>431.261</v>
      </c>
      <c r="N74" s="46">
        <f t="shared" si="87"/>
        <v>332.07097</v>
      </c>
      <c r="O74" s="46">
        <f t="shared" si="88"/>
        <v>347.165105</v>
      </c>
      <c r="P74" s="46">
        <f t="shared" si="89"/>
        <v>36.261</v>
      </c>
      <c r="Q74" s="46">
        <f t="shared" si="90"/>
        <v>55.57097</v>
      </c>
      <c r="R74" s="46">
        <f t="shared" si="91"/>
        <v>70.665105</v>
      </c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>
      <c r="A75" s="33" t="s">
        <v>196</v>
      </c>
      <c r="B75" s="12">
        <v>8.4871329286E10</v>
      </c>
      <c r="C75" s="33" t="s">
        <v>197</v>
      </c>
      <c r="D75" s="37"/>
      <c r="E75" s="13">
        <v>232.4</v>
      </c>
      <c r="F75" s="39">
        <v>332.0</v>
      </c>
      <c r="G75" s="13">
        <v>369.0</v>
      </c>
      <c r="H75" s="45">
        <f t="shared" si="81"/>
        <v>255.64</v>
      </c>
      <c r="I75" s="46">
        <f t="shared" si="82"/>
        <v>246.344</v>
      </c>
      <c r="J75" s="46">
        <f t="shared" si="83"/>
        <v>253.73432</v>
      </c>
      <c r="K75" s="46">
        <f t="shared" si="84"/>
        <v>21.33432</v>
      </c>
      <c r="L75" s="46">
        <f t="shared" si="85"/>
        <v>351.92</v>
      </c>
      <c r="M75" s="46">
        <f t="shared" si="86"/>
        <v>362.4776</v>
      </c>
      <c r="N75" s="46">
        <f t="shared" si="87"/>
        <v>279.107752</v>
      </c>
      <c r="O75" s="46">
        <f t="shared" si="88"/>
        <v>291.794468</v>
      </c>
      <c r="P75" s="46">
        <f t="shared" si="89"/>
        <v>30.4776</v>
      </c>
      <c r="Q75" s="46">
        <f t="shared" si="90"/>
        <v>46.707752</v>
      </c>
      <c r="R75" s="46">
        <f t="shared" si="91"/>
        <v>59.394468</v>
      </c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>
      <c r="A76" s="33" t="s">
        <v>198</v>
      </c>
      <c r="B76" s="12">
        <v>8.4871329293E10</v>
      </c>
      <c r="C76" s="33" t="s">
        <v>199</v>
      </c>
      <c r="D76" s="37"/>
      <c r="E76" s="13">
        <v>232.4</v>
      </c>
      <c r="F76" s="39">
        <v>332.0</v>
      </c>
      <c r="G76" s="13">
        <v>369.0</v>
      </c>
      <c r="H76" s="45">
        <f t="shared" si="81"/>
        <v>255.64</v>
      </c>
      <c r="I76" s="46">
        <f t="shared" si="82"/>
        <v>246.344</v>
      </c>
      <c r="J76" s="46">
        <f t="shared" si="83"/>
        <v>253.73432</v>
      </c>
      <c r="K76" s="46">
        <f t="shared" si="84"/>
        <v>21.33432</v>
      </c>
      <c r="L76" s="46">
        <f t="shared" si="85"/>
        <v>351.92</v>
      </c>
      <c r="M76" s="46">
        <f t="shared" si="86"/>
        <v>362.4776</v>
      </c>
      <c r="N76" s="46">
        <f t="shared" si="87"/>
        <v>279.107752</v>
      </c>
      <c r="O76" s="46">
        <f t="shared" si="88"/>
        <v>291.794468</v>
      </c>
      <c r="P76" s="46">
        <f t="shared" si="89"/>
        <v>30.4776</v>
      </c>
      <c r="Q76" s="46">
        <f t="shared" si="90"/>
        <v>46.707752</v>
      </c>
      <c r="R76" s="46">
        <f t="shared" si="91"/>
        <v>59.394468</v>
      </c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>
      <c r="A77" s="33" t="s">
        <v>200</v>
      </c>
      <c r="B77" s="12">
        <v>8.4871329309E10</v>
      </c>
      <c r="C77" s="33" t="s">
        <v>201</v>
      </c>
      <c r="D77" s="37"/>
      <c r="E77" s="13">
        <v>359.2</v>
      </c>
      <c r="F77" s="39">
        <v>449.0</v>
      </c>
      <c r="G77" s="13">
        <v>499.0</v>
      </c>
      <c r="H77" s="45">
        <f t="shared" si="81"/>
        <v>395.12</v>
      </c>
      <c r="I77" s="46">
        <f t="shared" si="82"/>
        <v>380.752</v>
      </c>
      <c r="J77" s="46">
        <f t="shared" si="83"/>
        <v>392.17456</v>
      </c>
      <c r="K77" s="46">
        <f t="shared" si="84"/>
        <v>32.97456</v>
      </c>
      <c r="L77" s="46">
        <f t="shared" si="85"/>
        <v>475.94</v>
      </c>
      <c r="M77" s="46">
        <f t="shared" si="86"/>
        <v>490.2182</v>
      </c>
      <c r="N77" s="46">
        <f t="shared" si="87"/>
        <v>431.392016</v>
      </c>
      <c r="O77" s="46">
        <f t="shared" si="88"/>
        <v>451.000744</v>
      </c>
      <c r="P77" s="46">
        <f t="shared" si="89"/>
        <v>41.2182</v>
      </c>
      <c r="Q77" s="46">
        <f t="shared" si="90"/>
        <v>72.192016</v>
      </c>
      <c r="R77" s="46">
        <f t="shared" si="91"/>
        <v>91.800744</v>
      </c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</row>
    <row r="78">
      <c r="A78" s="33" t="s">
        <v>202</v>
      </c>
      <c r="B78" s="12">
        <v>8.4871329316E10</v>
      </c>
      <c r="C78" s="33" t="s">
        <v>203</v>
      </c>
      <c r="D78" s="13">
        <v>375.0</v>
      </c>
      <c r="E78" s="13">
        <v>359.2</v>
      </c>
      <c r="F78" s="39">
        <v>449.0</v>
      </c>
      <c r="G78" s="13">
        <v>499.0</v>
      </c>
      <c r="H78" s="45">
        <f t="shared" si="81"/>
        <v>395.12</v>
      </c>
      <c r="I78" s="46">
        <f t="shared" si="82"/>
        <v>380.752</v>
      </c>
      <c r="J78" s="46">
        <f t="shared" si="83"/>
        <v>392.17456</v>
      </c>
      <c r="K78" s="46">
        <f t="shared" si="84"/>
        <v>32.97456</v>
      </c>
      <c r="L78" s="46">
        <f t="shared" si="85"/>
        <v>475.94</v>
      </c>
      <c r="M78" s="46">
        <f t="shared" si="86"/>
        <v>490.2182</v>
      </c>
      <c r="N78" s="46">
        <f t="shared" si="87"/>
        <v>431.392016</v>
      </c>
      <c r="O78" s="46">
        <f t="shared" si="88"/>
        <v>451.000744</v>
      </c>
      <c r="P78" s="46">
        <f t="shared" si="89"/>
        <v>41.2182</v>
      </c>
      <c r="Q78" s="46">
        <f t="shared" si="90"/>
        <v>72.192016</v>
      </c>
      <c r="R78" s="46">
        <f t="shared" si="91"/>
        <v>91.800744</v>
      </c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</row>
    <row r="79">
      <c r="A79" s="80" t="s">
        <v>204</v>
      </c>
      <c r="B79" s="12">
        <v>8.4871333962E10</v>
      </c>
      <c r="C79" s="33" t="s">
        <v>205</v>
      </c>
      <c r="D79" s="37"/>
      <c r="E79" s="13">
        <v>188.3</v>
      </c>
      <c r="F79" s="39">
        <v>269.0</v>
      </c>
      <c r="G79" s="13">
        <v>299.0</v>
      </c>
      <c r="H79" s="59">
        <f>IF(E79="", "", IFERROR((E79*$N$1)+E79, ""))</f>
        <v>207.13</v>
      </c>
      <c r="I79" s="46">
        <f>IF(E79="", "", IFERROR(($I$1*E79)+E79, ""))</f>
        <v>199.598</v>
      </c>
      <c r="J79" s="46">
        <f>IF(I79="", "", IFERROR(($J$1*I79)+I79, ""))</f>
        <v>205.58594</v>
      </c>
      <c r="K79" s="46">
        <f>IF(E79="", "", IFERROR(J79-E79, ""))</f>
        <v>17.28594</v>
      </c>
      <c r="L79" s="46">
        <f>IF(F79="", "", IFERROR((F79*$I$1)+F79, ""))</f>
        <v>285.14</v>
      </c>
      <c r="M79" s="46">
        <f>IF(L79="", "", IFERROR((+L79*$J$1)+L79, ""))</f>
        <v>293.6942</v>
      </c>
      <c r="N79" s="46">
        <f>IF(J79="", "", IFERROR(($N$1*J79)+J79, ""))</f>
        <v>226.144534</v>
      </c>
      <c r="O79" s="46">
        <f>IF(J79="", "", IFERROR(($O$1*J79)+J79, ""))</f>
        <v>236.423831</v>
      </c>
      <c r="P79" s="46">
        <f>IF(F79="", "", IFERROR(M79-F79, ""))</f>
        <v>24.6942</v>
      </c>
      <c r="Q79" s="46">
        <f>IF(J79="", "", IFERROR(N79-J79, ""))</f>
        <v>20.558594</v>
      </c>
      <c r="R79" s="46">
        <f>IF(J79="", "", IFERROR(O79-J79, ""))</f>
        <v>30.837891</v>
      </c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</row>
    <row r="80">
      <c r="A80" s="33" t="s">
        <v>206</v>
      </c>
      <c r="B80" s="12">
        <v>8.4871890687E10</v>
      </c>
      <c r="C80" s="33" t="s">
        <v>207</v>
      </c>
      <c r="D80" s="37"/>
      <c r="E80" s="13">
        <v>24.5</v>
      </c>
      <c r="F80" s="39">
        <v>35.0</v>
      </c>
      <c r="G80" s="13">
        <v>39.0</v>
      </c>
      <c r="H80" s="45">
        <f t="shared" ref="H80:H83" si="92">(E80*$N$1)+E80</f>
        <v>26.95</v>
      </c>
      <c r="I80" s="46">
        <f t="shared" ref="I80:I84" si="93">($I$1*E80)+E80</f>
        <v>25.97</v>
      </c>
      <c r="J80" s="46">
        <f t="shared" ref="J80:J84" si="94">($J$1*I80)+I80</f>
        <v>26.7491</v>
      </c>
      <c r="K80" s="46">
        <f t="shared" ref="K80:K84" si="95">J80-E80</f>
        <v>2.2491</v>
      </c>
      <c r="L80" s="46">
        <f t="shared" ref="L80:L84" si="96">((F80*$I$1)+F80)</f>
        <v>37.1</v>
      </c>
      <c r="M80" s="46">
        <f t="shared" ref="M80:M84" si="97">(+L80*$J$1)+L80</f>
        <v>38.213</v>
      </c>
      <c r="N80" s="46">
        <f t="shared" ref="N80:N84" si="98">($N$1*J80)+J80</f>
        <v>29.42401</v>
      </c>
      <c r="O80" s="46">
        <f t="shared" ref="O80:O84" si="99">($O$1*J80)+J80</f>
        <v>30.761465</v>
      </c>
      <c r="P80" s="46">
        <f t="shared" ref="P80:P84" si="100">M80-F80</f>
        <v>3.213</v>
      </c>
      <c r="Q80" s="46">
        <f>N80-E80</f>
        <v>4.92401</v>
      </c>
      <c r="R80" s="46">
        <f>O80-E80</f>
        <v>6.261465</v>
      </c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</row>
    <row r="81">
      <c r="A81" s="33" t="s">
        <v>208</v>
      </c>
      <c r="B81" s="12">
        <v>7.98681668045E11</v>
      </c>
      <c r="C81" s="33" t="s">
        <v>209</v>
      </c>
      <c r="D81" s="13"/>
      <c r="E81" s="13">
        <v>406.01</v>
      </c>
      <c r="F81" s="39">
        <v>549.99</v>
      </c>
      <c r="G81" s="13">
        <v>599.99</v>
      </c>
      <c r="H81" s="45">
        <f t="shared" si="92"/>
        <v>446.611</v>
      </c>
      <c r="I81" s="46">
        <f t="shared" si="93"/>
        <v>430.3706</v>
      </c>
      <c r="J81" s="46">
        <f t="shared" si="94"/>
        <v>443.281718</v>
      </c>
      <c r="K81" s="46">
        <f t="shared" si="95"/>
        <v>37.271718</v>
      </c>
      <c r="L81" s="46">
        <f t="shared" si="96"/>
        <v>582.9894</v>
      </c>
      <c r="M81" s="46">
        <f t="shared" si="97"/>
        <v>600.479082</v>
      </c>
      <c r="N81" s="46">
        <f t="shared" si="98"/>
        <v>487.6098898</v>
      </c>
      <c r="O81" s="56">
        <f t="shared" si="99"/>
        <v>509.7739757</v>
      </c>
      <c r="P81" s="46">
        <f t="shared" si="100"/>
        <v>50.489082</v>
      </c>
      <c r="Q81" s="46">
        <f>N81-J81</f>
        <v>44.3281718</v>
      </c>
      <c r="R81" s="46">
        <f>O81-J81</f>
        <v>66.4922577</v>
      </c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</row>
    <row r="82">
      <c r="A82" s="33" t="s">
        <v>210</v>
      </c>
      <c r="B82" s="12">
        <v>8.0926694002E10</v>
      </c>
      <c r="C82" s="81" t="s">
        <v>211</v>
      </c>
      <c r="D82" s="13"/>
      <c r="E82" s="13">
        <v>135.0</v>
      </c>
      <c r="F82" s="39" t="s">
        <v>46</v>
      </c>
      <c r="G82" s="13">
        <v>253.66</v>
      </c>
      <c r="H82" s="45">
        <f t="shared" si="92"/>
        <v>148.5</v>
      </c>
      <c r="I82" s="46">
        <f t="shared" si="93"/>
        <v>143.1</v>
      </c>
      <c r="J82" s="46">
        <f t="shared" si="94"/>
        <v>147.393</v>
      </c>
      <c r="K82" s="46">
        <f t="shared" si="95"/>
        <v>12.393</v>
      </c>
      <c r="L82" s="46" t="str">
        <f t="shared" si="96"/>
        <v>#VALUE!</v>
      </c>
      <c r="M82" s="46" t="str">
        <f t="shared" si="97"/>
        <v>#VALUE!</v>
      </c>
      <c r="N82" s="46">
        <f t="shared" si="98"/>
        <v>162.1323</v>
      </c>
      <c r="O82" s="46">
        <f t="shared" si="99"/>
        <v>169.50195</v>
      </c>
      <c r="P82" s="46" t="str">
        <f t="shared" si="100"/>
        <v>#VALUE!</v>
      </c>
      <c r="Q82" s="46">
        <f t="shared" ref="Q82:Q83" si="101">N82-E82</f>
        <v>27.1323</v>
      </c>
      <c r="R82" s="46">
        <f t="shared" ref="R82:R83" si="102">O82-E82</f>
        <v>34.50195</v>
      </c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>
      <c r="A83" s="33" t="s">
        <v>212</v>
      </c>
      <c r="B83" s="12">
        <v>8.10007881317E11</v>
      </c>
      <c r="C83" s="82" t="s">
        <v>213</v>
      </c>
      <c r="D83" s="13">
        <v>147.53</v>
      </c>
      <c r="E83" s="13">
        <v>135.71</v>
      </c>
      <c r="F83" s="39">
        <v>159.0</v>
      </c>
      <c r="G83" s="13">
        <v>175.0</v>
      </c>
      <c r="H83" s="45">
        <f t="shared" si="92"/>
        <v>149.281</v>
      </c>
      <c r="I83" s="46">
        <f t="shared" si="93"/>
        <v>143.8526</v>
      </c>
      <c r="J83" s="46">
        <f t="shared" si="94"/>
        <v>148.168178</v>
      </c>
      <c r="K83" s="46">
        <f t="shared" si="95"/>
        <v>12.458178</v>
      </c>
      <c r="L83" s="46">
        <f t="shared" si="96"/>
        <v>168.54</v>
      </c>
      <c r="M83" s="46">
        <f t="shared" si="97"/>
        <v>173.5962</v>
      </c>
      <c r="N83" s="46">
        <f t="shared" si="98"/>
        <v>162.9849958</v>
      </c>
      <c r="O83" s="46">
        <f t="shared" si="99"/>
        <v>170.3934047</v>
      </c>
      <c r="P83" s="46">
        <f t="shared" si="100"/>
        <v>14.5962</v>
      </c>
      <c r="Q83" s="46">
        <f t="shared" si="101"/>
        <v>27.2749958</v>
      </c>
      <c r="R83" s="46">
        <f t="shared" si="102"/>
        <v>34.6834047</v>
      </c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</row>
    <row r="84">
      <c r="A84" s="33" t="s">
        <v>214</v>
      </c>
      <c r="B84" s="12">
        <v>8.10007880341E11</v>
      </c>
      <c r="C84" s="33" t="s">
        <v>215</v>
      </c>
      <c r="D84" s="13"/>
      <c r="E84" s="13">
        <v>14.63</v>
      </c>
      <c r="F84" s="39">
        <v>16.0</v>
      </c>
      <c r="G84" s="13">
        <v>18.0</v>
      </c>
      <c r="H84" s="45">
        <f>F84</f>
        <v>16</v>
      </c>
      <c r="I84" s="46">
        <f t="shared" si="93"/>
        <v>15.5078</v>
      </c>
      <c r="J84" s="46">
        <f t="shared" si="94"/>
        <v>15.973034</v>
      </c>
      <c r="K84" s="46">
        <f t="shared" si="95"/>
        <v>1.343034</v>
      </c>
      <c r="L84" s="46">
        <f t="shared" si="96"/>
        <v>16.96</v>
      </c>
      <c r="M84" s="46">
        <f t="shared" si="97"/>
        <v>17.4688</v>
      </c>
      <c r="N84" s="46">
        <f t="shared" si="98"/>
        <v>17.5703374</v>
      </c>
      <c r="O84" s="56">
        <f t="shared" si="99"/>
        <v>18.3689891</v>
      </c>
      <c r="P84" s="46">
        <f t="shared" si="100"/>
        <v>1.4688</v>
      </c>
      <c r="Q84" s="46">
        <f>N84-J84</f>
        <v>1.5973034</v>
      </c>
      <c r="R84" s="46">
        <f>O84-J84</f>
        <v>2.3959551</v>
      </c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</row>
    <row r="85">
      <c r="A85" s="83"/>
      <c r="B85" s="28"/>
      <c r="C85" s="83"/>
      <c r="D85" s="37"/>
      <c r="E85" s="37"/>
      <c r="F85" s="84"/>
      <c r="G85" s="37"/>
      <c r="H85" s="59" t="str">
        <f t="shared" ref="H85:H345" si="103">IF(E85="", "", IFERROR((E85*$N$1)+E85, ""))</f>
        <v/>
      </c>
      <c r="I85" s="46" t="str">
        <f t="shared" ref="I85:I345" si="104">IF(E85="", "", IFERROR(($I$1*E85)+E85, ""))</f>
        <v/>
      </c>
      <c r="J85" s="46" t="str">
        <f t="shared" ref="J85:J345" si="105">IF(I85="", "", IFERROR(($J$1*I85)+I85, ""))</f>
        <v/>
      </c>
      <c r="K85" s="46" t="str">
        <f t="shared" ref="K85:K345" si="106">IF(E85="", "", IFERROR(J85-E85, ""))</f>
        <v/>
      </c>
      <c r="L85" s="46" t="str">
        <f t="shared" ref="L85:L345" si="107">IF(F85="", "", IFERROR((F85*$I$1)+F85, ""))</f>
        <v/>
      </c>
      <c r="M85" s="46" t="str">
        <f t="shared" ref="M85:M345" si="108">IF(L85="", "", IFERROR((+L85*$J$1)+L85, ""))</f>
        <v/>
      </c>
      <c r="N85" s="46" t="str">
        <f t="shared" ref="N85:N345" si="109">IF(J85="", "", IFERROR(($N$1*J85)+J85, ""))</f>
        <v/>
      </c>
      <c r="O85" s="46" t="str">
        <f t="shared" ref="O85:O345" si="110">IF(J85="", "", IFERROR(($O$1*J85)+J85, ""))</f>
        <v/>
      </c>
      <c r="P85" s="46" t="str">
        <f t="shared" ref="P85:P345" si="111">IF(F85="", "", IFERROR(M85-F85, ""))</f>
        <v/>
      </c>
      <c r="Q85" s="46" t="str">
        <f t="shared" ref="Q85:Q345" si="112">IF(J85="", "", IFERROR(N85-J85, ""))</f>
        <v/>
      </c>
      <c r="R85" s="46" t="str">
        <f t="shared" ref="R85:R345" si="113">IF(J85="", "", IFERROR(O85-J85, ""))</f>
        <v/>
      </c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</row>
    <row r="86">
      <c r="A86" s="83"/>
      <c r="B86" s="28"/>
      <c r="C86" s="83"/>
      <c r="D86" s="37"/>
      <c r="E86" s="37"/>
      <c r="F86" s="84"/>
      <c r="G86" s="37"/>
      <c r="H86" s="59" t="str">
        <f t="shared" si="103"/>
        <v/>
      </c>
      <c r="I86" s="46" t="str">
        <f t="shared" si="104"/>
        <v/>
      </c>
      <c r="J86" s="46" t="str">
        <f t="shared" si="105"/>
        <v/>
      </c>
      <c r="K86" s="46" t="str">
        <f t="shared" si="106"/>
        <v/>
      </c>
      <c r="L86" s="46" t="str">
        <f t="shared" si="107"/>
        <v/>
      </c>
      <c r="M86" s="46" t="str">
        <f t="shared" si="108"/>
        <v/>
      </c>
      <c r="N86" s="46" t="str">
        <f t="shared" si="109"/>
        <v/>
      </c>
      <c r="O86" s="46" t="str">
        <f t="shared" si="110"/>
        <v/>
      </c>
      <c r="P86" s="46" t="str">
        <f t="shared" si="111"/>
        <v/>
      </c>
      <c r="Q86" s="46" t="str">
        <f t="shared" si="112"/>
        <v/>
      </c>
      <c r="R86" s="46" t="str">
        <f t="shared" si="113"/>
        <v/>
      </c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</row>
    <row r="87">
      <c r="A87" s="83"/>
      <c r="B87" s="28"/>
      <c r="C87" s="83"/>
      <c r="D87" s="37"/>
      <c r="E87" s="37"/>
      <c r="F87" s="84"/>
      <c r="G87" s="37"/>
      <c r="H87" s="59" t="str">
        <f t="shared" si="103"/>
        <v/>
      </c>
      <c r="I87" s="46" t="str">
        <f t="shared" si="104"/>
        <v/>
      </c>
      <c r="J87" s="46" t="str">
        <f t="shared" si="105"/>
        <v/>
      </c>
      <c r="K87" s="46" t="str">
        <f t="shared" si="106"/>
        <v/>
      </c>
      <c r="L87" s="46" t="str">
        <f t="shared" si="107"/>
        <v/>
      </c>
      <c r="M87" s="46" t="str">
        <f t="shared" si="108"/>
        <v/>
      </c>
      <c r="N87" s="46" t="str">
        <f t="shared" si="109"/>
        <v/>
      </c>
      <c r="O87" s="46" t="str">
        <f t="shared" si="110"/>
        <v/>
      </c>
      <c r="P87" s="46" t="str">
        <f t="shared" si="111"/>
        <v/>
      </c>
      <c r="Q87" s="46" t="str">
        <f t="shared" si="112"/>
        <v/>
      </c>
      <c r="R87" s="46" t="str">
        <f t="shared" si="113"/>
        <v/>
      </c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</row>
    <row r="88">
      <c r="A88" s="83"/>
      <c r="B88" s="28"/>
      <c r="C88" s="83"/>
      <c r="D88" s="37"/>
      <c r="E88" s="37"/>
      <c r="F88" s="84"/>
      <c r="G88" s="37"/>
      <c r="H88" s="59" t="str">
        <f t="shared" si="103"/>
        <v/>
      </c>
      <c r="I88" s="46" t="str">
        <f t="shared" si="104"/>
        <v/>
      </c>
      <c r="J88" s="46" t="str">
        <f t="shared" si="105"/>
        <v/>
      </c>
      <c r="K88" s="46" t="str">
        <f t="shared" si="106"/>
        <v/>
      </c>
      <c r="L88" s="46" t="str">
        <f t="shared" si="107"/>
        <v/>
      </c>
      <c r="M88" s="46" t="str">
        <f t="shared" si="108"/>
        <v/>
      </c>
      <c r="N88" s="46" t="str">
        <f t="shared" si="109"/>
        <v/>
      </c>
      <c r="O88" s="46" t="str">
        <f t="shared" si="110"/>
        <v/>
      </c>
      <c r="P88" s="46" t="str">
        <f t="shared" si="111"/>
        <v/>
      </c>
      <c r="Q88" s="46" t="str">
        <f t="shared" si="112"/>
        <v/>
      </c>
      <c r="R88" s="46" t="str">
        <f t="shared" si="113"/>
        <v/>
      </c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</row>
    <row r="89">
      <c r="A89" s="83"/>
      <c r="B89" s="28"/>
      <c r="C89" s="83"/>
      <c r="D89" s="37"/>
      <c r="E89" s="37"/>
      <c r="F89" s="84"/>
      <c r="G89" s="37"/>
      <c r="H89" s="59" t="str">
        <f t="shared" si="103"/>
        <v/>
      </c>
      <c r="I89" s="46" t="str">
        <f t="shared" si="104"/>
        <v/>
      </c>
      <c r="J89" s="46" t="str">
        <f t="shared" si="105"/>
        <v/>
      </c>
      <c r="K89" s="46" t="str">
        <f t="shared" si="106"/>
        <v/>
      </c>
      <c r="L89" s="46" t="str">
        <f t="shared" si="107"/>
        <v/>
      </c>
      <c r="M89" s="46" t="str">
        <f t="shared" si="108"/>
        <v/>
      </c>
      <c r="N89" s="46" t="str">
        <f t="shared" si="109"/>
        <v/>
      </c>
      <c r="O89" s="46" t="str">
        <f t="shared" si="110"/>
        <v/>
      </c>
      <c r="P89" s="46" t="str">
        <f t="shared" si="111"/>
        <v/>
      </c>
      <c r="Q89" s="46" t="str">
        <f t="shared" si="112"/>
        <v/>
      </c>
      <c r="R89" s="46" t="str">
        <f t="shared" si="113"/>
        <v/>
      </c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</row>
    <row r="90">
      <c r="A90" s="83"/>
      <c r="B90" s="28"/>
      <c r="C90" s="83"/>
      <c r="D90" s="37"/>
      <c r="E90" s="37"/>
      <c r="F90" s="84"/>
      <c r="G90" s="37"/>
      <c r="H90" s="59" t="str">
        <f t="shared" si="103"/>
        <v/>
      </c>
      <c r="I90" s="46" t="str">
        <f t="shared" si="104"/>
        <v/>
      </c>
      <c r="J90" s="46" t="str">
        <f t="shared" si="105"/>
        <v/>
      </c>
      <c r="K90" s="46" t="str">
        <f t="shared" si="106"/>
        <v/>
      </c>
      <c r="L90" s="46" t="str">
        <f t="shared" si="107"/>
        <v/>
      </c>
      <c r="M90" s="46" t="str">
        <f t="shared" si="108"/>
        <v/>
      </c>
      <c r="N90" s="46" t="str">
        <f t="shared" si="109"/>
        <v/>
      </c>
      <c r="O90" s="46" t="str">
        <f t="shared" si="110"/>
        <v/>
      </c>
      <c r="P90" s="46" t="str">
        <f t="shared" si="111"/>
        <v/>
      </c>
      <c r="Q90" s="46" t="str">
        <f t="shared" si="112"/>
        <v/>
      </c>
      <c r="R90" s="46" t="str">
        <f t="shared" si="113"/>
        <v/>
      </c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</row>
    <row r="91">
      <c r="A91" s="83"/>
      <c r="B91" s="28"/>
      <c r="C91" s="83"/>
      <c r="D91" s="37"/>
      <c r="E91" s="37"/>
      <c r="F91" s="84"/>
      <c r="G91" s="37"/>
      <c r="H91" s="59" t="str">
        <f t="shared" si="103"/>
        <v/>
      </c>
      <c r="I91" s="46" t="str">
        <f t="shared" si="104"/>
        <v/>
      </c>
      <c r="J91" s="46" t="str">
        <f t="shared" si="105"/>
        <v/>
      </c>
      <c r="K91" s="46" t="str">
        <f t="shared" si="106"/>
        <v/>
      </c>
      <c r="L91" s="46" t="str">
        <f t="shared" si="107"/>
        <v/>
      </c>
      <c r="M91" s="46" t="str">
        <f t="shared" si="108"/>
        <v/>
      </c>
      <c r="N91" s="46" t="str">
        <f t="shared" si="109"/>
        <v/>
      </c>
      <c r="O91" s="46" t="str">
        <f t="shared" si="110"/>
        <v/>
      </c>
      <c r="P91" s="46" t="str">
        <f t="shared" si="111"/>
        <v/>
      </c>
      <c r="Q91" s="46" t="str">
        <f t="shared" si="112"/>
        <v/>
      </c>
      <c r="R91" s="46" t="str">
        <f t="shared" si="113"/>
        <v/>
      </c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>
      <c r="A92" s="83"/>
      <c r="B92" s="28"/>
      <c r="C92" s="83"/>
      <c r="D92" s="37"/>
      <c r="E92" s="37"/>
      <c r="F92" s="84"/>
      <c r="G92" s="37"/>
      <c r="H92" s="59" t="str">
        <f t="shared" si="103"/>
        <v/>
      </c>
      <c r="I92" s="46" t="str">
        <f t="shared" si="104"/>
        <v/>
      </c>
      <c r="J92" s="46" t="str">
        <f t="shared" si="105"/>
        <v/>
      </c>
      <c r="K92" s="46" t="str">
        <f t="shared" si="106"/>
        <v/>
      </c>
      <c r="L92" s="46" t="str">
        <f t="shared" si="107"/>
        <v/>
      </c>
      <c r="M92" s="46" t="str">
        <f t="shared" si="108"/>
        <v/>
      </c>
      <c r="N92" s="46" t="str">
        <f t="shared" si="109"/>
        <v/>
      </c>
      <c r="O92" s="46" t="str">
        <f t="shared" si="110"/>
        <v/>
      </c>
      <c r="P92" s="46" t="str">
        <f t="shared" si="111"/>
        <v/>
      </c>
      <c r="Q92" s="46" t="str">
        <f t="shared" si="112"/>
        <v/>
      </c>
      <c r="R92" s="46" t="str">
        <f t="shared" si="113"/>
        <v/>
      </c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>
      <c r="A93" s="83"/>
      <c r="B93" s="28"/>
      <c r="C93" s="83"/>
      <c r="D93" s="37"/>
      <c r="E93" s="37"/>
      <c r="F93" s="84"/>
      <c r="G93" s="37"/>
      <c r="H93" s="59" t="str">
        <f t="shared" si="103"/>
        <v/>
      </c>
      <c r="I93" s="46" t="str">
        <f t="shared" si="104"/>
        <v/>
      </c>
      <c r="J93" s="46" t="str">
        <f t="shared" si="105"/>
        <v/>
      </c>
      <c r="K93" s="46" t="str">
        <f t="shared" si="106"/>
        <v/>
      </c>
      <c r="L93" s="46" t="str">
        <f t="shared" si="107"/>
        <v/>
      </c>
      <c r="M93" s="46" t="str">
        <f t="shared" si="108"/>
        <v/>
      </c>
      <c r="N93" s="46" t="str">
        <f t="shared" si="109"/>
        <v/>
      </c>
      <c r="O93" s="46" t="str">
        <f t="shared" si="110"/>
        <v/>
      </c>
      <c r="P93" s="46" t="str">
        <f t="shared" si="111"/>
        <v/>
      </c>
      <c r="Q93" s="46" t="str">
        <f t="shared" si="112"/>
        <v/>
      </c>
      <c r="R93" s="46" t="str">
        <f t="shared" si="113"/>
        <v/>
      </c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</row>
    <row r="94">
      <c r="A94" s="83"/>
      <c r="B94" s="28"/>
      <c r="C94" s="83"/>
      <c r="D94" s="37"/>
      <c r="E94" s="37"/>
      <c r="F94" s="84"/>
      <c r="G94" s="37"/>
      <c r="H94" s="59" t="str">
        <f t="shared" si="103"/>
        <v/>
      </c>
      <c r="I94" s="46" t="str">
        <f t="shared" si="104"/>
        <v/>
      </c>
      <c r="J94" s="46" t="str">
        <f t="shared" si="105"/>
        <v/>
      </c>
      <c r="K94" s="46" t="str">
        <f t="shared" si="106"/>
        <v/>
      </c>
      <c r="L94" s="46" t="str">
        <f t="shared" si="107"/>
        <v/>
      </c>
      <c r="M94" s="46" t="str">
        <f t="shared" si="108"/>
        <v/>
      </c>
      <c r="N94" s="46" t="str">
        <f t="shared" si="109"/>
        <v/>
      </c>
      <c r="O94" s="46" t="str">
        <f t="shared" si="110"/>
        <v/>
      </c>
      <c r="P94" s="46" t="str">
        <f t="shared" si="111"/>
        <v/>
      </c>
      <c r="Q94" s="46" t="str">
        <f t="shared" si="112"/>
        <v/>
      </c>
      <c r="R94" s="46" t="str">
        <f t="shared" si="113"/>
        <v/>
      </c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</row>
    <row r="95">
      <c r="A95" s="83"/>
      <c r="B95" s="28"/>
      <c r="C95" s="83"/>
      <c r="D95" s="37"/>
      <c r="E95" s="37"/>
      <c r="F95" s="84"/>
      <c r="G95" s="37"/>
      <c r="H95" s="59" t="str">
        <f t="shared" si="103"/>
        <v/>
      </c>
      <c r="I95" s="46" t="str">
        <f t="shared" si="104"/>
        <v/>
      </c>
      <c r="J95" s="46" t="str">
        <f t="shared" si="105"/>
        <v/>
      </c>
      <c r="K95" s="46" t="str">
        <f t="shared" si="106"/>
        <v/>
      </c>
      <c r="L95" s="46" t="str">
        <f t="shared" si="107"/>
        <v/>
      </c>
      <c r="M95" s="46" t="str">
        <f t="shared" si="108"/>
        <v/>
      </c>
      <c r="N95" s="46" t="str">
        <f t="shared" si="109"/>
        <v/>
      </c>
      <c r="O95" s="46" t="str">
        <f t="shared" si="110"/>
        <v/>
      </c>
      <c r="P95" s="46" t="str">
        <f t="shared" si="111"/>
        <v/>
      </c>
      <c r="Q95" s="46" t="str">
        <f t="shared" si="112"/>
        <v/>
      </c>
      <c r="R95" s="46" t="str">
        <f t="shared" si="113"/>
        <v/>
      </c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</row>
    <row r="96">
      <c r="A96" s="83"/>
      <c r="B96" s="28"/>
      <c r="C96" s="83"/>
      <c r="D96" s="37"/>
      <c r="E96" s="37"/>
      <c r="F96" s="84"/>
      <c r="G96" s="37"/>
      <c r="H96" s="59" t="str">
        <f t="shared" si="103"/>
        <v/>
      </c>
      <c r="I96" s="46" t="str">
        <f t="shared" si="104"/>
        <v/>
      </c>
      <c r="J96" s="46" t="str">
        <f t="shared" si="105"/>
        <v/>
      </c>
      <c r="K96" s="46" t="str">
        <f t="shared" si="106"/>
        <v/>
      </c>
      <c r="L96" s="46" t="str">
        <f t="shared" si="107"/>
        <v/>
      </c>
      <c r="M96" s="46" t="str">
        <f t="shared" si="108"/>
        <v/>
      </c>
      <c r="N96" s="46" t="str">
        <f t="shared" si="109"/>
        <v/>
      </c>
      <c r="O96" s="46" t="str">
        <f t="shared" si="110"/>
        <v/>
      </c>
      <c r="P96" s="46" t="str">
        <f t="shared" si="111"/>
        <v/>
      </c>
      <c r="Q96" s="46" t="str">
        <f t="shared" si="112"/>
        <v/>
      </c>
      <c r="R96" s="46" t="str">
        <f t="shared" si="113"/>
        <v/>
      </c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</row>
    <row r="97">
      <c r="A97" s="83"/>
      <c r="B97" s="28"/>
      <c r="C97" s="83"/>
      <c r="D97" s="37"/>
      <c r="E97" s="37"/>
      <c r="F97" s="84"/>
      <c r="G97" s="37"/>
      <c r="H97" s="59" t="str">
        <f t="shared" si="103"/>
        <v/>
      </c>
      <c r="I97" s="46" t="str">
        <f t="shared" si="104"/>
        <v/>
      </c>
      <c r="J97" s="46" t="str">
        <f t="shared" si="105"/>
        <v/>
      </c>
      <c r="K97" s="46" t="str">
        <f t="shared" si="106"/>
        <v/>
      </c>
      <c r="L97" s="46" t="str">
        <f t="shared" si="107"/>
        <v/>
      </c>
      <c r="M97" s="46" t="str">
        <f t="shared" si="108"/>
        <v/>
      </c>
      <c r="N97" s="46" t="str">
        <f t="shared" si="109"/>
        <v/>
      </c>
      <c r="O97" s="46" t="str">
        <f t="shared" si="110"/>
        <v/>
      </c>
      <c r="P97" s="46" t="str">
        <f t="shared" si="111"/>
        <v/>
      </c>
      <c r="Q97" s="46" t="str">
        <f t="shared" si="112"/>
        <v/>
      </c>
      <c r="R97" s="46" t="str">
        <f t="shared" si="113"/>
        <v/>
      </c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</row>
    <row r="98">
      <c r="A98" s="83"/>
      <c r="B98" s="28"/>
      <c r="C98" s="83"/>
      <c r="D98" s="37"/>
      <c r="E98" s="37"/>
      <c r="F98" s="84"/>
      <c r="G98" s="37"/>
      <c r="H98" s="59" t="str">
        <f t="shared" si="103"/>
        <v/>
      </c>
      <c r="I98" s="46" t="str">
        <f t="shared" si="104"/>
        <v/>
      </c>
      <c r="J98" s="46" t="str">
        <f t="shared" si="105"/>
        <v/>
      </c>
      <c r="K98" s="46" t="str">
        <f t="shared" si="106"/>
        <v/>
      </c>
      <c r="L98" s="46" t="str">
        <f t="shared" si="107"/>
        <v/>
      </c>
      <c r="M98" s="46" t="str">
        <f t="shared" si="108"/>
        <v/>
      </c>
      <c r="N98" s="46" t="str">
        <f t="shared" si="109"/>
        <v/>
      </c>
      <c r="O98" s="46" t="str">
        <f t="shared" si="110"/>
        <v/>
      </c>
      <c r="P98" s="46" t="str">
        <f t="shared" si="111"/>
        <v/>
      </c>
      <c r="Q98" s="46" t="str">
        <f t="shared" si="112"/>
        <v/>
      </c>
      <c r="R98" s="46" t="str">
        <f t="shared" si="113"/>
        <v/>
      </c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</row>
    <row r="99">
      <c r="A99" s="83"/>
      <c r="B99" s="28"/>
      <c r="C99" s="83"/>
      <c r="D99" s="37"/>
      <c r="E99" s="37"/>
      <c r="F99" s="84"/>
      <c r="G99" s="37"/>
      <c r="H99" s="59" t="str">
        <f t="shared" si="103"/>
        <v/>
      </c>
      <c r="I99" s="46" t="str">
        <f t="shared" si="104"/>
        <v/>
      </c>
      <c r="J99" s="46" t="str">
        <f t="shared" si="105"/>
        <v/>
      </c>
      <c r="K99" s="46" t="str">
        <f t="shared" si="106"/>
        <v/>
      </c>
      <c r="L99" s="46" t="str">
        <f t="shared" si="107"/>
        <v/>
      </c>
      <c r="M99" s="46" t="str">
        <f t="shared" si="108"/>
        <v/>
      </c>
      <c r="N99" s="46" t="str">
        <f t="shared" si="109"/>
        <v/>
      </c>
      <c r="O99" s="46" t="str">
        <f t="shared" si="110"/>
        <v/>
      </c>
      <c r="P99" s="46" t="str">
        <f t="shared" si="111"/>
        <v/>
      </c>
      <c r="Q99" s="46" t="str">
        <f t="shared" si="112"/>
        <v/>
      </c>
      <c r="R99" s="46" t="str">
        <f t="shared" si="113"/>
        <v/>
      </c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</row>
    <row r="100">
      <c r="A100" s="83"/>
      <c r="B100" s="28"/>
      <c r="C100" s="83"/>
      <c r="D100" s="37"/>
      <c r="E100" s="37"/>
      <c r="F100" s="84"/>
      <c r="G100" s="37"/>
      <c r="H100" s="59" t="str">
        <f t="shared" si="103"/>
        <v/>
      </c>
      <c r="I100" s="46" t="str">
        <f t="shared" si="104"/>
        <v/>
      </c>
      <c r="J100" s="46" t="str">
        <f t="shared" si="105"/>
        <v/>
      </c>
      <c r="K100" s="46" t="str">
        <f t="shared" si="106"/>
        <v/>
      </c>
      <c r="L100" s="46" t="str">
        <f t="shared" si="107"/>
        <v/>
      </c>
      <c r="M100" s="46" t="str">
        <f t="shared" si="108"/>
        <v/>
      </c>
      <c r="N100" s="46" t="str">
        <f t="shared" si="109"/>
        <v/>
      </c>
      <c r="O100" s="46" t="str">
        <f t="shared" si="110"/>
        <v/>
      </c>
      <c r="P100" s="46" t="str">
        <f t="shared" si="111"/>
        <v/>
      </c>
      <c r="Q100" s="46" t="str">
        <f t="shared" si="112"/>
        <v/>
      </c>
      <c r="R100" s="46" t="str">
        <f t="shared" si="113"/>
        <v/>
      </c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</row>
    <row r="101">
      <c r="A101" s="83"/>
      <c r="B101" s="28"/>
      <c r="C101" s="83"/>
      <c r="D101" s="37"/>
      <c r="E101" s="37"/>
      <c r="F101" s="84"/>
      <c r="G101" s="37"/>
      <c r="H101" s="59" t="str">
        <f t="shared" si="103"/>
        <v/>
      </c>
      <c r="I101" s="46" t="str">
        <f t="shared" si="104"/>
        <v/>
      </c>
      <c r="J101" s="46" t="str">
        <f t="shared" si="105"/>
        <v/>
      </c>
      <c r="K101" s="46" t="str">
        <f t="shared" si="106"/>
        <v/>
      </c>
      <c r="L101" s="46" t="str">
        <f t="shared" si="107"/>
        <v/>
      </c>
      <c r="M101" s="46" t="str">
        <f t="shared" si="108"/>
        <v/>
      </c>
      <c r="N101" s="46" t="str">
        <f t="shared" si="109"/>
        <v/>
      </c>
      <c r="O101" s="46" t="str">
        <f t="shared" si="110"/>
        <v/>
      </c>
      <c r="P101" s="46" t="str">
        <f t="shared" si="111"/>
        <v/>
      </c>
      <c r="Q101" s="46" t="str">
        <f t="shared" si="112"/>
        <v/>
      </c>
      <c r="R101" s="46" t="str">
        <f t="shared" si="113"/>
        <v/>
      </c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</row>
    <row r="102">
      <c r="A102" s="83"/>
      <c r="B102" s="28"/>
      <c r="C102" s="83"/>
      <c r="D102" s="37"/>
      <c r="E102" s="37"/>
      <c r="F102" s="84"/>
      <c r="G102" s="37"/>
      <c r="H102" s="59" t="str">
        <f t="shared" si="103"/>
        <v/>
      </c>
      <c r="I102" s="46" t="str">
        <f t="shared" si="104"/>
        <v/>
      </c>
      <c r="J102" s="46" t="str">
        <f t="shared" si="105"/>
        <v/>
      </c>
      <c r="K102" s="46" t="str">
        <f t="shared" si="106"/>
        <v/>
      </c>
      <c r="L102" s="46" t="str">
        <f t="shared" si="107"/>
        <v/>
      </c>
      <c r="M102" s="46" t="str">
        <f t="shared" si="108"/>
        <v/>
      </c>
      <c r="N102" s="46" t="str">
        <f t="shared" si="109"/>
        <v/>
      </c>
      <c r="O102" s="46" t="str">
        <f t="shared" si="110"/>
        <v/>
      </c>
      <c r="P102" s="46" t="str">
        <f t="shared" si="111"/>
        <v/>
      </c>
      <c r="Q102" s="46" t="str">
        <f t="shared" si="112"/>
        <v/>
      </c>
      <c r="R102" s="46" t="str">
        <f t="shared" si="113"/>
        <v/>
      </c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</row>
    <row r="103">
      <c r="A103" s="83"/>
      <c r="B103" s="28"/>
      <c r="C103" s="83"/>
      <c r="D103" s="37"/>
      <c r="E103" s="37"/>
      <c r="F103" s="84"/>
      <c r="G103" s="37"/>
      <c r="H103" s="59" t="str">
        <f t="shared" si="103"/>
        <v/>
      </c>
      <c r="I103" s="46" t="str">
        <f t="shared" si="104"/>
        <v/>
      </c>
      <c r="J103" s="46" t="str">
        <f t="shared" si="105"/>
        <v/>
      </c>
      <c r="K103" s="46" t="str">
        <f t="shared" si="106"/>
        <v/>
      </c>
      <c r="L103" s="46" t="str">
        <f t="shared" si="107"/>
        <v/>
      </c>
      <c r="M103" s="46" t="str">
        <f t="shared" si="108"/>
        <v/>
      </c>
      <c r="N103" s="46" t="str">
        <f t="shared" si="109"/>
        <v/>
      </c>
      <c r="O103" s="46" t="str">
        <f t="shared" si="110"/>
        <v/>
      </c>
      <c r="P103" s="46" t="str">
        <f t="shared" si="111"/>
        <v/>
      </c>
      <c r="Q103" s="46" t="str">
        <f t="shared" si="112"/>
        <v/>
      </c>
      <c r="R103" s="46" t="str">
        <f t="shared" si="113"/>
        <v/>
      </c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</row>
    <row r="104">
      <c r="A104" s="83"/>
      <c r="B104" s="28"/>
      <c r="C104" s="83"/>
      <c r="D104" s="37"/>
      <c r="E104" s="37"/>
      <c r="F104" s="84"/>
      <c r="G104" s="37"/>
      <c r="H104" s="59" t="str">
        <f t="shared" si="103"/>
        <v/>
      </c>
      <c r="I104" s="46" t="str">
        <f t="shared" si="104"/>
        <v/>
      </c>
      <c r="J104" s="46" t="str">
        <f t="shared" si="105"/>
        <v/>
      </c>
      <c r="K104" s="46" t="str">
        <f t="shared" si="106"/>
        <v/>
      </c>
      <c r="L104" s="46" t="str">
        <f t="shared" si="107"/>
        <v/>
      </c>
      <c r="M104" s="46" t="str">
        <f t="shared" si="108"/>
        <v/>
      </c>
      <c r="N104" s="46" t="str">
        <f t="shared" si="109"/>
        <v/>
      </c>
      <c r="O104" s="46" t="str">
        <f t="shared" si="110"/>
        <v/>
      </c>
      <c r="P104" s="46" t="str">
        <f t="shared" si="111"/>
        <v/>
      </c>
      <c r="Q104" s="46" t="str">
        <f t="shared" si="112"/>
        <v/>
      </c>
      <c r="R104" s="46" t="str">
        <f t="shared" si="113"/>
        <v/>
      </c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</row>
    <row r="105">
      <c r="A105" s="83"/>
      <c r="B105" s="28"/>
      <c r="C105" s="83"/>
      <c r="D105" s="37"/>
      <c r="E105" s="37"/>
      <c r="F105" s="84"/>
      <c r="G105" s="37"/>
      <c r="H105" s="59" t="str">
        <f t="shared" si="103"/>
        <v/>
      </c>
      <c r="I105" s="46" t="str">
        <f t="shared" si="104"/>
        <v/>
      </c>
      <c r="J105" s="46" t="str">
        <f t="shared" si="105"/>
        <v/>
      </c>
      <c r="K105" s="46" t="str">
        <f t="shared" si="106"/>
        <v/>
      </c>
      <c r="L105" s="46" t="str">
        <f t="shared" si="107"/>
        <v/>
      </c>
      <c r="M105" s="46" t="str">
        <f t="shared" si="108"/>
        <v/>
      </c>
      <c r="N105" s="46" t="str">
        <f t="shared" si="109"/>
        <v/>
      </c>
      <c r="O105" s="46" t="str">
        <f t="shared" si="110"/>
        <v/>
      </c>
      <c r="P105" s="46" t="str">
        <f t="shared" si="111"/>
        <v/>
      </c>
      <c r="Q105" s="46" t="str">
        <f t="shared" si="112"/>
        <v/>
      </c>
      <c r="R105" s="46" t="str">
        <f t="shared" si="113"/>
        <v/>
      </c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</row>
    <row r="106">
      <c r="A106" s="83"/>
      <c r="B106" s="28"/>
      <c r="C106" s="83"/>
      <c r="D106" s="37"/>
      <c r="E106" s="37"/>
      <c r="F106" s="84"/>
      <c r="G106" s="37"/>
      <c r="H106" s="59" t="str">
        <f t="shared" si="103"/>
        <v/>
      </c>
      <c r="I106" s="46" t="str">
        <f t="shared" si="104"/>
        <v/>
      </c>
      <c r="J106" s="46" t="str">
        <f t="shared" si="105"/>
        <v/>
      </c>
      <c r="K106" s="46" t="str">
        <f t="shared" si="106"/>
        <v/>
      </c>
      <c r="L106" s="46" t="str">
        <f t="shared" si="107"/>
        <v/>
      </c>
      <c r="M106" s="46" t="str">
        <f t="shared" si="108"/>
        <v/>
      </c>
      <c r="N106" s="46" t="str">
        <f t="shared" si="109"/>
        <v/>
      </c>
      <c r="O106" s="46" t="str">
        <f t="shared" si="110"/>
        <v/>
      </c>
      <c r="P106" s="46" t="str">
        <f t="shared" si="111"/>
        <v/>
      </c>
      <c r="Q106" s="46" t="str">
        <f t="shared" si="112"/>
        <v/>
      </c>
      <c r="R106" s="46" t="str">
        <f t="shared" si="113"/>
        <v/>
      </c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</row>
    <row r="107">
      <c r="A107" s="83"/>
      <c r="B107" s="28"/>
      <c r="C107" s="83"/>
      <c r="D107" s="37"/>
      <c r="E107" s="37"/>
      <c r="F107" s="84"/>
      <c r="G107" s="37"/>
      <c r="H107" s="59" t="str">
        <f t="shared" si="103"/>
        <v/>
      </c>
      <c r="I107" s="46" t="str">
        <f t="shared" si="104"/>
        <v/>
      </c>
      <c r="J107" s="46" t="str">
        <f t="shared" si="105"/>
        <v/>
      </c>
      <c r="K107" s="46" t="str">
        <f t="shared" si="106"/>
        <v/>
      </c>
      <c r="L107" s="46" t="str">
        <f t="shared" si="107"/>
        <v/>
      </c>
      <c r="M107" s="46" t="str">
        <f t="shared" si="108"/>
        <v/>
      </c>
      <c r="N107" s="46" t="str">
        <f t="shared" si="109"/>
        <v/>
      </c>
      <c r="O107" s="46" t="str">
        <f t="shared" si="110"/>
        <v/>
      </c>
      <c r="P107" s="46" t="str">
        <f t="shared" si="111"/>
        <v/>
      </c>
      <c r="Q107" s="46" t="str">
        <f t="shared" si="112"/>
        <v/>
      </c>
      <c r="R107" s="46" t="str">
        <f t="shared" si="113"/>
        <v/>
      </c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</row>
    <row r="108">
      <c r="A108" s="83"/>
      <c r="B108" s="28"/>
      <c r="C108" s="83"/>
      <c r="D108" s="37"/>
      <c r="E108" s="37"/>
      <c r="F108" s="84"/>
      <c r="G108" s="37"/>
      <c r="H108" s="59" t="str">
        <f t="shared" si="103"/>
        <v/>
      </c>
      <c r="I108" s="46" t="str">
        <f t="shared" si="104"/>
        <v/>
      </c>
      <c r="J108" s="46" t="str">
        <f t="shared" si="105"/>
        <v/>
      </c>
      <c r="K108" s="46" t="str">
        <f t="shared" si="106"/>
        <v/>
      </c>
      <c r="L108" s="46" t="str">
        <f t="shared" si="107"/>
        <v/>
      </c>
      <c r="M108" s="46" t="str">
        <f t="shared" si="108"/>
        <v/>
      </c>
      <c r="N108" s="46" t="str">
        <f t="shared" si="109"/>
        <v/>
      </c>
      <c r="O108" s="46" t="str">
        <f t="shared" si="110"/>
        <v/>
      </c>
      <c r="P108" s="46" t="str">
        <f t="shared" si="111"/>
        <v/>
      </c>
      <c r="Q108" s="46" t="str">
        <f t="shared" si="112"/>
        <v/>
      </c>
      <c r="R108" s="46" t="str">
        <f t="shared" si="113"/>
        <v/>
      </c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</row>
    <row r="109">
      <c r="A109" s="83"/>
      <c r="B109" s="28"/>
      <c r="C109" s="83"/>
      <c r="D109" s="37"/>
      <c r="E109" s="37"/>
      <c r="F109" s="84"/>
      <c r="G109" s="37"/>
      <c r="H109" s="59" t="str">
        <f t="shared" si="103"/>
        <v/>
      </c>
      <c r="I109" s="46" t="str">
        <f t="shared" si="104"/>
        <v/>
      </c>
      <c r="J109" s="46" t="str">
        <f t="shared" si="105"/>
        <v/>
      </c>
      <c r="K109" s="46" t="str">
        <f t="shared" si="106"/>
        <v/>
      </c>
      <c r="L109" s="46" t="str">
        <f t="shared" si="107"/>
        <v/>
      </c>
      <c r="M109" s="46" t="str">
        <f t="shared" si="108"/>
        <v/>
      </c>
      <c r="N109" s="46" t="str">
        <f t="shared" si="109"/>
        <v/>
      </c>
      <c r="O109" s="46" t="str">
        <f t="shared" si="110"/>
        <v/>
      </c>
      <c r="P109" s="46" t="str">
        <f t="shared" si="111"/>
        <v/>
      </c>
      <c r="Q109" s="46" t="str">
        <f t="shared" si="112"/>
        <v/>
      </c>
      <c r="R109" s="46" t="str">
        <f t="shared" si="113"/>
        <v/>
      </c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</row>
    <row r="110">
      <c r="A110" s="83"/>
      <c r="B110" s="28"/>
      <c r="C110" s="83"/>
      <c r="D110" s="37"/>
      <c r="E110" s="37"/>
      <c r="F110" s="84"/>
      <c r="G110" s="37"/>
      <c r="H110" s="59" t="str">
        <f t="shared" si="103"/>
        <v/>
      </c>
      <c r="I110" s="46" t="str">
        <f t="shared" si="104"/>
        <v/>
      </c>
      <c r="J110" s="46" t="str">
        <f t="shared" si="105"/>
        <v/>
      </c>
      <c r="K110" s="46" t="str">
        <f t="shared" si="106"/>
        <v/>
      </c>
      <c r="L110" s="46" t="str">
        <f t="shared" si="107"/>
        <v/>
      </c>
      <c r="M110" s="46" t="str">
        <f t="shared" si="108"/>
        <v/>
      </c>
      <c r="N110" s="46" t="str">
        <f t="shared" si="109"/>
        <v/>
      </c>
      <c r="O110" s="46" t="str">
        <f t="shared" si="110"/>
        <v/>
      </c>
      <c r="P110" s="46" t="str">
        <f t="shared" si="111"/>
        <v/>
      </c>
      <c r="Q110" s="46" t="str">
        <f t="shared" si="112"/>
        <v/>
      </c>
      <c r="R110" s="46" t="str">
        <f t="shared" si="113"/>
        <v/>
      </c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</row>
    <row r="111">
      <c r="A111" s="83"/>
      <c r="B111" s="28"/>
      <c r="C111" s="83"/>
      <c r="D111" s="37"/>
      <c r="E111" s="37"/>
      <c r="F111" s="84"/>
      <c r="G111" s="37"/>
      <c r="H111" s="59" t="str">
        <f t="shared" si="103"/>
        <v/>
      </c>
      <c r="I111" s="46" t="str">
        <f t="shared" si="104"/>
        <v/>
      </c>
      <c r="J111" s="46" t="str">
        <f t="shared" si="105"/>
        <v/>
      </c>
      <c r="K111" s="46" t="str">
        <f t="shared" si="106"/>
        <v/>
      </c>
      <c r="L111" s="46" t="str">
        <f t="shared" si="107"/>
        <v/>
      </c>
      <c r="M111" s="46" t="str">
        <f t="shared" si="108"/>
        <v/>
      </c>
      <c r="N111" s="46" t="str">
        <f t="shared" si="109"/>
        <v/>
      </c>
      <c r="O111" s="46" t="str">
        <f t="shared" si="110"/>
        <v/>
      </c>
      <c r="P111" s="46" t="str">
        <f t="shared" si="111"/>
        <v/>
      </c>
      <c r="Q111" s="46" t="str">
        <f t="shared" si="112"/>
        <v/>
      </c>
      <c r="R111" s="46" t="str">
        <f t="shared" si="113"/>
        <v/>
      </c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</row>
    <row r="112">
      <c r="A112" s="83"/>
      <c r="B112" s="28"/>
      <c r="C112" s="83"/>
      <c r="D112" s="37"/>
      <c r="E112" s="37"/>
      <c r="F112" s="84"/>
      <c r="G112" s="37"/>
      <c r="H112" s="59" t="str">
        <f t="shared" si="103"/>
        <v/>
      </c>
      <c r="I112" s="46" t="str">
        <f t="shared" si="104"/>
        <v/>
      </c>
      <c r="J112" s="46" t="str">
        <f t="shared" si="105"/>
        <v/>
      </c>
      <c r="K112" s="46" t="str">
        <f t="shared" si="106"/>
        <v/>
      </c>
      <c r="L112" s="46" t="str">
        <f t="shared" si="107"/>
        <v/>
      </c>
      <c r="M112" s="46" t="str">
        <f t="shared" si="108"/>
        <v/>
      </c>
      <c r="N112" s="46" t="str">
        <f t="shared" si="109"/>
        <v/>
      </c>
      <c r="O112" s="46" t="str">
        <f t="shared" si="110"/>
        <v/>
      </c>
      <c r="P112" s="46" t="str">
        <f t="shared" si="111"/>
        <v/>
      </c>
      <c r="Q112" s="46" t="str">
        <f t="shared" si="112"/>
        <v/>
      </c>
      <c r="R112" s="46" t="str">
        <f t="shared" si="113"/>
        <v/>
      </c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</row>
    <row r="113">
      <c r="A113" s="83"/>
      <c r="B113" s="28"/>
      <c r="C113" s="83"/>
      <c r="D113" s="37"/>
      <c r="E113" s="37"/>
      <c r="F113" s="84"/>
      <c r="G113" s="37"/>
      <c r="H113" s="59" t="str">
        <f t="shared" si="103"/>
        <v/>
      </c>
      <c r="I113" s="46" t="str">
        <f t="shared" si="104"/>
        <v/>
      </c>
      <c r="J113" s="46" t="str">
        <f t="shared" si="105"/>
        <v/>
      </c>
      <c r="K113" s="46" t="str">
        <f t="shared" si="106"/>
        <v/>
      </c>
      <c r="L113" s="46" t="str">
        <f t="shared" si="107"/>
        <v/>
      </c>
      <c r="M113" s="46" t="str">
        <f t="shared" si="108"/>
        <v/>
      </c>
      <c r="N113" s="46" t="str">
        <f t="shared" si="109"/>
        <v/>
      </c>
      <c r="O113" s="46" t="str">
        <f t="shared" si="110"/>
        <v/>
      </c>
      <c r="P113" s="46" t="str">
        <f t="shared" si="111"/>
        <v/>
      </c>
      <c r="Q113" s="46" t="str">
        <f t="shared" si="112"/>
        <v/>
      </c>
      <c r="R113" s="46" t="str">
        <f t="shared" si="113"/>
        <v/>
      </c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</row>
    <row r="114">
      <c r="A114" s="83"/>
      <c r="B114" s="28"/>
      <c r="C114" s="83"/>
      <c r="D114" s="37"/>
      <c r="E114" s="37"/>
      <c r="F114" s="84"/>
      <c r="G114" s="37"/>
      <c r="H114" s="59" t="str">
        <f t="shared" si="103"/>
        <v/>
      </c>
      <c r="I114" s="46" t="str">
        <f t="shared" si="104"/>
        <v/>
      </c>
      <c r="J114" s="46" t="str">
        <f t="shared" si="105"/>
        <v/>
      </c>
      <c r="K114" s="46" t="str">
        <f t="shared" si="106"/>
        <v/>
      </c>
      <c r="L114" s="46" t="str">
        <f t="shared" si="107"/>
        <v/>
      </c>
      <c r="M114" s="46" t="str">
        <f t="shared" si="108"/>
        <v/>
      </c>
      <c r="N114" s="46" t="str">
        <f t="shared" si="109"/>
        <v/>
      </c>
      <c r="O114" s="46" t="str">
        <f t="shared" si="110"/>
        <v/>
      </c>
      <c r="P114" s="46" t="str">
        <f t="shared" si="111"/>
        <v/>
      </c>
      <c r="Q114" s="46" t="str">
        <f t="shared" si="112"/>
        <v/>
      </c>
      <c r="R114" s="46" t="str">
        <f t="shared" si="113"/>
        <v/>
      </c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</row>
    <row r="115">
      <c r="A115" s="83"/>
      <c r="B115" s="28"/>
      <c r="C115" s="83"/>
      <c r="D115" s="37"/>
      <c r="E115" s="37"/>
      <c r="F115" s="84"/>
      <c r="G115" s="37"/>
      <c r="H115" s="59" t="str">
        <f t="shared" si="103"/>
        <v/>
      </c>
      <c r="I115" s="46" t="str">
        <f t="shared" si="104"/>
        <v/>
      </c>
      <c r="J115" s="46" t="str">
        <f t="shared" si="105"/>
        <v/>
      </c>
      <c r="K115" s="46" t="str">
        <f t="shared" si="106"/>
        <v/>
      </c>
      <c r="L115" s="46" t="str">
        <f t="shared" si="107"/>
        <v/>
      </c>
      <c r="M115" s="46" t="str">
        <f t="shared" si="108"/>
        <v/>
      </c>
      <c r="N115" s="46" t="str">
        <f t="shared" si="109"/>
        <v/>
      </c>
      <c r="O115" s="46" t="str">
        <f t="shared" si="110"/>
        <v/>
      </c>
      <c r="P115" s="46" t="str">
        <f t="shared" si="111"/>
        <v/>
      </c>
      <c r="Q115" s="46" t="str">
        <f t="shared" si="112"/>
        <v/>
      </c>
      <c r="R115" s="46" t="str">
        <f t="shared" si="113"/>
        <v/>
      </c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</row>
    <row r="116">
      <c r="A116" s="83"/>
      <c r="B116" s="28"/>
      <c r="C116" s="83"/>
      <c r="D116" s="37"/>
      <c r="E116" s="37"/>
      <c r="F116" s="84"/>
      <c r="G116" s="37"/>
      <c r="H116" s="59" t="str">
        <f t="shared" si="103"/>
        <v/>
      </c>
      <c r="I116" s="46" t="str">
        <f t="shared" si="104"/>
        <v/>
      </c>
      <c r="J116" s="46" t="str">
        <f t="shared" si="105"/>
        <v/>
      </c>
      <c r="K116" s="46" t="str">
        <f t="shared" si="106"/>
        <v/>
      </c>
      <c r="L116" s="46" t="str">
        <f t="shared" si="107"/>
        <v/>
      </c>
      <c r="M116" s="46" t="str">
        <f t="shared" si="108"/>
        <v/>
      </c>
      <c r="N116" s="46" t="str">
        <f t="shared" si="109"/>
        <v/>
      </c>
      <c r="O116" s="46" t="str">
        <f t="shared" si="110"/>
        <v/>
      </c>
      <c r="P116" s="46" t="str">
        <f t="shared" si="111"/>
        <v/>
      </c>
      <c r="Q116" s="46" t="str">
        <f t="shared" si="112"/>
        <v/>
      </c>
      <c r="R116" s="46" t="str">
        <f t="shared" si="113"/>
        <v/>
      </c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</row>
    <row r="117">
      <c r="A117" s="83"/>
      <c r="B117" s="28"/>
      <c r="C117" s="83"/>
      <c r="D117" s="37"/>
      <c r="E117" s="37"/>
      <c r="F117" s="84"/>
      <c r="G117" s="37"/>
      <c r="H117" s="59" t="str">
        <f t="shared" si="103"/>
        <v/>
      </c>
      <c r="I117" s="46" t="str">
        <f t="shared" si="104"/>
        <v/>
      </c>
      <c r="J117" s="46" t="str">
        <f t="shared" si="105"/>
        <v/>
      </c>
      <c r="K117" s="46" t="str">
        <f t="shared" si="106"/>
        <v/>
      </c>
      <c r="L117" s="46" t="str">
        <f t="shared" si="107"/>
        <v/>
      </c>
      <c r="M117" s="46" t="str">
        <f t="shared" si="108"/>
        <v/>
      </c>
      <c r="N117" s="46" t="str">
        <f t="shared" si="109"/>
        <v/>
      </c>
      <c r="O117" s="46" t="str">
        <f t="shared" si="110"/>
        <v/>
      </c>
      <c r="P117" s="46" t="str">
        <f t="shared" si="111"/>
        <v/>
      </c>
      <c r="Q117" s="46" t="str">
        <f t="shared" si="112"/>
        <v/>
      </c>
      <c r="R117" s="46" t="str">
        <f t="shared" si="113"/>
        <v/>
      </c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</row>
    <row r="118">
      <c r="A118" s="83"/>
      <c r="B118" s="28"/>
      <c r="C118" s="83"/>
      <c r="D118" s="37"/>
      <c r="E118" s="37"/>
      <c r="F118" s="84"/>
      <c r="G118" s="37"/>
      <c r="H118" s="59" t="str">
        <f t="shared" si="103"/>
        <v/>
      </c>
      <c r="I118" s="46" t="str">
        <f t="shared" si="104"/>
        <v/>
      </c>
      <c r="J118" s="46" t="str">
        <f t="shared" si="105"/>
        <v/>
      </c>
      <c r="K118" s="46" t="str">
        <f t="shared" si="106"/>
        <v/>
      </c>
      <c r="L118" s="46" t="str">
        <f t="shared" si="107"/>
        <v/>
      </c>
      <c r="M118" s="46" t="str">
        <f t="shared" si="108"/>
        <v/>
      </c>
      <c r="N118" s="46" t="str">
        <f t="shared" si="109"/>
        <v/>
      </c>
      <c r="O118" s="46" t="str">
        <f t="shared" si="110"/>
        <v/>
      </c>
      <c r="P118" s="46" t="str">
        <f t="shared" si="111"/>
        <v/>
      </c>
      <c r="Q118" s="46" t="str">
        <f t="shared" si="112"/>
        <v/>
      </c>
      <c r="R118" s="46" t="str">
        <f t="shared" si="113"/>
        <v/>
      </c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</row>
    <row r="119">
      <c r="A119" s="83"/>
      <c r="B119" s="28"/>
      <c r="C119" s="83"/>
      <c r="D119" s="37"/>
      <c r="E119" s="37"/>
      <c r="F119" s="84"/>
      <c r="G119" s="37"/>
      <c r="H119" s="59" t="str">
        <f t="shared" si="103"/>
        <v/>
      </c>
      <c r="I119" s="46" t="str">
        <f t="shared" si="104"/>
        <v/>
      </c>
      <c r="J119" s="46" t="str">
        <f t="shared" si="105"/>
        <v/>
      </c>
      <c r="K119" s="46" t="str">
        <f t="shared" si="106"/>
        <v/>
      </c>
      <c r="L119" s="46" t="str">
        <f t="shared" si="107"/>
        <v/>
      </c>
      <c r="M119" s="46" t="str">
        <f t="shared" si="108"/>
        <v/>
      </c>
      <c r="N119" s="46" t="str">
        <f t="shared" si="109"/>
        <v/>
      </c>
      <c r="O119" s="46" t="str">
        <f t="shared" si="110"/>
        <v/>
      </c>
      <c r="P119" s="46" t="str">
        <f t="shared" si="111"/>
        <v/>
      </c>
      <c r="Q119" s="46" t="str">
        <f t="shared" si="112"/>
        <v/>
      </c>
      <c r="R119" s="46" t="str">
        <f t="shared" si="113"/>
        <v/>
      </c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</row>
    <row r="120">
      <c r="A120" s="83"/>
      <c r="B120" s="28"/>
      <c r="C120" s="83"/>
      <c r="D120" s="37"/>
      <c r="E120" s="37"/>
      <c r="F120" s="84"/>
      <c r="G120" s="37"/>
      <c r="H120" s="59" t="str">
        <f t="shared" si="103"/>
        <v/>
      </c>
      <c r="I120" s="46" t="str">
        <f t="shared" si="104"/>
        <v/>
      </c>
      <c r="J120" s="46" t="str">
        <f t="shared" si="105"/>
        <v/>
      </c>
      <c r="K120" s="46" t="str">
        <f t="shared" si="106"/>
        <v/>
      </c>
      <c r="L120" s="46" t="str">
        <f t="shared" si="107"/>
        <v/>
      </c>
      <c r="M120" s="46" t="str">
        <f t="shared" si="108"/>
        <v/>
      </c>
      <c r="N120" s="46" t="str">
        <f t="shared" si="109"/>
        <v/>
      </c>
      <c r="O120" s="46" t="str">
        <f t="shared" si="110"/>
        <v/>
      </c>
      <c r="P120" s="46" t="str">
        <f t="shared" si="111"/>
        <v/>
      </c>
      <c r="Q120" s="46" t="str">
        <f t="shared" si="112"/>
        <v/>
      </c>
      <c r="R120" s="46" t="str">
        <f t="shared" si="113"/>
        <v/>
      </c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</row>
    <row r="121">
      <c r="A121" s="83"/>
      <c r="B121" s="28"/>
      <c r="C121" s="83"/>
      <c r="D121" s="37"/>
      <c r="E121" s="37"/>
      <c r="F121" s="84"/>
      <c r="G121" s="37"/>
      <c r="H121" s="59" t="str">
        <f t="shared" si="103"/>
        <v/>
      </c>
      <c r="I121" s="46" t="str">
        <f t="shared" si="104"/>
        <v/>
      </c>
      <c r="J121" s="46" t="str">
        <f t="shared" si="105"/>
        <v/>
      </c>
      <c r="K121" s="46" t="str">
        <f t="shared" si="106"/>
        <v/>
      </c>
      <c r="L121" s="46" t="str">
        <f t="shared" si="107"/>
        <v/>
      </c>
      <c r="M121" s="46" t="str">
        <f t="shared" si="108"/>
        <v/>
      </c>
      <c r="N121" s="46" t="str">
        <f t="shared" si="109"/>
        <v/>
      </c>
      <c r="O121" s="46" t="str">
        <f t="shared" si="110"/>
        <v/>
      </c>
      <c r="P121" s="46" t="str">
        <f t="shared" si="111"/>
        <v/>
      </c>
      <c r="Q121" s="46" t="str">
        <f t="shared" si="112"/>
        <v/>
      </c>
      <c r="R121" s="46" t="str">
        <f t="shared" si="113"/>
        <v/>
      </c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</row>
    <row r="122">
      <c r="A122" s="83"/>
      <c r="B122" s="28"/>
      <c r="C122" s="83"/>
      <c r="D122" s="37"/>
      <c r="E122" s="37"/>
      <c r="F122" s="84"/>
      <c r="G122" s="37"/>
      <c r="H122" s="59" t="str">
        <f t="shared" si="103"/>
        <v/>
      </c>
      <c r="I122" s="46" t="str">
        <f t="shared" si="104"/>
        <v/>
      </c>
      <c r="J122" s="46" t="str">
        <f t="shared" si="105"/>
        <v/>
      </c>
      <c r="K122" s="46" t="str">
        <f t="shared" si="106"/>
        <v/>
      </c>
      <c r="L122" s="46" t="str">
        <f t="shared" si="107"/>
        <v/>
      </c>
      <c r="M122" s="46" t="str">
        <f t="shared" si="108"/>
        <v/>
      </c>
      <c r="N122" s="46" t="str">
        <f t="shared" si="109"/>
        <v/>
      </c>
      <c r="O122" s="46" t="str">
        <f t="shared" si="110"/>
        <v/>
      </c>
      <c r="P122" s="46" t="str">
        <f t="shared" si="111"/>
        <v/>
      </c>
      <c r="Q122" s="46" t="str">
        <f t="shared" si="112"/>
        <v/>
      </c>
      <c r="R122" s="46" t="str">
        <f t="shared" si="113"/>
        <v/>
      </c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</row>
    <row r="123">
      <c r="A123" s="83"/>
      <c r="B123" s="28"/>
      <c r="C123" s="83"/>
      <c r="D123" s="37"/>
      <c r="E123" s="37"/>
      <c r="F123" s="84"/>
      <c r="G123" s="37"/>
      <c r="H123" s="59" t="str">
        <f t="shared" si="103"/>
        <v/>
      </c>
      <c r="I123" s="46" t="str">
        <f t="shared" si="104"/>
        <v/>
      </c>
      <c r="J123" s="46" t="str">
        <f t="shared" si="105"/>
        <v/>
      </c>
      <c r="K123" s="46" t="str">
        <f t="shared" si="106"/>
        <v/>
      </c>
      <c r="L123" s="46" t="str">
        <f t="shared" si="107"/>
        <v/>
      </c>
      <c r="M123" s="46" t="str">
        <f t="shared" si="108"/>
        <v/>
      </c>
      <c r="N123" s="46" t="str">
        <f t="shared" si="109"/>
        <v/>
      </c>
      <c r="O123" s="46" t="str">
        <f t="shared" si="110"/>
        <v/>
      </c>
      <c r="P123" s="46" t="str">
        <f t="shared" si="111"/>
        <v/>
      </c>
      <c r="Q123" s="46" t="str">
        <f t="shared" si="112"/>
        <v/>
      </c>
      <c r="R123" s="46" t="str">
        <f t="shared" si="113"/>
        <v/>
      </c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</row>
    <row r="124">
      <c r="A124" s="83"/>
      <c r="B124" s="28"/>
      <c r="C124" s="83"/>
      <c r="D124" s="37"/>
      <c r="E124" s="37"/>
      <c r="F124" s="84"/>
      <c r="G124" s="37"/>
      <c r="H124" s="59" t="str">
        <f t="shared" si="103"/>
        <v/>
      </c>
      <c r="I124" s="46" t="str">
        <f t="shared" si="104"/>
        <v/>
      </c>
      <c r="J124" s="46" t="str">
        <f t="shared" si="105"/>
        <v/>
      </c>
      <c r="K124" s="46" t="str">
        <f t="shared" si="106"/>
        <v/>
      </c>
      <c r="L124" s="46" t="str">
        <f t="shared" si="107"/>
        <v/>
      </c>
      <c r="M124" s="46" t="str">
        <f t="shared" si="108"/>
        <v/>
      </c>
      <c r="N124" s="46" t="str">
        <f t="shared" si="109"/>
        <v/>
      </c>
      <c r="O124" s="46" t="str">
        <f t="shared" si="110"/>
        <v/>
      </c>
      <c r="P124" s="46" t="str">
        <f t="shared" si="111"/>
        <v/>
      </c>
      <c r="Q124" s="46" t="str">
        <f t="shared" si="112"/>
        <v/>
      </c>
      <c r="R124" s="46" t="str">
        <f t="shared" si="113"/>
        <v/>
      </c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</row>
    <row r="125">
      <c r="A125" s="83"/>
      <c r="B125" s="28"/>
      <c r="C125" s="83"/>
      <c r="D125" s="37"/>
      <c r="E125" s="37"/>
      <c r="F125" s="84"/>
      <c r="G125" s="37"/>
      <c r="H125" s="59" t="str">
        <f t="shared" si="103"/>
        <v/>
      </c>
      <c r="I125" s="46" t="str">
        <f t="shared" si="104"/>
        <v/>
      </c>
      <c r="J125" s="46" t="str">
        <f t="shared" si="105"/>
        <v/>
      </c>
      <c r="K125" s="46" t="str">
        <f t="shared" si="106"/>
        <v/>
      </c>
      <c r="L125" s="46" t="str">
        <f t="shared" si="107"/>
        <v/>
      </c>
      <c r="M125" s="46" t="str">
        <f t="shared" si="108"/>
        <v/>
      </c>
      <c r="N125" s="46" t="str">
        <f t="shared" si="109"/>
        <v/>
      </c>
      <c r="O125" s="46" t="str">
        <f t="shared" si="110"/>
        <v/>
      </c>
      <c r="P125" s="46" t="str">
        <f t="shared" si="111"/>
        <v/>
      </c>
      <c r="Q125" s="46" t="str">
        <f t="shared" si="112"/>
        <v/>
      </c>
      <c r="R125" s="46" t="str">
        <f t="shared" si="113"/>
        <v/>
      </c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</row>
    <row r="126">
      <c r="A126" s="83"/>
      <c r="B126" s="28"/>
      <c r="C126" s="83"/>
      <c r="D126" s="37"/>
      <c r="E126" s="37"/>
      <c r="F126" s="84"/>
      <c r="G126" s="37"/>
      <c r="H126" s="59" t="str">
        <f t="shared" si="103"/>
        <v/>
      </c>
      <c r="I126" s="46" t="str">
        <f t="shared" si="104"/>
        <v/>
      </c>
      <c r="J126" s="46" t="str">
        <f t="shared" si="105"/>
        <v/>
      </c>
      <c r="K126" s="46" t="str">
        <f t="shared" si="106"/>
        <v/>
      </c>
      <c r="L126" s="46" t="str">
        <f t="shared" si="107"/>
        <v/>
      </c>
      <c r="M126" s="46" t="str">
        <f t="shared" si="108"/>
        <v/>
      </c>
      <c r="N126" s="46" t="str">
        <f t="shared" si="109"/>
        <v/>
      </c>
      <c r="O126" s="46" t="str">
        <f t="shared" si="110"/>
        <v/>
      </c>
      <c r="P126" s="46" t="str">
        <f t="shared" si="111"/>
        <v/>
      </c>
      <c r="Q126" s="46" t="str">
        <f t="shared" si="112"/>
        <v/>
      </c>
      <c r="R126" s="46" t="str">
        <f t="shared" si="113"/>
        <v/>
      </c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</row>
    <row r="127">
      <c r="A127" s="83"/>
      <c r="B127" s="28"/>
      <c r="C127" s="83"/>
      <c r="D127" s="37"/>
      <c r="E127" s="37"/>
      <c r="F127" s="84"/>
      <c r="G127" s="37"/>
      <c r="H127" s="59" t="str">
        <f t="shared" si="103"/>
        <v/>
      </c>
      <c r="I127" s="46" t="str">
        <f t="shared" si="104"/>
        <v/>
      </c>
      <c r="J127" s="46" t="str">
        <f t="shared" si="105"/>
        <v/>
      </c>
      <c r="K127" s="46" t="str">
        <f t="shared" si="106"/>
        <v/>
      </c>
      <c r="L127" s="46" t="str">
        <f t="shared" si="107"/>
        <v/>
      </c>
      <c r="M127" s="46" t="str">
        <f t="shared" si="108"/>
        <v/>
      </c>
      <c r="N127" s="46" t="str">
        <f t="shared" si="109"/>
        <v/>
      </c>
      <c r="O127" s="46" t="str">
        <f t="shared" si="110"/>
        <v/>
      </c>
      <c r="P127" s="46" t="str">
        <f t="shared" si="111"/>
        <v/>
      </c>
      <c r="Q127" s="46" t="str">
        <f t="shared" si="112"/>
        <v/>
      </c>
      <c r="R127" s="46" t="str">
        <f t="shared" si="113"/>
        <v/>
      </c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</row>
    <row r="128">
      <c r="A128" s="83"/>
      <c r="B128" s="28"/>
      <c r="C128" s="83"/>
      <c r="D128" s="37"/>
      <c r="E128" s="37"/>
      <c r="F128" s="84"/>
      <c r="G128" s="37"/>
      <c r="H128" s="59" t="str">
        <f t="shared" si="103"/>
        <v/>
      </c>
      <c r="I128" s="46" t="str">
        <f t="shared" si="104"/>
        <v/>
      </c>
      <c r="J128" s="46" t="str">
        <f t="shared" si="105"/>
        <v/>
      </c>
      <c r="K128" s="46" t="str">
        <f t="shared" si="106"/>
        <v/>
      </c>
      <c r="L128" s="46" t="str">
        <f t="shared" si="107"/>
        <v/>
      </c>
      <c r="M128" s="46" t="str">
        <f t="shared" si="108"/>
        <v/>
      </c>
      <c r="N128" s="46" t="str">
        <f t="shared" si="109"/>
        <v/>
      </c>
      <c r="O128" s="46" t="str">
        <f t="shared" si="110"/>
        <v/>
      </c>
      <c r="P128" s="46" t="str">
        <f t="shared" si="111"/>
        <v/>
      </c>
      <c r="Q128" s="46" t="str">
        <f t="shared" si="112"/>
        <v/>
      </c>
      <c r="R128" s="46" t="str">
        <f t="shared" si="113"/>
        <v/>
      </c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</row>
    <row r="129">
      <c r="A129" s="83"/>
      <c r="B129" s="28"/>
      <c r="C129" s="83"/>
      <c r="D129" s="37"/>
      <c r="E129" s="37"/>
      <c r="F129" s="84"/>
      <c r="G129" s="37"/>
      <c r="H129" s="59" t="str">
        <f t="shared" si="103"/>
        <v/>
      </c>
      <c r="I129" s="46" t="str">
        <f t="shared" si="104"/>
        <v/>
      </c>
      <c r="J129" s="46" t="str">
        <f t="shared" si="105"/>
        <v/>
      </c>
      <c r="K129" s="46" t="str">
        <f t="shared" si="106"/>
        <v/>
      </c>
      <c r="L129" s="46" t="str">
        <f t="shared" si="107"/>
        <v/>
      </c>
      <c r="M129" s="46" t="str">
        <f t="shared" si="108"/>
        <v/>
      </c>
      <c r="N129" s="46" t="str">
        <f t="shared" si="109"/>
        <v/>
      </c>
      <c r="O129" s="46" t="str">
        <f t="shared" si="110"/>
        <v/>
      </c>
      <c r="P129" s="46" t="str">
        <f t="shared" si="111"/>
        <v/>
      </c>
      <c r="Q129" s="46" t="str">
        <f t="shared" si="112"/>
        <v/>
      </c>
      <c r="R129" s="46" t="str">
        <f t="shared" si="113"/>
        <v/>
      </c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</row>
    <row r="130">
      <c r="A130" s="83"/>
      <c r="B130" s="28"/>
      <c r="C130" s="83"/>
      <c r="D130" s="37"/>
      <c r="E130" s="37"/>
      <c r="F130" s="84"/>
      <c r="G130" s="37"/>
      <c r="H130" s="59" t="str">
        <f t="shared" si="103"/>
        <v/>
      </c>
      <c r="I130" s="46" t="str">
        <f t="shared" si="104"/>
        <v/>
      </c>
      <c r="J130" s="46" t="str">
        <f t="shared" si="105"/>
        <v/>
      </c>
      <c r="K130" s="46" t="str">
        <f t="shared" si="106"/>
        <v/>
      </c>
      <c r="L130" s="46" t="str">
        <f t="shared" si="107"/>
        <v/>
      </c>
      <c r="M130" s="46" t="str">
        <f t="shared" si="108"/>
        <v/>
      </c>
      <c r="N130" s="46" t="str">
        <f t="shared" si="109"/>
        <v/>
      </c>
      <c r="O130" s="46" t="str">
        <f t="shared" si="110"/>
        <v/>
      </c>
      <c r="P130" s="46" t="str">
        <f t="shared" si="111"/>
        <v/>
      </c>
      <c r="Q130" s="46" t="str">
        <f t="shared" si="112"/>
        <v/>
      </c>
      <c r="R130" s="46" t="str">
        <f t="shared" si="113"/>
        <v/>
      </c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</row>
    <row r="131">
      <c r="A131" s="83"/>
      <c r="B131" s="28"/>
      <c r="C131" s="83"/>
      <c r="D131" s="37"/>
      <c r="E131" s="37"/>
      <c r="F131" s="84"/>
      <c r="G131" s="37"/>
      <c r="H131" s="59" t="str">
        <f t="shared" si="103"/>
        <v/>
      </c>
      <c r="I131" s="46" t="str">
        <f t="shared" si="104"/>
        <v/>
      </c>
      <c r="J131" s="46" t="str">
        <f t="shared" si="105"/>
        <v/>
      </c>
      <c r="K131" s="46" t="str">
        <f t="shared" si="106"/>
        <v/>
      </c>
      <c r="L131" s="46" t="str">
        <f t="shared" si="107"/>
        <v/>
      </c>
      <c r="M131" s="46" t="str">
        <f t="shared" si="108"/>
        <v/>
      </c>
      <c r="N131" s="46" t="str">
        <f t="shared" si="109"/>
        <v/>
      </c>
      <c r="O131" s="46" t="str">
        <f t="shared" si="110"/>
        <v/>
      </c>
      <c r="P131" s="46" t="str">
        <f t="shared" si="111"/>
        <v/>
      </c>
      <c r="Q131" s="46" t="str">
        <f t="shared" si="112"/>
        <v/>
      </c>
      <c r="R131" s="46" t="str">
        <f t="shared" si="113"/>
        <v/>
      </c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</row>
    <row r="132">
      <c r="A132" s="83"/>
      <c r="B132" s="28"/>
      <c r="C132" s="83"/>
      <c r="D132" s="37"/>
      <c r="E132" s="37"/>
      <c r="F132" s="84"/>
      <c r="G132" s="37"/>
      <c r="H132" s="59" t="str">
        <f t="shared" si="103"/>
        <v/>
      </c>
      <c r="I132" s="46" t="str">
        <f t="shared" si="104"/>
        <v/>
      </c>
      <c r="J132" s="46" t="str">
        <f t="shared" si="105"/>
        <v/>
      </c>
      <c r="K132" s="46" t="str">
        <f t="shared" si="106"/>
        <v/>
      </c>
      <c r="L132" s="46" t="str">
        <f t="shared" si="107"/>
        <v/>
      </c>
      <c r="M132" s="46" t="str">
        <f t="shared" si="108"/>
        <v/>
      </c>
      <c r="N132" s="46" t="str">
        <f t="shared" si="109"/>
        <v/>
      </c>
      <c r="O132" s="46" t="str">
        <f t="shared" si="110"/>
        <v/>
      </c>
      <c r="P132" s="46" t="str">
        <f t="shared" si="111"/>
        <v/>
      </c>
      <c r="Q132" s="46" t="str">
        <f t="shared" si="112"/>
        <v/>
      </c>
      <c r="R132" s="46" t="str">
        <f t="shared" si="113"/>
        <v/>
      </c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</row>
    <row r="133">
      <c r="A133" s="83"/>
      <c r="B133" s="28"/>
      <c r="C133" s="83"/>
      <c r="D133" s="37"/>
      <c r="E133" s="37"/>
      <c r="F133" s="84"/>
      <c r="G133" s="37"/>
      <c r="H133" s="59" t="str">
        <f t="shared" si="103"/>
        <v/>
      </c>
      <c r="I133" s="46" t="str">
        <f t="shared" si="104"/>
        <v/>
      </c>
      <c r="J133" s="46" t="str">
        <f t="shared" si="105"/>
        <v/>
      </c>
      <c r="K133" s="46" t="str">
        <f t="shared" si="106"/>
        <v/>
      </c>
      <c r="L133" s="46" t="str">
        <f t="shared" si="107"/>
        <v/>
      </c>
      <c r="M133" s="46" t="str">
        <f t="shared" si="108"/>
        <v/>
      </c>
      <c r="N133" s="46" t="str">
        <f t="shared" si="109"/>
        <v/>
      </c>
      <c r="O133" s="46" t="str">
        <f t="shared" si="110"/>
        <v/>
      </c>
      <c r="P133" s="46" t="str">
        <f t="shared" si="111"/>
        <v/>
      </c>
      <c r="Q133" s="46" t="str">
        <f t="shared" si="112"/>
        <v/>
      </c>
      <c r="R133" s="46" t="str">
        <f t="shared" si="113"/>
        <v/>
      </c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</row>
    <row r="134">
      <c r="A134" s="83"/>
      <c r="B134" s="28"/>
      <c r="C134" s="83"/>
      <c r="D134" s="37"/>
      <c r="E134" s="37"/>
      <c r="F134" s="84"/>
      <c r="G134" s="37"/>
      <c r="H134" s="59" t="str">
        <f t="shared" si="103"/>
        <v/>
      </c>
      <c r="I134" s="46" t="str">
        <f t="shared" si="104"/>
        <v/>
      </c>
      <c r="J134" s="46" t="str">
        <f t="shared" si="105"/>
        <v/>
      </c>
      <c r="K134" s="46" t="str">
        <f t="shared" si="106"/>
        <v/>
      </c>
      <c r="L134" s="46" t="str">
        <f t="shared" si="107"/>
        <v/>
      </c>
      <c r="M134" s="46" t="str">
        <f t="shared" si="108"/>
        <v/>
      </c>
      <c r="N134" s="46" t="str">
        <f t="shared" si="109"/>
        <v/>
      </c>
      <c r="O134" s="46" t="str">
        <f t="shared" si="110"/>
        <v/>
      </c>
      <c r="P134" s="46" t="str">
        <f t="shared" si="111"/>
        <v/>
      </c>
      <c r="Q134" s="46" t="str">
        <f t="shared" si="112"/>
        <v/>
      </c>
      <c r="R134" s="46" t="str">
        <f t="shared" si="113"/>
        <v/>
      </c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</row>
    <row r="135">
      <c r="A135" s="83"/>
      <c r="B135" s="28"/>
      <c r="C135" s="83"/>
      <c r="D135" s="37"/>
      <c r="E135" s="37"/>
      <c r="F135" s="84"/>
      <c r="G135" s="37"/>
      <c r="H135" s="59" t="str">
        <f t="shared" si="103"/>
        <v/>
      </c>
      <c r="I135" s="46" t="str">
        <f t="shared" si="104"/>
        <v/>
      </c>
      <c r="J135" s="46" t="str">
        <f t="shared" si="105"/>
        <v/>
      </c>
      <c r="K135" s="46" t="str">
        <f t="shared" si="106"/>
        <v/>
      </c>
      <c r="L135" s="46" t="str">
        <f t="shared" si="107"/>
        <v/>
      </c>
      <c r="M135" s="46" t="str">
        <f t="shared" si="108"/>
        <v/>
      </c>
      <c r="N135" s="46" t="str">
        <f t="shared" si="109"/>
        <v/>
      </c>
      <c r="O135" s="46" t="str">
        <f t="shared" si="110"/>
        <v/>
      </c>
      <c r="P135" s="46" t="str">
        <f t="shared" si="111"/>
        <v/>
      </c>
      <c r="Q135" s="46" t="str">
        <f t="shared" si="112"/>
        <v/>
      </c>
      <c r="R135" s="46" t="str">
        <f t="shared" si="113"/>
        <v/>
      </c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</row>
    <row r="136">
      <c r="A136" s="83"/>
      <c r="B136" s="28"/>
      <c r="C136" s="83"/>
      <c r="D136" s="37"/>
      <c r="E136" s="37"/>
      <c r="F136" s="84"/>
      <c r="G136" s="37"/>
      <c r="H136" s="59" t="str">
        <f t="shared" si="103"/>
        <v/>
      </c>
      <c r="I136" s="46" t="str">
        <f t="shared" si="104"/>
        <v/>
      </c>
      <c r="J136" s="46" t="str">
        <f t="shared" si="105"/>
        <v/>
      </c>
      <c r="K136" s="46" t="str">
        <f t="shared" si="106"/>
        <v/>
      </c>
      <c r="L136" s="46" t="str">
        <f t="shared" si="107"/>
        <v/>
      </c>
      <c r="M136" s="46" t="str">
        <f t="shared" si="108"/>
        <v/>
      </c>
      <c r="N136" s="46" t="str">
        <f t="shared" si="109"/>
        <v/>
      </c>
      <c r="O136" s="46" t="str">
        <f t="shared" si="110"/>
        <v/>
      </c>
      <c r="P136" s="46" t="str">
        <f t="shared" si="111"/>
        <v/>
      </c>
      <c r="Q136" s="46" t="str">
        <f t="shared" si="112"/>
        <v/>
      </c>
      <c r="R136" s="46" t="str">
        <f t="shared" si="113"/>
        <v/>
      </c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</row>
    <row r="137">
      <c r="A137" s="83"/>
      <c r="B137" s="28"/>
      <c r="C137" s="83"/>
      <c r="D137" s="37"/>
      <c r="E137" s="37"/>
      <c r="F137" s="84"/>
      <c r="G137" s="37"/>
      <c r="H137" s="59" t="str">
        <f t="shared" si="103"/>
        <v/>
      </c>
      <c r="I137" s="46" t="str">
        <f t="shared" si="104"/>
        <v/>
      </c>
      <c r="J137" s="46" t="str">
        <f t="shared" si="105"/>
        <v/>
      </c>
      <c r="K137" s="46" t="str">
        <f t="shared" si="106"/>
        <v/>
      </c>
      <c r="L137" s="46" t="str">
        <f t="shared" si="107"/>
        <v/>
      </c>
      <c r="M137" s="46" t="str">
        <f t="shared" si="108"/>
        <v/>
      </c>
      <c r="N137" s="46" t="str">
        <f t="shared" si="109"/>
        <v/>
      </c>
      <c r="O137" s="46" t="str">
        <f t="shared" si="110"/>
        <v/>
      </c>
      <c r="P137" s="46" t="str">
        <f t="shared" si="111"/>
        <v/>
      </c>
      <c r="Q137" s="46" t="str">
        <f t="shared" si="112"/>
        <v/>
      </c>
      <c r="R137" s="46" t="str">
        <f t="shared" si="113"/>
        <v/>
      </c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</row>
    <row r="138">
      <c r="A138" s="83"/>
      <c r="B138" s="28"/>
      <c r="C138" s="83"/>
      <c r="D138" s="37"/>
      <c r="E138" s="37"/>
      <c r="F138" s="84"/>
      <c r="G138" s="37"/>
      <c r="H138" s="59" t="str">
        <f t="shared" si="103"/>
        <v/>
      </c>
      <c r="I138" s="46" t="str">
        <f t="shared" si="104"/>
        <v/>
      </c>
      <c r="J138" s="46" t="str">
        <f t="shared" si="105"/>
        <v/>
      </c>
      <c r="K138" s="46" t="str">
        <f t="shared" si="106"/>
        <v/>
      </c>
      <c r="L138" s="46" t="str">
        <f t="shared" si="107"/>
        <v/>
      </c>
      <c r="M138" s="46" t="str">
        <f t="shared" si="108"/>
        <v/>
      </c>
      <c r="N138" s="46" t="str">
        <f t="shared" si="109"/>
        <v/>
      </c>
      <c r="O138" s="46" t="str">
        <f t="shared" si="110"/>
        <v/>
      </c>
      <c r="P138" s="46" t="str">
        <f t="shared" si="111"/>
        <v/>
      </c>
      <c r="Q138" s="46" t="str">
        <f t="shared" si="112"/>
        <v/>
      </c>
      <c r="R138" s="46" t="str">
        <f t="shared" si="113"/>
        <v/>
      </c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</row>
    <row r="139">
      <c r="A139" s="83"/>
      <c r="B139" s="28"/>
      <c r="C139" s="83"/>
      <c r="D139" s="37"/>
      <c r="E139" s="37"/>
      <c r="F139" s="84"/>
      <c r="G139" s="37"/>
      <c r="H139" s="59" t="str">
        <f t="shared" si="103"/>
        <v/>
      </c>
      <c r="I139" s="46" t="str">
        <f t="shared" si="104"/>
        <v/>
      </c>
      <c r="J139" s="46" t="str">
        <f t="shared" si="105"/>
        <v/>
      </c>
      <c r="K139" s="46" t="str">
        <f t="shared" si="106"/>
        <v/>
      </c>
      <c r="L139" s="46" t="str">
        <f t="shared" si="107"/>
        <v/>
      </c>
      <c r="M139" s="46" t="str">
        <f t="shared" si="108"/>
        <v/>
      </c>
      <c r="N139" s="46" t="str">
        <f t="shared" si="109"/>
        <v/>
      </c>
      <c r="O139" s="46" t="str">
        <f t="shared" si="110"/>
        <v/>
      </c>
      <c r="P139" s="46" t="str">
        <f t="shared" si="111"/>
        <v/>
      </c>
      <c r="Q139" s="46" t="str">
        <f t="shared" si="112"/>
        <v/>
      </c>
      <c r="R139" s="46" t="str">
        <f t="shared" si="113"/>
        <v/>
      </c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</row>
    <row r="140">
      <c r="A140" s="83"/>
      <c r="B140" s="28"/>
      <c r="C140" s="83"/>
      <c r="D140" s="37"/>
      <c r="E140" s="37"/>
      <c r="F140" s="84"/>
      <c r="G140" s="37"/>
      <c r="H140" s="59" t="str">
        <f t="shared" si="103"/>
        <v/>
      </c>
      <c r="I140" s="46" t="str">
        <f t="shared" si="104"/>
        <v/>
      </c>
      <c r="J140" s="46" t="str">
        <f t="shared" si="105"/>
        <v/>
      </c>
      <c r="K140" s="46" t="str">
        <f t="shared" si="106"/>
        <v/>
      </c>
      <c r="L140" s="46" t="str">
        <f t="shared" si="107"/>
        <v/>
      </c>
      <c r="M140" s="46" t="str">
        <f t="shared" si="108"/>
        <v/>
      </c>
      <c r="N140" s="46" t="str">
        <f t="shared" si="109"/>
        <v/>
      </c>
      <c r="O140" s="46" t="str">
        <f t="shared" si="110"/>
        <v/>
      </c>
      <c r="P140" s="46" t="str">
        <f t="shared" si="111"/>
        <v/>
      </c>
      <c r="Q140" s="46" t="str">
        <f t="shared" si="112"/>
        <v/>
      </c>
      <c r="R140" s="46" t="str">
        <f t="shared" si="113"/>
        <v/>
      </c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</row>
    <row r="141">
      <c r="A141" s="83"/>
      <c r="B141" s="28"/>
      <c r="C141" s="83"/>
      <c r="D141" s="37"/>
      <c r="E141" s="37"/>
      <c r="F141" s="84"/>
      <c r="G141" s="37"/>
      <c r="H141" s="59" t="str">
        <f t="shared" si="103"/>
        <v/>
      </c>
      <c r="I141" s="46" t="str">
        <f t="shared" si="104"/>
        <v/>
      </c>
      <c r="J141" s="46" t="str">
        <f t="shared" si="105"/>
        <v/>
      </c>
      <c r="K141" s="46" t="str">
        <f t="shared" si="106"/>
        <v/>
      </c>
      <c r="L141" s="46" t="str">
        <f t="shared" si="107"/>
        <v/>
      </c>
      <c r="M141" s="46" t="str">
        <f t="shared" si="108"/>
        <v/>
      </c>
      <c r="N141" s="46" t="str">
        <f t="shared" si="109"/>
        <v/>
      </c>
      <c r="O141" s="46" t="str">
        <f t="shared" si="110"/>
        <v/>
      </c>
      <c r="P141" s="46" t="str">
        <f t="shared" si="111"/>
        <v/>
      </c>
      <c r="Q141" s="46" t="str">
        <f t="shared" si="112"/>
        <v/>
      </c>
      <c r="R141" s="46" t="str">
        <f t="shared" si="113"/>
        <v/>
      </c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</row>
    <row r="142">
      <c r="A142" s="83"/>
      <c r="B142" s="28"/>
      <c r="C142" s="83"/>
      <c r="D142" s="37"/>
      <c r="E142" s="37"/>
      <c r="F142" s="84"/>
      <c r="G142" s="37"/>
      <c r="H142" s="59" t="str">
        <f t="shared" si="103"/>
        <v/>
      </c>
      <c r="I142" s="46" t="str">
        <f t="shared" si="104"/>
        <v/>
      </c>
      <c r="J142" s="46" t="str">
        <f t="shared" si="105"/>
        <v/>
      </c>
      <c r="K142" s="46" t="str">
        <f t="shared" si="106"/>
        <v/>
      </c>
      <c r="L142" s="46" t="str">
        <f t="shared" si="107"/>
        <v/>
      </c>
      <c r="M142" s="46" t="str">
        <f t="shared" si="108"/>
        <v/>
      </c>
      <c r="N142" s="46" t="str">
        <f t="shared" si="109"/>
        <v/>
      </c>
      <c r="O142" s="46" t="str">
        <f t="shared" si="110"/>
        <v/>
      </c>
      <c r="P142" s="46" t="str">
        <f t="shared" si="111"/>
        <v/>
      </c>
      <c r="Q142" s="46" t="str">
        <f t="shared" si="112"/>
        <v/>
      </c>
      <c r="R142" s="46" t="str">
        <f t="shared" si="113"/>
        <v/>
      </c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</row>
    <row r="143">
      <c r="A143" s="83"/>
      <c r="B143" s="28"/>
      <c r="C143" s="83"/>
      <c r="D143" s="37"/>
      <c r="E143" s="37"/>
      <c r="F143" s="84"/>
      <c r="G143" s="37"/>
      <c r="H143" s="59" t="str">
        <f t="shared" si="103"/>
        <v/>
      </c>
      <c r="I143" s="46" t="str">
        <f t="shared" si="104"/>
        <v/>
      </c>
      <c r="J143" s="46" t="str">
        <f t="shared" si="105"/>
        <v/>
      </c>
      <c r="K143" s="46" t="str">
        <f t="shared" si="106"/>
        <v/>
      </c>
      <c r="L143" s="46" t="str">
        <f t="shared" si="107"/>
        <v/>
      </c>
      <c r="M143" s="46" t="str">
        <f t="shared" si="108"/>
        <v/>
      </c>
      <c r="N143" s="46" t="str">
        <f t="shared" si="109"/>
        <v/>
      </c>
      <c r="O143" s="46" t="str">
        <f t="shared" si="110"/>
        <v/>
      </c>
      <c r="P143" s="46" t="str">
        <f t="shared" si="111"/>
        <v/>
      </c>
      <c r="Q143" s="46" t="str">
        <f t="shared" si="112"/>
        <v/>
      </c>
      <c r="R143" s="46" t="str">
        <f t="shared" si="113"/>
        <v/>
      </c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</row>
    <row r="144">
      <c r="A144" s="83"/>
      <c r="B144" s="28"/>
      <c r="C144" s="83"/>
      <c r="D144" s="37"/>
      <c r="E144" s="37"/>
      <c r="F144" s="84"/>
      <c r="G144" s="37"/>
      <c r="H144" s="59" t="str">
        <f t="shared" si="103"/>
        <v/>
      </c>
      <c r="I144" s="46" t="str">
        <f t="shared" si="104"/>
        <v/>
      </c>
      <c r="J144" s="46" t="str">
        <f t="shared" si="105"/>
        <v/>
      </c>
      <c r="K144" s="46" t="str">
        <f t="shared" si="106"/>
        <v/>
      </c>
      <c r="L144" s="46" t="str">
        <f t="shared" si="107"/>
        <v/>
      </c>
      <c r="M144" s="46" t="str">
        <f t="shared" si="108"/>
        <v/>
      </c>
      <c r="N144" s="46" t="str">
        <f t="shared" si="109"/>
        <v/>
      </c>
      <c r="O144" s="46" t="str">
        <f t="shared" si="110"/>
        <v/>
      </c>
      <c r="P144" s="46" t="str">
        <f t="shared" si="111"/>
        <v/>
      </c>
      <c r="Q144" s="46" t="str">
        <f t="shared" si="112"/>
        <v/>
      </c>
      <c r="R144" s="46" t="str">
        <f t="shared" si="113"/>
        <v/>
      </c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</row>
    <row r="145">
      <c r="A145" s="83"/>
      <c r="B145" s="28"/>
      <c r="C145" s="83"/>
      <c r="D145" s="37"/>
      <c r="E145" s="37"/>
      <c r="F145" s="84"/>
      <c r="G145" s="37"/>
      <c r="H145" s="59" t="str">
        <f t="shared" si="103"/>
        <v/>
      </c>
      <c r="I145" s="46" t="str">
        <f t="shared" si="104"/>
        <v/>
      </c>
      <c r="J145" s="46" t="str">
        <f t="shared" si="105"/>
        <v/>
      </c>
      <c r="K145" s="46" t="str">
        <f t="shared" si="106"/>
        <v/>
      </c>
      <c r="L145" s="46" t="str">
        <f t="shared" si="107"/>
        <v/>
      </c>
      <c r="M145" s="46" t="str">
        <f t="shared" si="108"/>
        <v/>
      </c>
      <c r="N145" s="46" t="str">
        <f t="shared" si="109"/>
        <v/>
      </c>
      <c r="O145" s="46" t="str">
        <f t="shared" si="110"/>
        <v/>
      </c>
      <c r="P145" s="46" t="str">
        <f t="shared" si="111"/>
        <v/>
      </c>
      <c r="Q145" s="46" t="str">
        <f t="shared" si="112"/>
        <v/>
      </c>
      <c r="R145" s="46" t="str">
        <f t="shared" si="113"/>
        <v/>
      </c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</row>
    <row r="146">
      <c r="A146" s="83"/>
      <c r="B146" s="28"/>
      <c r="C146" s="83"/>
      <c r="D146" s="37"/>
      <c r="E146" s="37"/>
      <c r="F146" s="84"/>
      <c r="G146" s="37"/>
      <c r="H146" s="59" t="str">
        <f t="shared" si="103"/>
        <v/>
      </c>
      <c r="I146" s="46" t="str">
        <f t="shared" si="104"/>
        <v/>
      </c>
      <c r="J146" s="46" t="str">
        <f t="shared" si="105"/>
        <v/>
      </c>
      <c r="K146" s="46" t="str">
        <f t="shared" si="106"/>
        <v/>
      </c>
      <c r="L146" s="46" t="str">
        <f t="shared" si="107"/>
        <v/>
      </c>
      <c r="M146" s="46" t="str">
        <f t="shared" si="108"/>
        <v/>
      </c>
      <c r="N146" s="46" t="str">
        <f t="shared" si="109"/>
        <v/>
      </c>
      <c r="O146" s="46" t="str">
        <f t="shared" si="110"/>
        <v/>
      </c>
      <c r="P146" s="46" t="str">
        <f t="shared" si="111"/>
        <v/>
      </c>
      <c r="Q146" s="46" t="str">
        <f t="shared" si="112"/>
        <v/>
      </c>
      <c r="R146" s="46" t="str">
        <f t="shared" si="113"/>
        <v/>
      </c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</row>
    <row r="147">
      <c r="A147" s="83"/>
      <c r="B147" s="28"/>
      <c r="C147" s="83"/>
      <c r="D147" s="37"/>
      <c r="E147" s="37"/>
      <c r="F147" s="84"/>
      <c r="G147" s="37"/>
      <c r="H147" s="59" t="str">
        <f t="shared" si="103"/>
        <v/>
      </c>
      <c r="I147" s="46" t="str">
        <f t="shared" si="104"/>
        <v/>
      </c>
      <c r="J147" s="46" t="str">
        <f t="shared" si="105"/>
        <v/>
      </c>
      <c r="K147" s="46" t="str">
        <f t="shared" si="106"/>
        <v/>
      </c>
      <c r="L147" s="46" t="str">
        <f t="shared" si="107"/>
        <v/>
      </c>
      <c r="M147" s="46" t="str">
        <f t="shared" si="108"/>
        <v/>
      </c>
      <c r="N147" s="46" t="str">
        <f t="shared" si="109"/>
        <v/>
      </c>
      <c r="O147" s="46" t="str">
        <f t="shared" si="110"/>
        <v/>
      </c>
      <c r="P147" s="46" t="str">
        <f t="shared" si="111"/>
        <v/>
      </c>
      <c r="Q147" s="46" t="str">
        <f t="shared" si="112"/>
        <v/>
      </c>
      <c r="R147" s="46" t="str">
        <f t="shared" si="113"/>
        <v/>
      </c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</row>
    <row r="148">
      <c r="A148" s="83"/>
      <c r="B148" s="28"/>
      <c r="C148" s="83"/>
      <c r="D148" s="37"/>
      <c r="E148" s="37"/>
      <c r="F148" s="84"/>
      <c r="G148" s="37"/>
      <c r="H148" s="59" t="str">
        <f t="shared" si="103"/>
        <v/>
      </c>
      <c r="I148" s="46" t="str">
        <f t="shared" si="104"/>
        <v/>
      </c>
      <c r="J148" s="46" t="str">
        <f t="shared" si="105"/>
        <v/>
      </c>
      <c r="K148" s="46" t="str">
        <f t="shared" si="106"/>
        <v/>
      </c>
      <c r="L148" s="46" t="str">
        <f t="shared" si="107"/>
        <v/>
      </c>
      <c r="M148" s="46" t="str">
        <f t="shared" si="108"/>
        <v/>
      </c>
      <c r="N148" s="46" t="str">
        <f t="shared" si="109"/>
        <v/>
      </c>
      <c r="O148" s="46" t="str">
        <f t="shared" si="110"/>
        <v/>
      </c>
      <c r="P148" s="46" t="str">
        <f t="shared" si="111"/>
        <v/>
      </c>
      <c r="Q148" s="46" t="str">
        <f t="shared" si="112"/>
        <v/>
      </c>
      <c r="R148" s="46" t="str">
        <f t="shared" si="113"/>
        <v/>
      </c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</row>
    <row r="149">
      <c r="A149" s="83"/>
      <c r="B149" s="28"/>
      <c r="C149" s="83"/>
      <c r="D149" s="37"/>
      <c r="E149" s="37"/>
      <c r="F149" s="84"/>
      <c r="G149" s="37"/>
      <c r="H149" s="59" t="str">
        <f t="shared" si="103"/>
        <v/>
      </c>
      <c r="I149" s="46" t="str">
        <f t="shared" si="104"/>
        <v/>
      </c>
      <c r="J149" s="46" t="str">
        <f t="shared" si="105"/>
        <v/>
      </c>
      <c r="K149" s="46" t="str">
        <f t="shared" si="106"/>
        <v/>
      </c>
      <c r="L149" s="46" t="str">
        <f t="shared" si="107"/>
        <v/>
      </c>
      <c r="M149" s="46" t="str">
        <f t="shared" si="108"/>
        <v/>
      </c>
      <c r="N149" s="46" t="str">
        <f t="shared" si="109"/>
        <v/>
      </c>
      <c r="O149" s="46" t="str">
        <f t="shared" si="110"/>
        <v/>
      </c>
      <c r="P149" s="46" t="str">
        <f t="shared" si="111"/>
        <v/>
      </c>
      <c r="Q149" s="46" t="str">
        <f t="shared" si="112"/>
        <v/>
      </c>
      <c r="R149" s="46" t="str">
        <f t="shared" si="113"/>
        <v/>
      </c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</row>
    <row r="150">
      <c r="A150" s="83"/>
      <c r="B150" s="28"/>
      <c r="C150" s="83"/>
      <c r="D150" s="37"/>
      <c r="E150" s="37"/>
      <c r="F150" s="84"/>
      <c r="G150" s="37"/>
      <c r="H150" s="59" t="str">
        <f t="shared" si="103"/>
        <v/>
      </c>
      <c r="I150" s="46" t="str">
        <f t="shared" si="104"/>
        <v/>
      </c>
      <c r="J150" s="46" t="str">
        <f t="shared" si="105"/>
        <v/>
      </c>
      <c r="K150" s="46" t="str">
        <f t="shared" si="106"/>
        <v/>
      </c>
      <c r="L150" s="46" t="str">
        <f t="shared" si="107"/>
        <v/>
      </c>
      <c r="M150" s="46" t="str">
        <f t="shared" si="108"/>
        <v/>
      </c>
      <c r="N150" s="46" t="str">
        <f t="shared" si="109"/>
        <v/>
      </c>
      <c r="O150" s="46" t="str">
        <f t="shared" si="110"/>
        <v/>
      </c>
      <c r="P150" s="46" t="str">
        <f t="shared" si="111"/>
        <v/>
      </c>
      <c r="Q150" s="46" t="str">
        <f t="shared" si="112"/>
        <v/>
      </c>
      <c r="R150" s="46" t="str">
        <f t="shared" si="113"/>
        <v/>
      </c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</row>
    <row r="151">
      <c r="A151" s="83"/>
      <c r="B151" s="28"/>
      <c r="C151" s="83"/>
      <c r="D151" s="37"/>
      <c r="E151" s="37"/>
      <c r="F151" s="84"/>
      <c r="G151" s="37"/>
      <c r="H151" s="59" t="str">
        <f t="shared" si="103"/>
        <v/>
      </c>
      <c r="I151" s="46" t="str">
        <f t="shared" si="104"/>
        <v/>
      </c>
      <c r="J151" s="46" t="str">
        <f t="shared" si="105"/>
        <v/>
      </c>
      <c r="K151" s="46" t="str">
        <f t="shared" si="106"/>
        <v/>
      </c>
      <c r="L151" s="46" t="str">
        <f t="shared" si="107"/>
        <v/>
      </c>
      <c r="M151" s="46" t="str">
        <f t="shared" si="108"/>
        <v/>
      </c>
      <c r="N151" s="46" t="str">
        <f t="shared" si="109"/>
        <v/>
      </c>
      <c r="O151" s="46" t="str">
        <f t="shared" si="110"/>
        <v/>
      </c>
      <c r="P151" s="46" t="str">
        <f t="shared" si="111"/>
        <v/>
      </c>
      <c r="Q151" s="46" t="str">
        <f t="shared" si="112"/>
        <v/>
      </c>
      <c r="R151" s="46" t="str">
        <f t="shared" si="113"/>
        <v/>
      </c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</row>
    <row r="152">
      <c r="A152" s="83"/>
      <c r="B152" s="28"/>
      <c r="C152" s="83"/>
      <c r="D152" s="37"/>
      <c r="E152" s="37"/>
      <c r="F152" s="84"/>
      <c r="G152" s="37"/>
      <c r="H152" s="59" t="str">
        <f t="shared" si="103"/>
        <v/>
      </c>
      <c r="I152" s="46" t="str">
        <f t="shared" si="104"/>
        <v/>
      </c>
      <c r="J152" s="46" t="str">
        <f t="shared" si="105"/>
        <v/>
      </c>
      <c r="K152" s="46" t="str">
        <f t="shared" si="106"/>
        <v/>
      </c>
      <c r="L152" s="46" t="str">
        <f t="shared" si="107"/>
        <v/>
      </c>
      <c r="M152" s="46" t="str">
        <f t="shared" si="108"/>
        <v/>
      </c>
      <c r="N152" s="46" t="str">
        <f t="shared" si="109"/>
        <v/>
      </c>
      <c r="O152" s="46" t="str">
        <f t="shared" si="110"/>
        <v/>
      </c>
      <c r="P152" s="46" t="str">
        <f t="shared" si="111"/>
        <v/>
      </c>
      <c r="Q152" s="46" t="str">
        <f t="shared" si="112"/>
        <v/>
      </c>
      <c r="R152" s="46" t="str">
        <f t="shared" si="113"/>
        <v/>
      </c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</row>
    <row r="153">
      <c r="A153" s="83"/>
      <c r="B153" s="28"/>
      <c r="C153" s="83"/>
      <c r="D153" s="37"/>
      <c r="E153" s="37"/>
      <c r="F153" s="84"/>
      <c r="G153" s="37"/>
      <c r="H153" s="59" t="str">
        <f t="shared" si="103"/>
        <v/>
      </c>
      <c r="I153" s="46" t="str">
        <f t="shared" si="104"/>
        <v/>
      </c>
      <c r="J153" s="46" t="str">
        <f t="shared" si="105"/>
        <v/>
      </c>
      <c r="K153" s="46" t="str">
        <f t="shared" si="106"/>
        <v/>
      </c>
      <c r="L153" s="46" t="str">
        <f t="shared" si="107"/>
        <v/>
      </c>
      <c r="M153" s="46" t="str">
        <f t="shared" si="108"/>
        <v/>
      </c>
      <c r="N153" s="46" t="str">
        <f t="shared" si="109"/>
        <v/>
      </c>
      <c r="O153" s="46" t="str">
        <f t="shared" si="110"/>
        <v/>
      </c>
      <c r="P153" s="46" t="str">
        <f t="shared" si="111"/>
        <v/>
      </c>
      <c r="Q153" s="46" t="str">
        <f t="shared" si="112"/>
        <v/>
      </c>
      <c r="R153" s="46" t="str">
        <f t="shared" si="113"/>
        <v/>
      </c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</row>
    <row r="154">
      <c r="A154" s="83"/>
      <c r="B154" s="28"/>
      <c r="C154" s="83"/>
      <c r="D154" s="37"/>
      <c r="E154" s="37"/>
      <c r="F154" s="84"/>
      <c r="G154" s="37"/>
      <c r="H154" s="59" t="str">
        <f t="shared" si="103"/>
        <v/>
      </c>
      <c r="I154" s="46" t="str">
        <f t="shared" si="104"/>
        <v/>
      </c>
      <c r="J154" s="46" t="str">
        <f t="shared" si="105"/>
        <v/>
      </c>
      <c r="K154" s="46" t="str">
        <f t="shared" si="106"/>
        <v/>
      </c>
      <c r="L154" s="46" t="str">
        <f t="shared" si="107"/>
        <v/>
      </c>
      <c r="M154" s="46" t="str">
        <f t="shared" si="108"/>
        <v/>
      </c>
      <c r="N154" s="46" t="str">
        <f t="shared" si="109"/>
        <v/>
      </c>
      <c r="O154" s="46" t="str">
        <f t="shared" si="110"/>
        <v/>
      </c>
      <c r="P154" s="46" t="str">
        <f t="shared" si="111"/>
        <v/>
      </c>
      <c r="Q154" s="46" t="str">
        <f t="shared" si="112"/>
        <v/>
      </c>
      <c r="R154" s="46" t="str">
        <f t="shared" si="113"/>
        <v/>
      </c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</row>
    <row r="155">
      <c r="A155" s="83"/>
      <c r="B155" s="28"/>
      <c r="C155" s="83"/>
      <c r="D155" s="37"/>
      <c r="E155" s="37"/>
      <c r="F155" s="84"/>
      <c r="G155" s="37"/>
      <c r="H155" s="59" t="str">
        <f t="shared" si="103"/>
        <v/>
      </c>
      <c r="I155" s="46" t="str">
        <f t="shared" si="104"/>
        <v/>
      </c>
      <c r="J155" s="46" t="str">
        <f t="shared" si="105"/>
        <v/>
      </c>
      <c r="K155" s="46" t="str">
        <f t="shared" si="106"/>
        <v/>
      </c>
      <c r="L155" s="46" t="str">
        <f t="shared" si="107"/>
        <v/>
      </c>
      <c r="M155" s="46" t="str">
        <f t="shared" si="108"/>
        <v/>
      </c>
      <c r="N155" s="46" t="str">
        <f t="shared" si="109"/>
        <v/>
      </c>
      <c r="O155" s="46" t="str">
        <f t="shared" si="110"/>
        <v/>
      </c>
      <c r="P155" s="46" t="str">
        <f t="shared" si="111"/>
        <v/>
      </c>
      <c r="Q155" s="46" t="str">
        <f t="shared" si="112"/>
        <v/>
      </c>
      <c r="R155" s="46" t="str">
        <f t="shared" si="113"/>
        <v/>
      </c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</row>
    <row r="156">
      <c r="A156" s="83"/>
      <c r="B156" s="28"/>
      <c r="C156" s="83"/>
      <c r="D156" s="37"/>
      <c r="E156" s="37"/>
      <c r="F156" s="84"/>
      <c r="G156" s="37"/>
      <c r="H156" s="59" t="str">
        <f t="shared" si="103"/>
        <v/>
      </c>
      <c r="I156" s="46" t="str">
        <f t="shared" si="104"/>
        <v/>
      </c>
      <c r="J156" s="46" t="str">
        <f t="shared" si="105"/>
        <v/>
      </c>
      <c r="K156" s="46" t="str">
        <f t="shared" si="106"/>
        <v/>
      </c>
      <c r="L156" s="46" t="str">
        <f t="shared" si="107"/>
        <v/>
      </c>
      <c r="M156" s="46" t="str">
        <f t="shared" si="108"/>
        <v/>
      </c>
      <c r="N156" s="46" t="str">
        <f t="shared" si="109"/>
        <v/>
      </c>
      <c r="O156" s="46" t="str">
        <f t="shared" si="110"/>
        <v/>
      </c>
      <c r="P156" s="46" t="str">
        <f t="shared" si="111"/>
        <v/>
      </c>
      <c r="Q156" s="46" t="str">
        <f t="shared" si="112"/>
        <v/>
      </c>
      <c r="R156" s="46" t="str">
        <f t="shared" si="113"/>
        <v/>
      </c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</row>
    <row r="157">
      <c r="A157" s="83"/>
      <c r="B157" s="28"/>
      <c r="C157" s="83"/>
      <c r="D157" s="37"/>
      <c r="E157" s="37"/>
      <c r="F157" s="84"/>
      <c r="G157" s="37"/>
      <c r="H157" s="59" t="str">
        <f t="shared" si="103"/>
        <v/>
      </c>
      <c r="I157" s="46" t="str">
        <f t="shared" si="104"/>
        <v/>
      </c>
      <c r="J157" s="46" t="str">
        <f t="shared" si="105"/>
        <v/>
      </c>
      <c r="K157" s="46" t="str">
        <f t="shared" si="106"/>
        <v/>
      </c>
      <c r="L157" s="46" t="str">
        <f t="shared" si="107"/>
        <v/>
      </c>
      <c r="M157" s="46" t="str">
        <f t="shared" si="108"/>
        <v/>
      </c>
      <c r="N157" s="46" t="str">
        <f t="shared" si="109"/>
        <v/>
      </c>
      <c r="O157" s="46" t="str">
        <f t="shared" si="110"/>
        <v/>
      </c>
      <c r="P157" s="46" t="str">
        <f t="shared" si="111"/>
        <v/>
      </c>
      <c r="Q157" s="46" t="str">
        <f t="shared" si="112"/>
        <v/>
      </c>
      <c r="R157" s="46" t="str">
        <f t="shared" si="113"/>
        <v/>
      </c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</row>
    <row r="158">
      <c r="A158" s="83"/>
      <c r="B158" s="28"/>
      <c r="C158" s="83"/>
      <c r="D158" s="37"/>
      <c r="E158" s="37"/>
      <c r="F158" s="84"/>
      <c r="G158" s="37"/>
      <c r="H158" s="59" t="str">
        <f t="shared" si="103"/>
        <v/>
      </c>
      <c r="I158" s="46" t="str">
        <f t="shared" si="104"/>
        <v/>
      </c>
      <c r="J158" s="46" t="str">
        <f t="shared" si="105"/>
        <v/>
      </c>
      <c r="K158" s="46" t="str">
        <f t="shared" si="106"/>
        <v/>
      </c>
      <c r="L158" s="46" t="str">
        <f t="shared" si="107"/>
        <v/>
      </c>
      <c r="M158" s="46" t="str">
        <f t="shared" si="108"/>
        <v/>
      </c>
      <c r="N158" s="46" t="str">
        <f t="shared" si="109"/>
        <v/>
      </c>
      <c r="O158" s="46" t="str">
        <f t="shared" si="110"/>
        <v/>
      </c>
      <c r="P158" s="46" t="str">
        <f t="shared" si="111"/>
        <v/>
      </c>
      <c r="Q158" s="46" t="str">
        <f t="shared" si="112"/>
        <v/>
      </c>
      <c r="R158" s="46" t="str">
        <f t="shared" si="113"/>
        <v/>
      </c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</row>
    <row r="159">
      <c r="A159" s="83"/>
      <c r="B159" s="28"/>
      <c r="C159" s="83"/>
      <c r="D159" s="37"/>
      <c r="E159" s="37"/>
      <c r="F159" s="84"/>
      <c r="G159" s="37"/>
      <c r="H159" s="59" t="str">
        <f t="shared" si="103"/>
        <v/>
      </c>
      <c r="I159" s="46" t="str">
        <f t="shared" si="104"/>
        <v/>
      </c>
      <c r="J159" s="46" t="str">
        <f t="shared" si="105"/>
        <v/>
      </c>
      <c r="K159" s="46" t="str">
        <f t="shared" si="106"/>
        <v/>
      </c>
      <c r="L159" s="46" t="str">
        <f t="shared" si="107"/>
        <v/>
      </c>
      <c r="M159" s="46" t="str">
        <f t="shared" si="108"/>
        <v/>
      </c>
      <c r="N159" s="46" t="str">
        <f t="shared" si="109"/>
        <v/>
      </c>
      <c r="O159" s="46" t="str">
        <f t="shared" si="110"/>
        <v/>
      </c>
      <c r="P159" s="46" t="str">
        <f t="shared" si="111"/>
        <v/>
      </c>
      <c r="Q159" s="46" t="str">
        <f t="shared" si="112"/>
        <v/>
      </c>
      <c r="R159" s="46" t="str">
        <f t="shared" si="113"/>
        <v/>
      </c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</row>
    <row r="160">
      <c r="A160" s="83"/>
      <c r="B160" s="28"/>
      <c r="C160" s="83"/>
      <c r="D160" s="37"/>
      <c r="E160" s="37"/>
      <c r="F160" s="84"/>
      <c r="G160" s="37"/>
      <c r="H160" s="59" t="str">
        <f t="shared" si="103"/>
        <v/>
      </c>
      <c r="I160" s="46" t="str">
        <f t="shared" si="104"/>
        <v/>
      </c>
      <c r="J160" s="46" t="str">
        <f t="shared" si="105"/>
        <v/>
      </c>
      <c r="K160" s="46" t="str">
        <f t="shared" si="106"/>
        <v/>
      </c>
      <c r="L160" s="46" t="str">
        <f t="shared" si="107"/>
        <v/>
      </c>
      <c r="M160" s="46" t="str">
        <f t="shared" si="108"/>
        <v/>
      </c>
      <c r="N160" s="46" t="str">
        <f t="shared" si="109"/>
        <v/>
      </c>
      <c r="O160" s="46" t="str">
        <f t="shared" si="110"/>
        <v/>
      </c>
      <c r="P160" s="46" t="str">
        <f t="shared" si="111"/>
        <v/>
      </c>
      <c r="Q160" s="46" t="str">
        <f t="shared" si="112"/>
        <v/>
      </c>
      <c r="R160" s="46" t="str">
        <f t="shared" si="113"/>
        <v/>
      </c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</row>
    <row r="161">
      <c r="A161" s="83"/>
      <c r="B161" s="28"/>
      <c r="C161" s="83"/>
      <c r="D161" s="37"/>
      <c r="E161" s="37"/>
      <c r="F161" s="84"/>
      <c r="G161" s="37"/>
      <c r="H161" s="59" t="str">
        <f t="shared" si="103"/>
        <v/>
      </c>
      <c r="I161" s="46" t="str">
        <f t="shared" si="104"/>
        <v/>
      </c>
      <c r="J161" s="46" t="str">
        <f t="shared" si="105"/>
        <v/>
      </c>
      <c r="K161" s="46" t="str">
        <f t="shared" si="106"/>
        <v/>
      </c>
      <c r="L161" s="46" t="str">
        <f t="shared" si="107"/>
        <v/>
      </c>
      <c r="M161" s="46" t="str">
        <f t="shared" si="108"/>
        <v/>
      </c>
      <c r="N161" s="46" t="str">
        <f t="shared" si="109"/>
        <v/>
      </c>
      <c r="O161" s="46" t="str">
        <f t="shared" si="110"/>
        <v/>
      </c>
      <c r="P161" s="46" t="str">
        <f t="shared" si="111"/>
        <v/>
      </c>
      <c r="Q161" s="46" t="str">
        <f t="shared" si="112"/>
        <v/>
      </c>
      <c r="R161" s="46" t="str">
        <f t="shared" si="113"/>
        <v/>
      </c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</row>
    <row r="162">
      <c r="A162" s="83"/>
      <c r="B162" s="28"/>
      <c r="C162" s="83"/>
      <c r="D162" s="37"/>
      <c r="E162" s="37"/>
      <c r="F162" s="84"/>
      <c r="G162" s="37"/>
      <c r="H162" s="59" t="str">
        <f t="shared" si="103"/>
        <v/>
      </c>
      <c r="I162" s="46" t="str">
        <f t="shared" si="104"/>
        <v/>
      </c>
      <c r="J162" s="46" t="str">
        <f t="shared" si="105"/>
        <v/>
      </c>
      <c r="K162" s="46" t="str">
        <f t="shared" si="106"/>
        <v/>
      </c>
      <c r="L162" s="46" t="str">
        <f t="shared" si="107"/>
        <v/>
      </c>
      <c r="M162" s="46" t="str">
        <f t="shared" si="108"/>
        <v/>
      </c>
      <c r="N162" s="46" t="str">
        <f t="shared" si="109"/>
        <v/>
      </c>
      <c r="O162" s="46" t="str">
        <f t="shared" si="110"/>
        <v/>
      </c>
      <c r="P162" s="46" t="str">
        <f t="shared" si="111"/>
        <v/>
      </c>
      <c r="Q162" s="46" t="str">
        <f t="shared" si="112"/>
        <v/>
      </c>
      <c r="R162" s="46" t="str">
        <f t="shared" si="113"/>
        <v/>
      </c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</row>
    <row r="163">
      <c r="A163" s="83"/>
      <c r="B163" s="28"/>
      <c r="C163" s="83"/>
      <c r="D163" s="37"/>
      <c r="E163" s="37"/>
      <c r="F163" s="84"/>
      <c r="G163" s="37"/>
      <c r="H163" s="59" t="str">
        <f t="shared" si="103"/>
        <v/>
      </c>
      <c r="I163" s="46" t="str">
        <f t="shared" si="104"/>
        <v/>
      </c>
      <c r="J163" s="46" t="str">
        <f t="shared" si="105"/>
        <v/>
      </c>
      <c r="K163" s="46" t="str">
        <f t="shared" si="106"/>
        <v/>
      </c>
      <c r="L163" s="46" t="str">
        <f t="shared" si="107"/>
        <v/>
      </c>
      <c r="M163" s="46" t="str">
        <f t="shared" si="108"/>
        <v/>
      </c>
      <c r="N163" s="46" t="str">
        <f t="shared" si="109"/>
        <v/>
      </c>
      <c r="O163" s="46" t="str">
        <f t="shared" si="110"/>
        <v/>
      </c>
      <c r="P163" s="46" t="str">
        <f t="shared" si="111"/>
        <v/>
      </c>
      <c r="Q163" s="46" t="str">
        <f t="shared" si="112"/>
        <v/>
      </c>
      <c r="R163" s="46" t="str">
        <f t="shared" si="113"/>
        <v/>
      </c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</row>
    <row r="164">
      <c r="A164" s="83"/>
      <c r="B164" s="28"/>
      <c r="C164" s="83"/>
      <c r="D164" s="37"/>
      <c r="E164" s="37"/>
      <c r="F164" s="84"/>
      <c r="G164" s="37"/>
      <c r="H164" s="59" t="str">
        <f t="shared" si="103"/>
        <v/>
      </c>
      <c r="I164" s="46" t="str">
        <f t="shared" si="104"/>
        <v/>
      </c>
      <c r="J164" s="46" t="str">
        <f t="shared" si="105"/>
        <v/>
      </c>
      <c r="K164" s="46" t="str">
        <f t="shared" si="106"/>
        <v/>
      </c>
      <c r="L164" s="46" t="str">
        <f t="shared" si="107"/>
        <v/>
      </c>
      <c r="M164" s="46" t="str">
        <f t="shared" si="108"/>
        <v/>
      </c>
      <c r="N164" s="46" t="str">
        <f t="shared" si="109"/>
        <v/>
      </c>
      <c r="O164" s="46" t="str">
        <f t="shared" si="110"/>
        <v/>
      </c>
      <c r="P164" s="46" t="str">
        <f t="shared" si="111"/>
        <v/>
      </c>
      <c r="Q164" s="46" t="str">
        <f t="shared" si="112"/>
        <v/>
      </c>
      <c r="R164" s="46" t="str">
        <f t="shared" si="113"/>
        <v/>
      </c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</row>
    <row r="165">
      <c r="A165" s="83"/>
      <c r="B165" s="28"/>
      <c r="C165" s="83"/>
      <c r="D165" s="37"/>
      <c r="E165" s="37"/>
      <c r="F165" s="84"/>
      <c r="G165" s="37"/>
      <c r="H165" s="59" t="str">
        <f t="shared" si="103"/>
        <v/>
      </c>
      <c r="I165" s="46" t="str">
        <f t="shared" si="104"/>
        <v/>
      </c>
      <c r="J165" s="46" t="str">
        <f t="shared" si="105"/>
        <v/>
      </c>
      <c r="K165" s="46" t="str">
        <f t="shared" si="106"/>
        <v/>
      </c>
      <c r="L165" s="46" t="str">
        <f t="shared" si="107"/>
        <v/>
      </c>
      <c r="M165" s="46" t="str">
        <f t="shared" si="108"/>
        <v/>
      </c>
      <c r="N165" s="46" t="str">
        <f t="shared" si="109"/>
        <v/>
      </c>
      <c r="O165" s="46" t="str">
        <f t="shared" si="110"/>
        <v/>
      </c>
      <c r="P165" s="46" t="str">
        <f t="shared" si="111"/>
        <v/>
      </c>
      <c r="Q165" s="46" t="str">
        <f t="shared" si="112"/>
        <v/>
      </c>
      <c r="R165" s="46" t="str">
        <f t="shared" si="113"/>
        <v/>
      </c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</row>
    <row r="166">
      <c r="A166" s="83"/>
      <c r="B166" s="28"/>
      <c r="C166" s="83"/>
      <c r="D166" s="37"/>
      <c r="E166" s="37"/>
      <c r="F166" s="84"/>
      <c r="G166" s="37"/>
      <c r="H166" s="59" t="str">
        <f t="shared" si="103"/>
        <v/>
      </c>
      <c r="I166" s="46" t="str">
        <f t="shared" si="104"/>
        <v/>
      </c>
      <c r="J166" s="46" t="str">
        <f t="shared" si="105"/>
        <v/>
      </c>
      <c r="K166" s="46" t="str">
        <f t="shared" si="106"/>
        <v/>
      </c>
      <c r="L166" s="46" t="str">
        <f t="shared" si="107"/>
        <v/>
      </c>
      <c r="M166" s="46" t="str">
        <f t="shared" si="108"/>
        <v/>
      </c>
      <c r="N166" s="46" t="str">
        <f t="shared" si="109"/>
        <v/>
      </c>
      <c r="O166" s="46" t="str">
        <f t="shared" si="110"/>
        <v/>
      </c>
      <c r="P166" s="46" t="str">
        <f t="shared" si="111"/>
        <v/>
      </c>
      <c r="Q166" s="46" t="str">
        <f t="shared" si="112"/>
        <v/>
      </c>
      <c r="R166" s="46" t="str">
        <f t="shared" si="113"/>
        <v/>
      </c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</row>
    <row r="167">
      <c r="A167" s="83"/>
      <c r="B167" s="28"/>
      <c r="C167" s="83"/>
      <c r="D167" s="37"/>
      <c r="E167" s="37"/>
      <c r="F167" s="84"/>
      <c r="G167" s="37"/>
      <c r="H167" s="59" t="str">
        <f t="shared" si="103"/>
        <v/>
      </c>
      <c r="I167" s="46" t="str">
        <f t="shared" si="104"/>
        <v/>
      </c>
      <c r="J167" s="46" t="str">
        <f t="shared" si="105"/>
        <v/>
      </c>
      <c r="K167" s="46" t="str">
        <f t="shared" si="106"/>
        <v/>
      </c>
      <c r="L167" s="46" t="str">
        <f t="shared" si="107"/>
        <v/>
      </c>
      <c r="M167" s="46" t="str">
        <f t="shared" si="108"/>
        <v/>
      </c>
      <c r="N167" s="46" t="str">
        <f t="shared" si="109"/>
        <v/>
      </c>
      <c r="O167" s="46" t="str">
        <f t="shared" si="110"/>
        <v/>
      </c>
      <c r="P167" s="46" t="str">
        <f t="shared" si="111"/>
        <v/>
      </c>
      <c r="Q167" s="46" t="str">
        <f t="shared" si="112"/>
        <v/>
      </c>
      <c r="R167" s="46" t="str">
        <f t="shared" si="113"/>
        <v/>
      </c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</row>
    <row r="168">
      <c r="A168" s="83"/>
      <c r="B168" s="28"/>
      <c r="C168" s="83"/>
      <c r="D168" s="37"/>
      <c r="E168" s="37"/>
      <c r="F168" s="84"/>
      <c r="G168" s="37"/>
      <c r="H168" s="59" t="str">
        <f t="shared" si="103"/>
        <v/>
      </c>
      <c r="I168" s="46" t="str">
        <f t="shared" si="104"/>
        <v/>
      </c>
      <c r="J168" s="46" t="str">
        <f t="shared" si="105"/>
        <v/>
      </c>
      <c r="K168" s="46" t="str">
        <f t="shared" si="106"/>
        <v/>
      </c>
      <c r="L168" s="46" t="str">
        <f t="shared" si="107"/>
        <v/>
      </c>
      <c r="M168" s="46" t="str">
        <f t="shared" si="108"/>
        <v/>
      </c>
      <c r="N168" s="46" t="str">
        <f t="shared" si="109"/>
        <v/>
      </c>
      <c r="O168" s="46" t="str">
        <f t="shared" si="110"/>
        <v/>
      </c>
      <c r="P168" s="46" t="str">
        <f t="shared" si="111"/>
        <v/>
      </c>
      <c r="Q168" s="46" t="str">
        <f t="shared" si="112"/>
        <v/>
      </c>
      <c r="R168" s="46" t="str">
        <f t="shared" si="113"/>
        <v/>
      </c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</row>
    <row r="169">
      <c r="A169" s="83"/>
      <c r="B169" s="28"/>
      <c r="C169" s="83"/>
      <c r="D169" s="37"/>
      <c r="E169" s="37"/>
      <c r="F169" s="84"/>
      <c r="G169" s="37"/>
      <c r="H169" s="59" t="str">
        <f t="shared" si="103"/>
        <v/>
      </c>
      <c r="I169" s="46" t="str">
        <f t="shared" si="104"/>
        <v/>
      </c>
      <c r="J169" s="46" t="str">
        <f t="shared" si="105"/>
        <v/>
      </c>
      <c r="K169" s="46" t="str">
        <f t="shared" si="106"/>
        <v/>
      </c>
      <c r="L169" s="46" t="str">
        <f t="shared" si="107"/>
        <v/>
      </c>
      <c r="M169" s="46" t="str">
        <f t="shared" si="108"/>
        <v/>
      </c>
      <c r="N169" s="46" t="str">
        <f t="shared" si="109"/>
        <v/>
      </c>
      <c r="O169" s="46" t="str">
        <f t="shared" si="110"/>
        <v/>
      </c>
      <c r="P169" s="46" t="str">
        <f t="shared" si="111"/>
        <v/>
      </c>
      <c r="Q169" s="46" t="str">
        <f t="shared" si="112"/>
        <v/>
      </c>
      <c r="R169" s="46" t="str">
        <f t="shared" si="113"/>
        <v/>
      </c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</row>
    <row r="170">
      <c r="A170" s="83"/>
      <c r="B170" s="28"/>
      <c r="C170" s="83"/>
      <c r="D170" s="37"/>
      <c r="E170" s="37"/>
      <c r="F170" s="84"/>
      <c r="G170" s="37"/>
      <c r="H170" s="59" t="str">
        <f t="shared" si="103"/>
        <v/>
      </c>
      <c r="I170" s="46" t="str">
        <f t="shared" si="104"/>
        <v/>
      </c>
      <c r="J170" s="46" t="str">
        <f t="shared" si="105"/>
        <v/>
      </c>
      <c r="K170" s="46" t="str">
        <f t="shared" si="106"/>
        <v/>
      </c>
      <c r="L170" s="46" t="str">
        <f t="shared" si="107"/>
        <v/>
      </c>
      <c r="M170" s="46" t="str">
        <f t="shared" si="108"/>
        <v/>
      </c>
      <c r="N170" s="46" t="str">
        <f t="shared" si="109"/>
        <v/>
      </c>
      <c r="O170" s="46" t="str">
        <f t="shared" si="110"/>
        <v/>
      </c>
      <c r="P170" s="46" t="str">
        <f t="shared" si="111"/>
        <v/>
      </c>
      <c r="Q170" s="46" t="str">
        <f t="shared" si="112"/>
        <v/>
      </c>
      <c r="R170" s="46" t="str">
        <f t="shared" si="113"/>
        <v/>
      </c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</row>
    <row r="171">
      <c r="A171" s="83"/>
      <c r="B171" s="28"/>
      <c r="C171" s="83"/>
      <c r="D171" s="37"/>
      <c r="E171" s="37"/>
      <c r="F171" s="84"/>
      <c r="G171" s="37"/>
      <c r="H171" s="59" t="str">
        <f t="shared" si="103"/>
        <v/>
      </c>
      <c r="I171" s="46" t="str">
        <f t="shared" si="104"/>
        <v/>
      </c>
      <c r="J171" s="46" t="str">
        <f t="shared" si="105"/>
        <v/>
      </c>
      <c r="K171" s="46" t="str">
        <f t="shared" si="106"/>
        <v/>
      </c>
      <c r="L171" s="46" t="str">
        <f t="shared" si="107"/>
        <v/>
      </c>
      <c r="M171" s="46" t="str">
        <f t="shared" si="108"/>
        <v/>
      </c>
      <c r="N171" s="46" t="str">
        <f t="shared" si="109"/>
        <v/>
      </c>
      <c r="O171" s="46" t="str">
        <f t="shared" si="110"/>
        <v/>
      </c>
      <c r="P171" s="46" t="str">
        <f t="shared" si="111"/>
        <v/>
      </c>
      <c r="Q171" s="46" t="str">
        <f t="shared" si="112"/>
        <v/>
      </c>
      <c r="R171" s="46" t="str">
        <f t="shared" si="113"/>
        <v/>
      </c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</row>
    <row r="172">
      <c r="A172" s="83"/>
      <c r="B172" s="28"/>
      <c r="C172" s="83"/>
      <c r="D172" s="37"/>
      <c r="E172" s="37"/>
      <c r="F172" s="84"/>
      <c r="G172" s="37"/>
      <c r="H172" s="59" t="str">
        <f t="shared" si="103"/>
        <v/>
      </c>
      <c r="I172" s="46" t="str">
        <f t="shared" si="104"/>
        <v/>
      </c>
      <c r="J172" s="46" t="str">
        <f t="shared" si="105"/>
        <v/>
      </c>
      <c r="K172" s="46" t="str">
        <f t="shared" si="106"/>
        <v/>
      </c>
      <c r="L172" s="46" t="str">
        <f t="shared" si="107"/>
        <v/>
      </c>
      <c r="M172" s="46" t="str">
        <f t="shared" si="108"/>
        <v/>
      </c>
      <c r="N172" s="46" t="str">
        <f t="shared" si="109"/>
        <v/>
      </c>
      <c r="O172" s="46" t="str">
        <f t="shared" si="110"/>
        <v/>
      </c>
      <c r="P172" s="46" t="str">
        <f t="shared" si="111"/>
        <v/>
      </c>
      <c r="Q172" s="46" t="str">
        <f t="shared" si="112"/>
        <v/>
      </c>
      <c r="R172" s="46" t="str">
        <f t="shared" si="113"/>
        <v/>
      </c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</row>
    <row r="173">
      <c r="A173" s="83"/>
      <c r="B173" s="28"/>
      <c r="C173" s="83"/>
      <c r="D173" s="37"/>
      <c r="E173" s="37"/>
      <c r="F173" s="84"/>
      <c r="G173" s="37"/>
      <c r="H173" s="59" t="str">
        <f t="shared" si="103"/>
        <v/>
      </c>
      <c r="I173" s="46" t="str">
        <f t="shared" si="104"/>
        <v/>
      </c>
      <c r="J173" s="46" t="str">
        <f t="shared" si="105"/>
        <v/>
      </c>
      <c r="K173" s="46" t="str">
        <f t="shared" si="106"/>
        <v/>
      </c>
      <c r="L173" s="46" t="str">
        <f t="shared" si="107"/>
        <v/>
      </c>
      <c r="M173" s="46" t="str">
        <f t="shared" si="108"/>
        <v/>
      </c>
      <c r="N173" s="46" t="str">
        <f t="shared" si="109"/>
        <v/>
      </c>
      <c r="O173" s="46" t="str">
        <f t="shared" si="110"/>
        <v/>
      </c>
      <c r="P173" s="46" t="str">
        <f t="shared" si="111"/>
        <v/>
      </c>
      <c r="Q173" s="46" t="str">
        <f t="shared" si="112"/>
        <v/>
      </c>
      <c r="R173" s="46" t="str">
        <f t="shared" si="113"/>
        <v/>
      </c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</row>
    <row r="174">
      <c r="A174" s="83"/>
      <c r="B174" s="28"/>
      <c r="C174" s="83"/>
      <c r="D174" s="37"/>
      <c r="E174" s="37"/>
      <c r="F174" s="84"/>
      <c r="G174" s="37"/>
      <c r="H174" s="59" t="str">
        <f t="shared" si="103"/>
        <v/>
      </c>
      <c r="I174" s="46" t="str">
        <f t="shared" si="104"/>
        <v/>
      </c>
      <c r="J174" s="46" t="str">
        <f t="shared" si="105"/>
        <v/>
      </c>
      <c r="K174" s="46" t="str">
        <f t="shared" si="106"/>
        <v/>
      </c>
      <c r="L174" s="46" t="str">
        <f t="shared" si="107"/>
        <v/>
      </c>
      <c r="M174" s="46" t="str">
        <f t="shared" si="108"/>
        <v/>
      </c>
      <c r="N174" s="46" t="str">
        <f t="shared" si="109"/>
        <v/>
      </c>
      <c r="O174" s="46" t="str">
        <f t="shared" si="110"/>
        <v/>
      </c>
      <c r="P174" s="46" t="str">
        <f t="shared" si="111"/>
        <v/>
      </c>
      <c r="Q174" s="46" t="str">
        <f t="shared" si="112"/>
        <v/>
      </c>
      <c r="R174" s="46" t="str">
        <f t="shared" si="113"/>
        <v/>
      </c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</row>
    <row r="175">
      <c r="A175" s="83"/>
      <c r="B175" s="28"/>
      <c r="C175" s="83"/>
      <c r="D175" s="37"/>
      <c r="E175" s="37"/>
      <c r="F175" s="84"/>
      <c r="G175" s="37"/>
      <c r="H175" s="59" t="str">
        <f t="shared" si="103"/>
        <v/>
      </c>
      <c r="I175" s="46" t="str">
        <f t="shared" si="104"/>
        <v/>
      </c>
      <c r="J175" s="46" t="str">
        <f t="shared" si="105"/>
        <v/>
      </c>
      <c r="K175" s="46" t="str">
        <f t="shared" si="106"/>
        <v/>
      </c>
      <c r="L175" s="46" t="str">
        <f t="shared" si="107"/>
        <v/>
      </c>
      <c r="M175" s="46" t="str">
        <f t="shared" si="108"/>
        <v/>
      </c>
      <c r="N175" s="46" t="str">
        <f t="shared" si="109"/>
        <v/>
      </c>
      <c r="O175" s="46" t="str">
        <f t="shared" si="110"/>
        <v/>
      </c>
      <c r="P175" s="46" t="str">
        <f t="shared" si="111"/>
        <v/>
      </c>
      <c r="Q175" s="46" t="str">
        <f t="shared" si="112"/>
        <v/>
      </c>
      <c r="R175" s="46" t="str">
        <f t="shared" si="113"/>
        <v/>
      </c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</row>
    <row r="176">
      <c r="A176" s="83"/>
      <c r="B176" s="28"/>
      <c r="C176" s="83"/>
      <c r="D176" s="37"/>
      <c r="E176" s="37"/>
      <c r="F176" s="84"/>
      <c r="G176" s="37"/>
      <c r="H176" s="59" t="str">
        <f t="shared" si="103"/>
        <v/>
      </c>
      <c r="I176" s="46" t="str">
        <f t="shared" si="104"/>
        <v/>
      </c>
      <c r="J176" s="46" t="str">
        <f t="shared" si="105"/>
        <v/>
      </c>
      <c r="K176" s="46" t="str">
        <f t="shared" si="106"/>
        <v/>
      </c>
      <c r="L176" s="46" t="str">
        <f t="shared" si="107"/>
        <v/>
      </c>
      <c r="M176" s="46" t="str">
        <f t="shared" si="108"/>
        <v/>
      </c>
      <c r="N176" s="46" t="str">
        <f t="shared" si="109"/>
        <v/>
      </c>
      <c r="O176" s="46" t="str">
        <f t="shared" si="110"/>
        <v/>
      </c>
      <c r="P176" s="46" t="str">
        <f t="shared" si="111"/>
        <v/>
      </c>
      <c r="Q176" s="46" t="str">
        <f t="shared" si="112"/>
        <v/>
      </c>
      <c r="R176" s="46" t="str">
        <f t="shared" si="113"/>
        <v/>
      </c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</row>
    <row r="177">
      <c r="A177" s="83"/>
      <c r="B177" s="28"/>
      <c r="C177" s="83"/>
      <c r="D177" s="37"/>
      <c r="E177" s="37"/>
      <c r="F177" s="84"/>
      <c r="G177" s="37"/>
      <c r="H177" s="59" t="str">
        <f t="shared" si="103"/>
        <v/>
      </c>
      <c r="I177" s="46" t="str">
        <f t="shared" si="104"/>
        <v/>
      </c>
      <c r="J177" s="46" t="str">
        <f t="shared" si="105"/>
        <v/>
      </c>
      <c r="K177" s="46" t="str">
        <f t="shared" si="106"/>
        <v/>
      </c>
      <c r="L177" s="46" t="str">
        <f t="shared" si="107"/>
        <v/>
      </c>
      <c r="M177" s="46" t="str">
        <f t="shared" si="108"/>
        <v/>
      </c>
      <c r="N177" s="46" t="str">
        <f t="shared" si="109"/>
        <v/>
      </c>
      <c r="O177" s="46" t="str">
        <f t="shared" si="110"/>
        <v/>
      </c>
      <c r="P177" s="46" t="str">
        <f t="shared" si="111"/>
        <v/>
      </c>
      <c r="Q177" s="46" t="str">
        <f t="shared" si="112"/>
        <v/>
      </c>
      <c r="R177" s="46" t="str">
        <f t="shared" si="113"/>
        <v/>
      </c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</row>
    <row r="178">
      <c r="A178" s="83"/>
      <c r="B178" s="28"/>
      <c r="C178" s="83"/>
      <c r="D178" s="37"/>
      <c r="E178" s="37"/>
      <c r="F178" s="84"/>
      <c r="G178" s="37"/>
      <c r="H178" s="59" t="str">
        <f t="shared" si="103"/>
        <v/>
      </c>
      <c r="I178" s="46" t="str">
        <f t="shared" si="104"/>
        <v/>
      </c>
      <c r="J178" s="46" t="str">
        <f t="shared" si="105"/>
        <v/>
      </c>
      <c r="K178" s="46" t="str">
        <f t="shared" si="106"/>
        <v/>
      </c>
      <c r="L178" s="46" t="str">
        <f t="shared" si="107"/>
        <v/>
      </c>
      <c r="M178" s="46" t="str">
        <f t="shared" si="108"/>
        <v/>
      </c>
      <c r="N178" s="46" t="str">
        <f t="shared" si="109"/>
        <v/>
      </c>
      <c r="O178" s="46" t="str">
        <f t="shared" si="110"/>
        <v/>
      </c>
      <c r="P178" s="46" t="str">
        <f t="shared" si="111"/>
        <v/>
      </c>
      <c r="Q178" s="46" t="str">
        <f t="shared" si="112"/>
        <v/>
      </c>
      <c r="R178" s="46" t="str">
        <f t="shared" si="113"/>
        <v/>
      </c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</row>
    <row r="179">
      <c r="A179" s="83"/>
      <c r="B179" s="28"/>
      <c r="C179" s="83"/>
      <c r="D179" s="37"/>
      <c r="E179" s="37"/>
      <c r="F179" s="84"/>
      <c r="G179" s="37"/>
      <c r="H179" s="59" t="str">
        <f t="shared" si="103"/>
        <v/>
      </c>
      <c r="I179" s="46" t="str">
        <f t="shared" si="104"/>
        <v/>
      </c>
      <c r="J179" s="46" t="str">
        <f t="shared" si="105"/>
        <v/>
      </c>
      <c r="K179" s="46" t="str">
        <f t="shared" si="106"/>
        <v/>
      </c>
      <c r="L179" s="46" t="str">
        <f t="shared" si="107"/>
        <v/>
      </c>
      <c r="M179" s="46" t="str">
        <f t="shared" si="108"/>
        <v/>
      </c>
      <c r="N179" s="46" t="str">
        <f t="shared" si="109"/>
        <v/>
      </c>
      <c r="O179" s="46" t="str">
        <f t="shared" si="110"/>
        <v/>
      </c>
      <c r="P179" s="46" t="str">
        <f t="shared" si="111"/>
        <v/>
      </c>
      <c r="Q179" s="46" t="str">
        <f t="shared" si="112"/>
        <v/>
      </c>
      <c r="R179" s="46" t="str">
        <f t="shared" si="113"/>
        <v/>
      </c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</row>
    <row r="180">
      <c r="A180" s="83"/>
      <c r="B180" s="28"/>
      <c r="C180" s="83"/>
      <c r="D180" s="37"/>
      <c r="E180" s="37"/>
      <c r="F180" s="84"/>
      <c r="G180" s="37"/>
      <c r="H180" s="59" t="str">
        <f t="shared" si="103"/>
        <v/>
      </c>
      <c r="I180" s="46" t="str">
        <f t="shared" si="104"/>
        <v/>
      </c>
      <c r="J180" s="46" t="str">
        <f t="shared" si="105"/>
        <v/>
      </c>
      <c r="K180" s="46" t="str">
        <f t="shared" si="106"/>
        <v/>
      </c>
      <c r="L180" s="46" t="str">
        <f t="shared" si="107"/>
        <v/>
      </c>
      <c r="M180" s="46" t="str">
        <f t="shared" si="108"/>
        <v/>
      </c>
      <c r="N180" s="46" t="str">
        <f t="shared" si="109"/>
        <v/>
      </c>
      <c r="O180" s="46" t="str">
        <f t="shared" si="110"/>
        <v/>
      </c>
      <c r="P180" s="46" t="str">
        <f t="shared" si="111"/>
        <v/>
      </c>
      <c r="Q180" s="46" t="str">
        <f t="shared" si="112"/>
        <v/>
      </c>
      <c r="R180" s="46" t="str">
        <f t="shared" si="113"/>
        <v/>
      </c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</row>
    <row r="181">
      <c r="A181" s="83"/>
      <c r="B181" s="28"/>
      <c r="C181" s="83"/>
      <c r="D181" s="37"/>
      <c r="E181" s="37"/>
      <c r="F181" s="84"/>
      <c r="G181" s="37"/>
      <c r="H181" s="59" t="str">
        <f t="shared" si="103"/>
        <v/>
      </c>
      <c r="I181" s="46" t="str">
        <f t="shared" si="104"/>
        <v/>
      </c>
      <c r="J181" s="46" t="str">
        <f t="shared" si="105"/>
        <v/>
      </c>
      <c r="K181" s="46" t="str">
        <f t="shared" si="106"/>
        <v/>
      </c>
      <c r="L181" s="46" t="str">
        <f t="shared" si="107"/>
        <v/>
      </c>
      <c r="M181" s="46" t="str">
        <f t="shared" si="108"/>
        <v/>
      </c>
      <c r="N181" s="46" t="str">
        <f t="shared" si="109"/>
        <v/>
      </c>
      <c r="O181" s="46" t="str">
        <f t="shared" si="110"/>
        <v/>
      </c>
      <c r="P181" s="46" t="str">
        <f t="shared" si="111"/>
        <v/>
      </c>
      <c r="Q181" s="46" t="str">
        <f t="shared" si="112"/>
        <v/>
      </c>
      <c r="R181" s="46" t="str">
        <f t="shared" si="113"/>
        <v/>
      </c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</row>
    <row r="182">
      <c r="A182" s="83"/>
      <c r="B182" s="28"/>
      <c r="C182" s="83"/>
      <c r="D182" s="37"/>
      <c r="E182" s="37"/>
      <c r="F182" s="84"/>
      <c r="G182" s="37"/>
      <c r="H182" s="59" t="str">
        <f t="shared" si="103"/>
        <v/>
      </c>
      <c r="I182" s="46" t="str">
        <f t="shared" si="104"/>
        <v/>
      </c>
      <c r="J182" s="46" t="str">
        <f t="shared" si="105"/>
        <v/>
      </c>
      <c r="K182" s="46" t="str">
        <f t="shared" si="106"/>
        <v/>
      </c>
      <c r="L182" s="46" t="str">
        <f t="shared" si="107"/>
        <v/>
      </c>
      <c r="M182" s="46" t="str">
        <f t="shared" si="108"/>
        <v/>
      </c>
      <c r="N182" s="46" t="str">
        <f t="shared" si="109"/>
        <v/>
      </c>
      <c r="O182" s="46" t="str">
        <f t="shared" si="110"/>
        <v/>
      </c>
      <c r="P182" s="46" t="str">
        <f t="shared" si="111"/>
        <v/>
      </c>
      <c r="Q182" s="46" t="str">
        <f t="shared" si="112"/>
        <v/>
      </c>
      <c r="R182" s="46" t="str">
        <f t="shared" si="113"/>
        <v/>
      </c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</row>
    <row r="183">
      <c r="A183" s="83"/>
      <c r="B183" s="28"/>
      <c r="C183" s="83"/>
      <c r="D183" s="37"/>
      <c r="E183" s="37"/>
      <c r="F183" s="84"/>
      <c r="G183" s="37"/>
      <c r="H183" s="59" t="str">
        <f t="shared" si="103"/>
        <v/>
      </c>
      <c r="I183" s="46" t="str">
        <f t="shared" si="104"/>
        <v/>
      </c>
      <c r="J183" s="46" t="str">
        <f t="shared" si="105"/>
        <v/>
      </c>
      <c r="K183" s="46" t="str">
        <f t="shared" si="106"/>
        <v/>
      </c>
      <c r="L183" s="46" t="str">
        <f t="shared" si="107"/>
        <v/>
      </c>
      <c r="M183" s="46" t="str">
        <f t="shared" si="108"/>
        <v/>
      </c>
      <c r="N183" s="46" t="str">
        <f t="shared" si="109"/>
        <v/>
      </c>
      <c r="O183" s="46" t="str">
        <f t="shared" si="110"/>
        <v/>
      </c>
      <c r="P183" s="46" t="str">
        <f t="shared" si="111"/>
        <v/>
      </c>
      <c r="Q183" s="46" t="str">
        <f t="shared" si="112"/>
        <v/>
      </c>
      <c r="R183" s="46" t="str">
        <f t="shared" si="113"/>
        <v/>
      </c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</row>
    <row r="184">
      <c r="A184" s="83"/>
      <c r="B184" s="28"/>
      <c r="C184" s="83"/>
      <c r="D184" s="37"/>
      <c r="E184" s="37"/>
      <c r="F184" s="84"/>
      <c r="G184" s="37"/>
      <c r="H184" s="59" t="str">
        <f t="shared" si="103"/>
        <v/>
      </c>
      <c r="I184" s="46" t="str">
        <f t="shared" si="104"/>
        <v/>
      </c>
      <c r="J184" s="46" t="str">
        <f t="shared" si="105"/>
        <v/>
      </c>
      <c r="K184" s="46" t="str">
        <f t="shared" si="106"/>
        <v/>
      </c>
      <c r="L184" s="46" t="str">
        <f t="shared" si="107"/>
        <v/>
      </c>
      <c r="M184" s="46" t="str">
        <f t="shared" si="108"/>
        <v/>
      </c>
      <c r="N184" s="46" t="str">
        <f t="shared" si="109"/>
        <v/>
      </c>
      <c r="O184" s="46" t="str">
        <f t="shared" si="110"/>
        <v/>
      </c>
      <c r="P184" s="46" t="str">
        <f t="shared" si="111"/>
        <v/>
      </c>
      <c r="Q184" s="46" t="str">
        <f t="shared" si="112"/>
        <v/>
      </c>
      <c r="R184" s="46" t="str">
        <f t="shared" si="113"/>
        <v/>
      </c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</row>
    <row r="185">
      <c r="A185" s="83"/>
      <c r="B185" s="28"/>
      <c r="C185" s="83"/>
      <c r="D185" s="37"/>
      <c r="E185" s="37"/>
      <c r="F185" s="84"/>
      <c r="G185" s="37"/>
      <c r="H185" s="59" t="str">
        <f t="shared" si="103"/>
        <v/>
      </c>
      <c r="I185" s="46" t="str">
        <f t="shared" si="104"/>
        <v/>
      </c>
      <c r="J185" s="46" t="str">
        <f t="shared" si="105"/>
        <v/>
      </c>
      <c r="K185" s="46" t="str">
        <f t="shared" si="106"/>
        <v/>
      </c>
      <c r="L185" s="46" t="str">
        <f t="shared" si="107"/>
        <v/>
      </c>
      <c r="M185" s="46" t="str">
        <f t="shared" si="108"/>
        <v/>
      </c>
      <c r="N185" s="46" t="str">
        <f t="shared" si="109"/>
        <v/>
      </c>
      <c r="O185" s="46" t="str">
        <f t="shared" si="110"/>
        <v/>
      </c>
      <c r="P185" s="46" t="str">
        <f t="shared" si="111"/>
        <v/>
      </c>
      <c r="Q185" s="46" t="str">
        <f t="shared" si="112"/>
        <v/>
      </c>
      <c r="R185" s="46" t="str">
        <f t="shared" si="113"/>
        <v/>
      </c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</row>
    <row r="186">
      <c r="A186" s="83"/>
      <c r="B186" s="28"/>
      <c r="C186" s="83"/>
      <c r="D186" s="37"/>
      <c r="E186" s="37"/>
      <c r="F186" s="84"/>
      <c r="G186" s="37"/>
      <c r="H186" s="59" t="str">
        <f t="shared" si="103"/>
        <v/>
      </c>
      <c r="I186" s="46" t="str">
        <f t="shared" si="104"/>
        <v/>
      </c>
      <c r="J186" s="46" t="str">
        <f t="shared" si="105"/>
        <v/>
      </c>
      <c r="K186" s="46" t="str">
        <f t="shared" si="106"/>
        <v/>
      </c>
      <c r="L186" s="46" t="str">
        <f t="shared" si="107"/>
        <v/>
      </c>
      <c r="M186" s="46" t="str">
        <f t="shared" si="108"/>
        <v/>
      </c>
      <c r="N186" s="46" t="str">
        <f t="shared" si="109"/>
        <v/>
      </c>
      <c r="O186" s="46" t="str">
        <f t="shared" si="110"/>
        <v/>
      </c>
      <c r="P186" s="46" t="str">
        <f t="shared" si="111"/>
        <v/>
      </c>
      <c r="Q186" s="46" t="str">
        <f t="shared" si="112"/>
        <v/>
      </c>
      <c r="R186" s="46" t="str">
        <f t="shared" si="113"/>
        <v/>
      </c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</row>
    <row r="187">
      <c r="A187" s="83"/>
      <c r="B187" s="28"/>
      <c r="C187" s="83"/>
      <c r="D187" s="37"/>
      <c r="E187" s="37"/>
      <c r="F187" s="84"/>
      <c r="G187" s="37"/>
      <c r="H187" s="59" t="str">
        <f t="shared" si="103"/>
        <v/>
      </c>
      <c r="I187" s="46" t="str">
        <f t="shared" si="104"/>
        <v/>
      </c>
      <c r="J187" s="46" t="str">
        <f t="shared" si="105"/>
        <v/>
      </c>
      <c r="K187" s="46" t="str">
        <f t="shared" si="106"/>
        <v/>
      </c>
      <c r="L187" s="46" t="str">
        <f t="shared" si="107"/>
        <v/>
      </c>
      <c r="M187" s="46" t="str">
        <f t="shared" si="108"/>
        <v/>
      </c>
      <c r="N187" s="46" t="str">
        <f t="shared" si="109"/>
        <v/>
      </c>
      <c r="O187" s="46" t="str">
        <f t="shared" si="110"/>
        <v/>
      </c>
      <c r="P187" s="46" t="str">
        <f t="shared" si="111"/>
        <v/>
      </c>
      <c r="Q187" s="46" t="str">
        <f t="shared" si="112"/>
        <v/>
      </c>
      <c r="R187" s="46" t="str">
        <f t="shared" si="113"/>
        <v/>
      </c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</row>
    <row r="188">
      <c r="A188" s="83"/>
      <c r="B188" s="28"/>
      <c r="C188" s="83"/>
      <c r="D188" s="37"/>
      <c r="E188" s="37"/>
      <c r="F188" s="84"/>
      <c r="G188" s="37"/>
      <c r="H188" s="59" t="str">
        <f t="shared" si="103"/>
        <v/>
      </c>
      <c r="I188" s="46" t="str">
        <f t="shared" si="104"/>
        <v/>
      </c>
      <c r="J188" s="46" t="str">
        <f t="shared" si="105"/>
        <v/>
      </c>
      <c r="K188" s="46" t="str">
        <f t="shared" si="106"/>
        <v/>
      </c>
      <c r="L188" s="46" t="str">
        <f t="shared" si="107"/>
        <v/>
      </c>
      <c r="M188" s="46" t="str">
        <f t="shared" si="108"/>
        <v/>
      </c>
      <c r="N188" s="46" t="str">
        <f t="shared" si="109"/>
        <v/>
      </c>
      <c r="O188" s="46" t="str">
        <f t="shared" si="110"/>
        <v/>
      </c>
      <c r="P188" s="46" t="str">
        <f t="shared" si="111"/>
        <v/>
      </c>
      <c r="Q188" s="46" t="str">
        <f t="shared" si="112"/>
        <v/>
      </c>
      <c r="R188" s="46" t="str">
        <f t="shared" si="113"/>
        <v/>
      </c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</row>
    <row r="189">
      <c r="A189" s="83"/>
      <c r="B189" s="28"/>
      <c r="C189" s="83"/>
      <c r="D189" s="37"/>
      <c r="E189" s="37"/>
      <c r="F189" s="84"/>
      <c r="G189" s="37"/>
      <c r="H189" s="59" t="str">
        <f t="shared" si="103"/>
        <v/>
      </c>
      <c r="I189" s="46" t="str">
        <f t="shared" si="104"/>
        <v/>
      </c>
      <c r="J189" s="46" t="str">
        <f t="shared" si="105"/>
        <v/>
      </c>
      <c r="K189" s="46" t="str">
        <f t="shared" si="106"/>
        <v/>
      </c>
      <c r="L189" s="46" t="str">
        <f t="shared" si="107"/>
        <v/>
      </c>
      <c r="M189" s="46" t="str">
        <f t="shared" si="108"/>
        <v/>
      </c>
      <c r="N189" s="46" t="str">
        <f t="shared" si="109"/>
        <v/>
      </c>
      <c r="O189" s="46" t="str">
        <f t="shared" si="110"/>
        <v/>
      </c>
      <c r="P189" s="46" t="str">
        <f t="shared" si="111"/>
        <v/>
      </c>
      <c r="Q189" s="46" t="str">
        <f t="shared" si="112"/>
        <v/>
      </c>
      <c r="R189" s="46" t="str">
        <f t="shared" si="113"/>
        <v/>
      </c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</row>
    <row r="190">
      <c r="A190" s="83"/>
      <c r="B190" s="28"/>
      <c r="C190" s="83"/>
      <c r="D190" s="37"/>
      <c r="E190" s="37"/>
      <c r="F190" s="84"/>
      <c r="G190" s="37"/>
      <c r="H190" s="59" t="str">
        <f t="shared" si="103"/>
        <v/>
      </c>
      <c r="I190" s="46" t="str">
        <f t="shared" si="104"/>
        <v/>
      </c>
      <c r="J190" s="46" t="str">
        <f t="shared" si="105"/>
        <v/>
      </c>
      <c r="K190" s="46" t="str">
        <f t="shared" si="106"/>
        <v/>
      </c>
      <c r="L190" s="46" t="str">
        <f t="shared" si="107"/>
        <v/>
      </c>
      <c r="M190" s="46" t="str">
        <f t="shared" si="108"/>
        <v/>
      </c>
      <c r="N190" s="46" t="str">
        <f t="shared" si="109"/>
        <v/>
      </c>
      <c r="O190" s="46" t="str">
        <f t="shared" si="110"/>
        <v/>
      </c>
      <c r="P190" s="46" t="str">
        <f t="shared" si="111"/>
        <v/>
      </c>
      <c r="Q190" s="46" t="str">
        <f t="shared" si="112"/>
        <v/>
      </c>
      <c r="R190" s="46" t="str">
        <f t="shared" si="113"/>
        <v/>
      </c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</row>
    <row r="191">
      <c r="A191" s="83"/>
      <c r="B191" s="28"/>
      <c r="C191" s="83"/>
      <c r="D191" s="37"/>
      <c r="E191" s="37"/>
      <c r="F191" s="84"/>
      <c r="G191" s="37"/>
      <c r="H191" s="59" t="str">
        <f t="shared" si="103"/>
        <v/>
      </c>
      <c r="I191" s="46" t="str">
        <f t="shared" si="104"/>
        <v/>
      </c>
      <c r="J191" s="46" t="str">
        <f t="shared" si="105"/>
        <v/>
      </c>
      <c r="K191" s="46" t="str">
        <f t="shared" si="106"/>
        <v/>
      </c>
      <c r="L191" s="46" t="str">
        <f t="shared" si="107"/>
        <v/>
      </c>
      <c r="M191" s="46" t="str">
        <f t="shared" si="108"/>
        <v/>
      </c>
      <c r="N191" s="46" t="str">
        <f t="shared" si="109"/>
        <v/>
      </c>
      <c r="O191" s="46" t="str">
        <f t="shared" si="110"/>
        <v/>
      </c>
      <c r="P191" s="46" t="str">
        <f t="shared" si="111"/>
        <v/>
      </c>
      <c r="Q191" s="46" t="str">
        <f t="shared" si="112"/>
        <v/>
      </c>
      <c r="R191" s="46" t="str">
        <f t="shared" si="113"/>
        <v/>
      </c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</row>
    <row r="192">
      <c r="A192" s="83"/>
      <c r="B192" s="28"/>
      <c r="C192" s="83"/>
      <c r="D192" s="37"/>
      <c r="E192" s="37"/>
      <c r="F192" s="84"/>
      <c r="G192" s="37"/>
      <c r="H192" s="59" t="str">
        <f t="shared" si="103"/>
        <v/>
      </c>
      <c r="I192" s="46" t="str">
        <f t="shared" si="104"/>
        <v/>
      </c>
      <c r="J192" s="46" t="str">
        <f t="shared" si="105"/>
        <v/>
      </c>
      <c r="K192" s="46" t="str">
        <f t="shared" si="106"/>
        <v/>
      </c>
      <c r="L192" s="46" t="str">
        <f t="shared" si="107"/>
        <v/>
      </c>
      <c r="M192" s="46" t="str">
        <f t="shared" si="108"/>
        <v/>
      </c>
      <c r="N192" s="46" t="str">
        <f t="shared" si="109"/>
        <v/>
      </c>
      <c r="O192" s="46" t="str">
        <f t="shared" si="110"/>
        <v/>
      </c>
      <c r="P192" s="46" t="str">
        <f t="shared" si="111"/>
        <v/>
      </c>
      <c r="Q192" s="46" t="str">
        <f t="shared" si="112"/>
        <v/>
      </c>
      <c r="R192" s="46" t="str">
        <f t="shared" si="113"/>
        <v/>
      </c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</row>
    <row r="193">
      <c r="A193" s="83"/>
      <c r="B193" s="28"/>
      <c r="C193" s="83"/>
      <c r="D193" s="37"/>
      <c r="E193" s="37"/>
      <c r="F193" s="84"/>
      <c r="G193" s="37"/>
      <c r="H193" s="59" t="str">
        <f t="shared" si="103"/>
        <v/>
      </c>
      <c r="I193" s="46" t="str">
        <f t="shared" si="104"/>
        <v/>
      </c>
      <c r="J193" s="46" t="str">
        <f t="shared" si="105"/>
        <v/>
      </c>
      <c r="K193" s="46" t="str">
        <f t="shared" si="106"/>
        <v/>
      </c>
      <c r="L193" s="46" t="str">
        <f t="shared" si="107"/>
        <v/>
      </c>
      <c r="M193" s="46" t="str">
        <f t="shared" si="108"/>
        <v/>
      </c>
      <c r="N193" s="46" t="str">
        <f t="shared" si="109"/>
        <v/>
      </c>
      <c r="O193" s="46" t="str">
        <f t="shared" si="110"/>
        <v/>
      </c>
      <c r="P193" s="46" t="str">
        <f t="shared" si="111"/>
        <v/>
      </c>
      <c r="Q193" s="46" t="str">
        <f t="shared" si="112"/>
        <v/>
      </c>
      <c r="R193" s="46" t="str">
        <f t="shared" si="113"/>
        <v/>
      </c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</row>
    <row r="194">
      <c r="A194" s="83"/>
      <c r="B194" s="28"/>
      <c r="C194" s="83"/>
      <c r="D194" s="37"/>
      <c r="E194" s="37"/>
      <c r="F194" s="84"/>
      <c r="G194" s="37"/>
      <c r="H194" s="59" t="str">
        <f t="shared" si="103"/>
        <v/>
      </c>
      <c r="I194" s="46" t="str">
        <f t="shared" si="104"/>
        <v/>
      </c>
      <c r="J194" s="46" t="str">
        <f t="shared" si="105"/>
        <v/>
      </c>
      <c r="K194" s="46" t="str">
        <f t="shared" si="106"/>
        <v/>
      </c>
      <c r="L194" s="46" t="str">
        <f t="shared" si="107"/>
        <v/>
      </c>
      <c r="M194" s="46" t="str">
        <f t="shared" si="108"/>
        <v/>
      </c>
      <c r="N194" s="46" t="str">
        <f t="shared" si="109"/>
        <v/>
      </c>
      <c r="O194" s="46" t="str">
        <f t="shared" si="110"/>
        <v/>
      </c>
      <c r="P194" s="46" t="str">
        <f t="shared" si="111"/>
        <v/>
      </c>
      <c r="Q194" s="46" t="str">
        <f t="shared" si="112"/>
        <v/>
      </c>
      <c r="R194" s="46" t="str">
        <f t="shared" si="113"/>
        <v/>
      </c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</row>
    <row r="195">
      <c r="A195" s="83"/>
      <c r="B195" s="28"/>
      <c r="C195" s="83"/>
      <c r="D195" s="37"/>
      <c r="E195" s="37"/>
      <c r="F195" s="84"/>
      <c r="G195" s="37"/>
      <c r="H195" s="59" t="str">
        <f t="shared" si="103"/>
        <v/>
      </c>
      <c r="I195" s="46" t="str">
        <f t="shared" si="104"/>
        <v/>
      </c>
      <c r="J195" s="46" t="str">
        <f t="shared" si="105"/>
        <v/>
      </c>
      <c r="K195" s="46" t="str">
        <f t="shared" si="106"/>
        <v/>
      </c>
      <c r="L195" s="46" t="str">
        <f t="shared" si="107"/>
        <v/>
      </c>
      <c r="M195" s="46" t="str">
        <f t="shared" si="108"/>
        <v/>
      </c>
      <c r="N195" s="46" t="str">
        <f t="shared" si="109"/>
        <v/>
      </c>
      <c r="O195" s="46" t="str">
        <f t="shared" si="110"/>
        <v/>
      </c>
      <c r="P195" s="46" t="str">
        <f t="shared" si="111"/>
        <v/>
      </c>
      <c r="Q195" s="46" t="str">
        <f t="shared" si="112"/>
        <v/>
      </c>
      <c r="R195" s="46" t="str">
        <f t="shared" si="113"/>
        <v/>
      </c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</row>
    <row r="196">
      <c r="A196" s="83"/>
      <c r="B196" s="28"/>
      <c r="C196" s="83"/>
      <c r="D196" s="37"/>
      <c r="E196" s="37"/>
      <c r="F196" s="84"/>
      <c r="G196" s="37"/>
      <c r="H196" s="59" t="str">
        <f t="shared" si="103"/>
        <v/>
      </c>
      <c r="I196" s="46" t="str">
        <f t="shared" si="104"/>
        <v/>
      </c>
      <c r="J196" s="46" t="str">
        <f t="shared" si="105"/>
        <v/>
      </c>
      <c r="K196" s="46" t="str">
        <f t="shared" si="106"/>
        <v/>
      </c>
      <c r="L196" s="46" t="str">
        <f t="shared" si="107"/>
        <v/>
      </c>
      <c r="M196" s="46" t="str">
        <f t="shared" si="108"/>
        <v/>
      </c>
      <c r="N196" s="46" t="str">
        <f t="shared" si="109"/>
        <v/>
      </c>
      <c r="O196" s="46" t="str">
        <f t="shared" si="110"/>
        <v/>
      </c>
      <c r="P196" s="46" t="str">
        <f t="shared" si="111"/>
        <v/>
      </c>
      <c r="Q196" s="46" t="str">
        <f t="shared" si="112"/>
        <v/>
      </c>
      <c r="R196" s="46" t="str">
        <f t="shared" si="113"/>
        <v/>
      </c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</row>
    <row r="197">
      <c r="A197" s="83"/>
      <c r="B197" s="28"/>
      <c r="C197" s="83"/>
      <c r="D197" s="37"/>
      <c r="E197" s="37"/>
      <c r="F197" s="84"/>
      <c r="G197" s="37"/>
      <c r="H197" s="59" t="str">
        <f t="shared" si="103"/>
        <v/>
      </c>
      <c r="I197" s="46" t="str">
        <f t="shared" si="104"/>
        <v/>
      </c>
      <c r="J197" s="46" t="str">
        <f t="shared" si="105"/>
        <v/>
      </c>
      <c r="K197" s="46" t="str">
        <f t="shared" si="106"/>
        <v/>
      </c>
      <c r="L197" s="46" t="str">
        <f t="shared" si="107"/>
        <v/>
      </c>
      <c r="M197" s="46" t="str">
        <f t="shared" si="108"/>
        <v/>
      </c>
      <c r="N197" s="46" t="str">
        <f t="shared" si="109"/>
        <v/>
      </c>
      <c r="O197" s="46" t="str">
        <f t="shared" si="110"/>
        <v/>
      </c>
      <c r="P197" s="46" t="str">
        <f t="shared" si="111"/>
        <v/>
      </c>
      <c r="Q197" s="46" t="str">
        <f t="shared" si="112"/>
        <v/>
      </c>
      <c r="R197" s="46" t="str">
        <f t="shared" si="113"/>
        <v/>
      </c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</row>
    <row r="198">
      <c r="A198" s="83"/>
      <c r="B198" s="28"/>
      <c r="C198" s="83"/>
      <c r="D198" s="37"/>
      <c r="E198" s="37"/>
      <c r="F198" s="84"/>
      <c r="G198" s="37"/>
      <c r="H198" s="59" t="str">
        <f t="shared" si="103"/>
        <v/>
      </c>
      <c r="I198" s="46" t="str">
        <f t="shared" si="104"/>
        <v/>
      </c>
      <c r="J198" s="46" t="str">
        <f t="shared" si="105"/>
        <v/>
      </c>
      <c r="K198" s="46" t="str">
        <f t="shared" si="106"/>
        <v/>
      </c>
      <c r="L198" s="46" t="str">
        <f t="shared" si="107"/>
        <v/>
      </c>
      <c r="M198" s="46" t="str">
        <f t="shared" si="108"/>
        <v/>
      </c>
      <c r="N198" s="46" t="str">
        <f t="shared" si="109"/>
        <v/>
      </c>
      <c r="O198" s="46" t="str">
        <f t="shared" si="110"/>
        <v/>
      </c>
      <c r="P198" s="46" t="str">
        <f t="shared" si="111"/>
        <v/>
      </c>
      <c r="Q198" s="46" t="str">
        <f t="shared" si="112"/>
        <v/>
      </c>
      <c r="R198" s="46" t="str">
        <f t="shared" si="113"/>
        <v/>
      </c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</row>
    <row r="199">
      <c r="A199" s="83"/>
      <c r="B199" s="28"/>
      <c r="C199" s="83"/>
      <c r="D199" s="37"/>
      <c r="E199" s="37"/>
      <c r="F199" s="84"/>
      <c r="G199" s="37"/>
      <c r="H199" s="59" t="str">
        <f t="shared" si="103"/>
        <v/>
      </c>
      <c r="I199" s="46" t="str">
        <f t="shared" si="104"/>
        <v/>
      </c>
      <c r="J199" s="46" t="str">
        <f t="shared" si="105"/>
        <v/>
      </c>
      <c r="K199" s="46" t="str">
        <f t="shared" si="106"/>
        <v/>
      </c>
      <c r="L199" s="46" t="str">
        <f t="shared" si="107"/>
        <v/>
      </c>
      <c r="M199" s="46" t="str">
        <f t="shared" si="108"/>
        <v/>
      </c>
      <c r="N199" s="46" t="str">
        <f t="shared" si="109"/>
        <v/>
      </c>
      <c r="O199" s="46" t="str">
        <f t="shared" si="110"/>
        <v/>
      </c>
      <c r="P199" s="46" t="str">
        <f t="shared" si="111"/>
        <v/>
      </c>
      <c r="Q199" s="46" t="str">
        <f t="shared" si="112"/>
        <v/>
      </c>
      <c r="R199" s="46" t="str">
        <f t="shared" si="113"/>
        <v/>
      </c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</row>
    <row r="200">
      <c r="A200" s="83"/>
      <c r="B200" s="28"/>
      <c r="C200" s="83"/>
      <c r="D200" s="37"/>
      <c r="E200" s="37"/>
      <c r="F200" s="84"/>
      <c r="G200" s="37"/>
      <c r="H200" s="59" t="str">
        <f t="shared" si="103"/>
        <v/>
      </c>
      <c r="I200" s="46" t="str">
        <f t="shared" si="104"/>
        <v/>
      </c>
      <c r="J200" s="46" t="str">
        <f t="shared" si="105"/>
        <v/>
      </c>
      <c r="K200" s="46" t="str">
        <f t="shared" si="106"/>
        <v/>
      </c>
      <c r="L200" s="46" t="str">
        <f t="shared" si="107"/>
        <v/>
      </c>
      <c r="M200" s="46" t="str">
        <f t="shared" si="108"/>
        <v/>
      </c>
      <c r="N200" s="46" t="str">
        <f t="shared" si="109"/>
        <v/>
      </c>
      <c r="O200" s="46" t="str">
        <f t="shared" si="110"/>
        <v/>
      </c>
      <c r="P200" s="46" t="str">
        <f t="shared" si="111"/>
        <v/>
      </c>
      <c r="Q200" s="46" t="str">
        <f t="shared" si="112"/>
        <v/>
      </c>
      <c r="R200" s="46" t="str">
        <f t="shared" si="113"/>
        <v/>
      </c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</row>
    <row r="201">
      <c r="A201" s="83"/>
      <c r="B201" s="28"/>
      <c r="C201" s="83"/>
      <c r="D201" s="37"/>
      <c r="E201" s="37"/>
      <c r="F201" s="84"/>
      <c r="G201" s="37"/>
      <c r="H201" s="59" t="str">
        <f t="shared" si="103"/>
        <v/>
      </c>
      <c r="I201" s="46" t="str">
        <f t="shared" si="104"/>
        <v/>
      </c>
      <c r="J201" s="46" t="str">
        <f t="shared" si="105"/>
        <v/>
      </c>
      <c r="K201" s="46" t="str">
        <f t="shared" si="106"/>
        <v/>
      </c>
      <c r="L201" s="46" t="str">
        <f t="shared" si="107"/>
        <v/>
      </c>
      <c r="M201" s="46" t="str">
        <f t="shared" si="108"/>
        <v/>
      </c>
      <c r="N201" s="46" t="str">
        <f t="shared" si="109"/>
        <v/>
      </c>
      <c r="O201" s="46" t="str">
        <f t="shared" si="110"/>
        <v/>
      </c>
      <c r="P201" s="46" t="str">
        <f t="shared" si="111"/>
        <v/>
      </c>
      <c r="Q201" s="46" t="str">
        <f t="shared" si="112"/>
        <v/>
      </c>
      <c r="R201" s="46" t="str">
        <f t="shared" si="113"/>
        <v/>
      </c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</row>
    <row r="202">
      <c r="A202" s="83"/>
      <c r="B202" s="28"/>
      <c r="C202" s="83"/>
      <c r="D202" s="37"/>
      <c r="E202" s="37"/>
      <c r="F202" s="84"/>
      <c r="G202" s="37"/>
      <c r="H202" s="59" t="str">
        <f t="shared" si="103"/>
        <v/>
      </c>
      <c r="I202" s="46" t="str">
        <f t="shared" si="104"/>
        <v/>
      </c>
      <c r="J202" s="46" t="str">
        <f t="shared" si="105"/>
        <v/>
      </c>
      <c r="K202" s="46" t="str">
        <f t="shared" si="106"/>
        <v/>
      </c>
      <c r="L202" s="46" t="str">
        <f t="shared" si="107"/>
        <v/>
      </c>
      <c r="M202" s="46" t="str">
        <f t="shared" si="108"/>
        <v/>
      </c>
      <c r="N202" s="46" t="str">
        <f t="shared" si="109"/>
        <v/>
      </c>
      <c r="O202" s="46" t="str">
        <f t="shared" si="110"/>
        <v/>
      </c>
      <c r="P202" s="46" t="str">
        <f t="shared" si="111"/>
        <v/>
      </c>
      <c r="Q202" s="46" t="str">
        <f t="shared" si="112"/>
        <v/>
      </c>
      <c r="R202" s="46" t="str">
        <f t="shared" si="113"/>
        <v/>
      </c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</row>
    <row r="203">
      <c r="A203" s="83"/>
      <c r="B203" s="28"/>
      <c r="C203" s="83"/>
      <c r="D203" s="37"/>
      <c r="E203" s="37"/>
      <c r="F203" s="84"/>
      <c r="G203" s="37"/>
      <c r="H203" s="59" t="str">
        <f t="shared" si="103"/>
        <v/>
      </c>
      <c r="I203" s="46" t="str">
        <f t="shared" si="104"/>
        <v/>
      </c>
      <c r="J203" s="46" t="str">
        <f t="shared" si="105"/>
        <v/>
      </c>
      <c r="K203" s="46" t="str">
        <f t="shared" si="106"/>
        <v/>
      </c>
      <c r="L203" s="46" t="str">
        <f t="shared" si="107"/>
        <v/>
      </c>
      <c r="M203" s="46" t="str">
        <f t="shared" si="108"/>
        <v/>
      </c>
      <c r="N203" s="46" t="str">
        <f t="shared" si="109"/>
        <v/>
      </c>
      <c r="O203" s="46" t="str">
        <f t="shared" si="110"/>
        <v/>
      </c>
      <c r="P203" s="46" t="str">
        <f t="shared" si="111"/>
        <v/>
      </c>
      <c r="Q203" s="46" t="str">
        <f t="shared" si="112"/>
        <v/>
      </c>
      <c r="R203" s="46" t="str">
        <f t="shared" si="113"/>
        <v/>
      </c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</row>
    <row r="204">
      <c r="A204" s="83"/>
      <c r="B204" s="28"/>
      <c r="C204" s="83"/>
      <c r="D204" s="37"/>
      <c r="E204" s="37"/>
      <c r="F204" s="84"/>
      <c r="G204" s="37"/>
      <c r="H204" s="59" t="str">
        <f t="shared" si="103"/>
        <v/>
      </c>
      <c r="I204" s="46" t="str">
        <f t="shared" si="104"/>
        <v/>
      </c>
      <c r="J204" s="46" t="str">
        <f t="shared" si="105"/>
        <v/>
      </c>
      <c r="K204" s="46" t="str">
        <f t="shared" si="106"/>
        <v/>
      </c>
      <c r="L204" s="46" t="str">
        <f t="shared" si="107"/>
        <v/>
      </c>
      <c r="M204" s="46" t="str">
        <f t="shared" si="108"/>
        <v/>
      </c>
      <c r="N204" s="46" t="str">
        <f t="shared" si="109"/>
        <v/>
      </c>
      <c r="O204" s="46" t="str">
        <f t="shared" si="110"/>
        <v/>
      </c>
      <c r="P204" s="46" t="str">
        <f t="shared" si="111"/>
        <v/>
      </c>
      <c r="Q204" s="46" t="str">
        <f t="shared" si="112"/>
        <v/>
      </c>
      <c r="R204" s="46" t="str">
        <f t="shared" si="113"/>
        <v/>
      </c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</row>
    <row r="205">
      <c r="A205" s="83"/>
      <c r="B205" s="28"/>
      <c r="C205" s="83"/>
      <c r="D205" s="37"/>
      <c r="E205" s="37"/>
      <c r="F205" s="84"/>
      <c r="G205" s="37"/>
      <c r="H205" s="59" t="str">
        <f t="shared" si="103"/>
        <v/>
      </c>
      <c r="I205" s="46" t="str">
        <f t="shared" si="104"/>
        <v/>
      </c>
      <c r="J205" s="46" t="str">
        <f t="shared" si="105"/>
        <v/>
      </c>
      <c r="K205" s="46" t="str">
        <f t="shared" si="106"/>
        <v/>
      </c>
      <c r="L205" s="46" t="str">
        <f t="shared" si="107"/>
        <v/>
      </c>
      <c r="M205" s="46" t="str">
        <f t="shared" si="108"/>
        <v/>
      </c>
      <c r="N205" s="46" t="str">
        <f t="shared" si="109"/>
        <v/>
      </c>
      <c r="O205" s="46" t="str">
        <f t="shared" si="110"/>
        <v/>
      </c>
      <c r="P205" s="46" t="str">
        <f t="shared" si="111"/>
        <v/>
      </c>
      <c r="Q205" s="46" t="str">
        <f t="shared" si="112"/>
        <v/>
      </c>
      <c r="R205" s="46" t="str">
        <f t="shared" si="113"/>
        <v/>
      </c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</row>
    <row r="206">
      <c r="A206" s="83"/>
      <c r="B206" s="28"/>
      <c r="C206" s="83"/>
      <c r="D206" s="37"/>
      <c r="E206" s="37"/>
      <c r="F206" s="84"/>
      <c r="G206" s="37"/>
      <c r="H206" s="59" t="str">
        <f t="shared" si="103"/>
        <v/>
      </c>
      <c r="I206" s="46" t="str">
        <f t="shared" si="104"/>
        <v/>
      </c>
      <c r="J206" s="46" t="str">
        <f t="shared" si="105"/>
        <v/>
      </c>
      <c r="K206" s="46" t="str">
        <f t="shared" si="106"/>
        <v/>
      </c>
      <c r="L206" s="46" t="str">
        <f t="shared" si="107"/>
        <v/>
      </c>
      <c r="M206" s="46" t="str">
        <f t="shared" si="108"/>
        <v/>
      </c>
      <c r="N206" s="46" t="str">
        <f t="shared" si="109"/>
        <v/>
      </c>
      <c r="O206" s="46" t="str">
        <f t="shared" si="110"/>
        <v/>
      </c>
      <c r="P206" s="46" t="str">
        <f t="shared" si="111"/>
        <v/>
      </c>
      <c r="Q206" s="46" t="str">
        <f t="shared" si="112"/>
        <v/>
      </c>
      <c r="R206" s="46" t="str">
        <f t="shared" si="113"/>
        <v/>
      </c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</row>
    <row r="207">
      <c r="A207" s="83"/>
      <c r="B207" s="28"/>
      <c r="C207" s="83"/>
      <c r="D207" s="37"/>
      <c r="E207" s="37"/>
      <c r="F207" s="84"/>
      <c r="G207" s="37"/>
      <c r="H207" s="59" t="str">
        <f t="shared" si="103"/>
        <v/>
      </c>
      <c r="I207" s="46" t="str">
        <f t="shared" si="104"/>
        <v/>
      </c>
      <c r="J207" s="46" t="str">
        <f t="shared" si="105"/>
        <v/>
      </c>
      <c r="K207" s="46" t="str">
        <f t="shared" si="106"/>
        <v/>
      </c>
      <c r="L207" s="46" t="str">
        <f t="shared" si="107"/>
        <v/>
      </c>
      <c r="M207" s="46" t="str">
        <f t="shared" si="108"/>
        <v/>
      </c>
      <c r="N207" s="46" t="str">
        <f t="shared" si="109"/>
        <v/>
      </c>
      <c r="O207" s="46" t="str">
        <f t="shared" si="110"/>
        <v/>
      </c>
      <c r="P207" s="46" t="str">
        <f t="shared" si="111"/>
        <v/>
      </c>
      <c r="Q207" s="46" t="str">
        <f t="shared" si="112"/>
        <v/>
      </c>
      <c r="R207" s="46" t="str">
        <f t="shared" si="113"/>
        <v/>
      </c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</row>
    <row r="208">
      <c r="A208" s="83"/>
      <c r="B208" s="28"/>
      <c r="C208" s="83"/>
      <c r="D208" s="37"/>
      <c r="E208" s="37"/>
      <c r="F208" s="84"/>
      <c r="G208" s="37"/>
      <c r="H208" s="59" t="str">
        <f t="shared" si="103"/>
        <v/>
      </c>
      <c r="I208" s="46" t="str">
        <f t="shared" si="104"/>
        <v/>
      </c>
      <c r="J208" s="46" t="str">
        <f t="shared" si="105"/>
        <v/>
      </c>
      <c r="K208" s="46" t="str">
        <f t="shared" si="106"/>
        <v/>
      </c>
      <c r="L208" s="46" t="str">
        <f t="shared" si="107"/>
        <v/>
      </c>
      <c r="M208" s="46" t="str">
        <f t="shared" si="108"/>
        <v/>
      </c>
      <c r="N208" s="46" t="str">
        <f t="shared" si="109"/>
        <v/>
      </c>
      <c r="O208" s="46" t="str">
        <f t="shared" si="110"/>
        <v/>
      </c>
      <c r="P208" s="46" t="str">
        <f t="shared" si="111"/>
        <v/>
      </c>
      <c r="Q208" s="46" t="str">
        <f t="shared" si="112"/>
        <v/>
      </c>
      <c r="R208" s="46" t="str">
        <f t="shared" si="113"/>
        <v/>
      </c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</row>
    <row r="209">
      <c r="A209" s="83"/>
      <c r="B209" s="28"/>
      <c r="C209" s="83"/>
      <c r="D209" s="37"/>
      <c r="E209" s="37"/>
      <c r="F209" s="84"/>
      <c r="G209" s="37"/>
      <c r="H209" s="59" t="str">
        <f t="shared" si="103"/>
        <v/>
      </c>
      <c r="I209" s="46" t="str">
        <f t="shared" si="104"/>
        <v/>
      </c>
      <c r="J209" s="46" t="str">
        <f t="shared" si="105"/>
        <v/>
      </c>
      <c r="K209" s="46" t="str">
        <f t="shared" si="106"/>
        <v/>
      </c>
      <c r="L209" s="46" t="str">
        <f t="shared" si="107"/>
        <v/>
      </c>
      <c r="M209" s="46" t="str">
        <f t="shared" si="108"/>
        <v/>
      </c>
      <c r="N209" s="46" t="str">
        <f t="shared" si="109"/>
        <v/>
      </c>
      <c r="O209" s="46" t="str">
        <f t="shared" si="110"/>
        <v/>
      </c>
      <c r="P209" s="46" t="str">
        <f t="shared" si="111"/>
        <v/>
      </c>
      <c r="Q209" s="46" t="str">
        <f t="shared" si="112"/>
        <v/>
      </c>
      <c r="R209" s="46" t="str">
        <f t="shared" si="113"/>
        <v/>
      </c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</row>
    <row r="210">
      <c r="A210" s="83"/>
      <c r="B210" s="28"/>
      <c r="C210" s="83"/>
      <c r="D210" s="37"/>
      <c r="E210" s="37"/>
      <c r="F210" s="84"/>
      <c r="G210" s="37"/>
      <c r="H210" s="59" t="str">
        <f t="shared" si="103"/>
        <v/>
      </c>
      <c r="I210" s="46" t="str">
        <f t="shared" si="104"/>
        <v/>
      </c>
      <c r="J210" s="46" t="str">
        <f t="shared" si="105"/>
        <v/>
      </c>
      <c r="K210" s="46" t="str">
        <f t="shared" si="106"/>
        <v/>
      </c>
      <c r="L210" s="46" t="str">
        <f t="shared" si="107"/>
        <v/>
      </c>
      <c r="M210" s="46" t="str">
        <f t="shared" si="108"/>
        <v/>
      </c>
      <c r="N210" s="46" t="str">
        <f t="shared" si="109"/>
        <v/>
      </c>
      <c r="O210" s="46" t="str">
        <f t="shared" si="110"/>
        <v/>
      </c>
      <c r="P210" s="46" t="str">
        <f t="shared" si="111"/>
        <v/>
      </c>
      <c r="Q210" s="46" t="str">
        <f t="shared" si="112"/>
        <v/>
      </c>
      <c r="R210" s="46" t="str">
        <f t="shared" si="113"/>
        <v/>
      </c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</row>
    <row r="211">
      <c r="A211" s="83"/>
      <c r="B211" s="28"/>
      <c r="C211" s="83"/>
      <c r="D211" s="37"/>
      <c r="E211" s="37"/>
      <c r="F211" s="84"/>
      <c r="G211" s="37"/>
      <c r="H211" s="59" t="str">
        <f t="shared" si="103"/>
        <v/>
      </c>
      <c r="I211" s="46" t="str">
        <f t="shared" si="104"/>
        <v/>
      </c>
      <c r="J211" s="46" t="str">
        <f t="shared" si="105"/>
        <v/>
      </c>
      <c r="K211" s="46" t="str">
        <f t="shared" si="106"/>
        <v/>
      </c>
      <c r="L211" s="46" t="str">
        <f t="shared" si="107"/>
        <v/>
      </c>
      <c r="M211" s="46" t="str">
        <f t="shared" si="108"/>
        <v/>
      </c>
      <c r="N211" s="46" t="str">
        <f t="shared" si="109"/>
        <v/>
      </c>
      <c r="O211" s="46" t="str">
        <f t="shared" si="110"/>
        <v/>
      </c>
      <c r="P211" s="46" t="str">
        <f t="shared" si="111"/>
        <v/>
      </c>
      <c r="Q211" s="46" t="str">
        <f t="shared" si="112"/>
        <v/>
      </c>
      <c r="R211" s="46" t="str">
        <f t="shared" si="113"/>
        <v/>
      </c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</row>
    <row r="212">
      <c r="A212" s="83"/>
      <c r="B212" s="28"/>
      <c r="C212" s="83"/>
      <c r="D212" s="37"/>
      <c r="E212" s="37"/>
      <c r="F212" s="84"/>
      <c r="G212" s="37"/>
      <c r="H212" s="59" t="str">
        <f t="shared" si="103"/>
        <v/>
      </c>
      <c r="I212" s="46" t="str">
        <f t="shared" si="104"/>
        <v/>
      </c>
      <c r="J212" s="46" t="str">
        <f t="shared" si="105"/>
        <v/>
      </c>
      <c r="K212" s="46" t="str">
        <f t="shared" si="106"/>
        <v/>
      </c>
      <c r="L212" s="46" t="str">
        <f t="shared" si="107"/>
        <v/>
      </c>
      <c r="M212" s="46" t="str">
        <f t="shared" si="108"/>
        <v/>
      </c>
      <c r="N212" s="46" t="str">
        <f t="shared" si="109"/>
        <v/>
      </c>
      <c r="O212" s="46" t="str">
        <f t="shared" si="110"/>
        <v/>
      </c>
      <c r="P212" s="46" t="str">
        <f t="shared" si="111"/>
        <v/>
      </c>
      <c r="Q212" s="46" t="str">
        <f t="shared" si="112"/>
        <v/>
      </c>
      <c r="R212" s="46" t="str">
        <f t="shared" si="113"/>
        <v/>
      </c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</row>
    <row r="213">
      <c r="A213" s="83"/>
      <c r="B213" s="28"/>
      <c r="C213" s="83"/>
      <c r="D213" s="37"/>
      <c r="E213" s="37"/>
      <c r="F213" s="84"/>
      <c r="G213" s="37"/>
      <c r="H213" s="59" t="str">
        <f t="shared" si="103"/>
        <v/>
      </c>
      <c r="I213" s="46" t="str">
        <f t="shared" si="104"/>
        <v/>
      </c>
      <c r="J213" s="46" t="str">
        <f t="shared" si="105"/>
        <v/>
      </c>
      <c r="K213" s="46" t="str">
        <f t="shared" si="106"/>
        <v/>
      </c>
      <c r="L213" s="46" t="str">
        <f t="shared" si="107"/>
        <v/>
      </c>
      <c r="M213" s="46" t="str">
        <f t="shared" si="108"/>
        <v/>
      </c>
      <c r="N213" s="46" t="str">
        <f t="shared" si="109"/>
        <v/>
      </c>
      <c r="O213" s="46" t="str">
        <f t="shared" si="110"/>
        <v/>
      </c>
      <c r="P213" s="46" t="str">
        <f t="shared" si="111"/>
        <v/>
      </c>
      <c r="Q213" s="46" t="str">
        <f t="shared" si="112"/>
        <v/>
      </c>
      <c r="R213" s="46" t="str">
        <f t="shared" si="113"/>
        <v/>
      </c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</row>
    <row r="214">
      <c r="A214" s="83"/>
      <c r="B214" s="28"/>
      <c r="C214" s="83"/>
      <c r="D214" s="37"/>
      <c r="E214" s="37"/>
      <c r="F214" s="84"/>
      <c r="G214" s="37"/>
      <c r="H214" s="59" t="str">
        <f t="shared" si="103"/>
        <v/>
      </c>
      <c r="I214" s="46" t="str">
        <f t="shared" si="104"/>
        <v/>
      </c>
      <c r="J214" s="46" t="str">
        <f t="shared" si="105"/>
        <v/>
      </c>
      <c r="K214" s="46" t="str">
        <f t="shared" si="106"/>
        <v/>
      </c>
      <c r="L214" s="46" t="str">
        <f t="shared" si="107"/>
        <v/>
      </c>
      <c r="M214" s="46" t="str">
        <f t="shared" si="108"/>
        <v/>
      </c>
      <c r="N214" s="46" t="str">
        <f t="shared" si="109"/>
        <v/>
      </c>
      <c r="O214" s="46" t="str">
        <f t="shared" si="110"/>
        <v/>
      </c>
      <c r="P214" s="46" t="str">
        <f t="shared" si="111"/>
        <v/>
      </c>
      <c r="Q214" s="46" t="str">
        <f t="shared" si="112"/>
        <v/>
      </c>
      <c r="R214" s="46" t="str">
        <f t="shared" si="113"/>
        <v/>
      </c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</row>
    <row r="215">
      <c r="A215" s="83"/>
      <c r="B215" s="28"/>
      <c r="C215" s="83"/>
      <c r="D215" s="37"/>
      <c r="E215" s="37"/>
      <c r="F215" s="84"/>
      <c r="G215" s="37"/>
      <c r="H215" s="59" t="str">
        <f t="shared" si="103"/>
        <v/>
      </c>
      <c r="I215" s="46" t="str">
        <f t="shared" si="104"/>
        <v/>
      </c>
      <c r="J215" s="46" t="str">
        <f t="shared" si="105"/>
        <v/>
      </c>
      <c r="K215" s="46" t="str">
        <f t="shared" si="106"/>
        <v/>
      </c>
      <c r="L215" s="46" t="str">
        <f t="shared" si="107"/>
        <v/>
      </c>
      <c r="M215" s="46" t="str">
        <f t="shared" si="108"/>
        <v/>
      </c>
      <c r="N215" s="46" t="str">
        <f t="shared" si="109"/>
        <v/>
      </c>
      <c r="O215" s="46" t="str">
        <f t="shared" si="110"/>
        <v/>
      </c>
      <c r="P215" s="46" t="str">
        <f t="shared" si="111"/>
        <v/>
      </c>
      <c r="Q215" s="46" t="str">
        <f t="shared" si="112"/>
        <v/>
      </c>
      <c r="R215" s="46" t="str">
        <f t="shared" si="113"/>
        <v/>
      </c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</row>
    <row r="216">
      <c r="A216" s="83"/>
      <c r="B216" s="28"/>
      <c r="C216" s="83"/>
      <c r="D216" s="37"/>
      <c r="E216" s="37"/>
      <c r="F216" s="84"/>
      <c r="G216" s="37"/>
      <c r="H216" s="59" t="str">
        <f t="shared" si="103"/>
        <v/>
      </c>
      <c r="I216" s="46" t="str">
        <f t="shared" si="104"/>
        <v/>
      </c>
      <c r="J216" s="46" t="str">
        <f t="shared" si="105"/>
        <v/>
      </c>
      <c r="K216" s="46" t="str">
        <f t="shared" si="106"/>
        <v/>
      </c>
      <c r="L216" s="46" t="str">
        <f t="shared" si="107"/>
        <v/>
      </c>
      <c r="M216" s="46" t="str">
        <f t="shared" si="108"/>
        <v/>
      </c>
      <c r="N216" s="46" t="str">
        <f t="shared" si="109"/>
        <v/>
      </c>
      <c r="O216" s="46" t="str">
        <f t="shared" si="110"/>
        <v/>
      </c>
      <c r="P216" s="46" t="str">
        <f t="shared" si="111"/>
        <v/>
      </c>
      <c r="Q216" s="46" t="str">
        <f t="shared" si="112"/>
        <v/>
      </c>
      <c r="R216" s="46" t="str">
        <f t="shared" si="113"/>
        <v/>
      </c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</row>
    <row r="217">
      <c r="A217" s="83"/>
      <c r="B217" s="28"/>
      <c r="C217" s="83"/>
      <c r="D217" s="37"/>
      <c r="E217" s="37"/>
      <c r="F217" s="84"/>
      <c r="G217" s="37"/>
      <c r="H217" s="59" t="str">
        <f t="shared" si="103"/>
        <v/>
      </c>
      <c r="I217" s="46" t="str">
        <f t="shared" si="104"/>
        <v/>
      </c>
      <c r="J217" s="46" t="str">
        <f t="shared" si="105"/>
        <v/>
      </c>
      <c r="K217" s="46" t="str">
        <f t="shared" si="106"/>
        <v/>
      </c>
      <c r="L217" s="46" t="str">
        <f t="shared" si="107"/>
        <v/>
      </c>
      <c r="M217" s="46" t="str">
        <f t="shared" si="108"/>
        <v/>
      </c>
      <c r="N217" s="46" t="str">
        <f t="shared" si="109"/>
        <v/>
      </c>
      <c r="O217" s="46" t="str">
        <f t="shared" si="110"/>
        <v/>
      </c>
      <c r="P217" s="46" t="str">
        <f t="shared" si="111"/>
        <v/>
      </c>
      <c r="Q217" s="46" t="str">
        <f t="shared" si="112"/>
        <v/>
      </c>
      <c r="R217" s="46" t="str">
        <f t="shared" si="113"/>
        <v/>
      </c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</row>
    <row r="218">
      <c r="A218" s="83"/>
      <c r="B218" s="28"/>
      <c r="C218" s="83"/>
      <c r="D218" s="37"/>
      <c r="E218" s="37"/>
      <c r="F218" s="84"/>
      <c r="G218" s="37"/>
      <c r="H218" s="59" t="str">
        <f t="shared" si="103"/>
        <v/>
      </c>
      <c r="I218" s="46" t="str">
        <f t="shared" si="104"/>
        <v/>
      </c>
      <c r="J218" s="46" t="str">
        <f t="shared" si="105"/>
        <v/>
      </c>
      <c r="K218" s="46" t="str">
        <f t="shared" si="106"/>
        <v/>
      </c>
      <c r="L218" s="46" t="str">
        <f t="shared" si="107"/>
        <v/>
      </c>
      <c r="M218" s="46" t="str">
        <f t="shared" si="108"/>
        <v/>
      </c>
      <c r="N218" s="46" t="str">
        <f t="shared" si="109"/>
        <v/>
      </c>
      <c r="O218" s="46" t="str">
        <f t="shared" si="110"/>
        <v/>
      </c>
      <c r="P218" s="46" t="str">
        <f t="shared" si="111"/>
        <v/>
      </c>
      <c r="Q218" s="46" t="str">
        <f t="shared" si="112"/>
        <v/>
      </c>
      <c r="R218" s="46" t="str">
        <f t="shared" si="113"/>
        <v/>
      </c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</row>
    <row r="219">
      <c r="A219" s="83"/>
      <c r="B219" s="28"/>
      <c r="C219" s="83"/>
      <c r="D219" s="37"/>
      <c r="E219" s="37"/>
      <c r="F219" s="84"/>
      <c r="G219" s="37"/>
      <c r="H219" s="59" t="str">
        <f t="shared" si="103"/>
        <v/>
      </c>
      <c r="I219" s="46" t="str">
        <f t="shared" si="104"/>
        <v/>
      </c>
      <c r="J219" s="46" t="str">
        <f t="shared" si="105"/>
        <v/>
      </c>
      <c r="K219" s="46" t="str">
        <f t="shared" si="106"/>
        <v/>
      </c>
      <c r="L219" s="46" t="str">
        <f t="shared" si="107"/>
        <v/>
      </c>
      <c r="M219" s="46" t="str">
        <f t="shared" si="108"/>
        <v/>
      </c>
      <c r="N219" s="46" t="str">
        <f t="shared" si="109"/>
        <v/>
      </c>
      <c r="O219" s="46" t="str">
        <f t="shared" si="110"/>
        <v/>
      </c>
      <c r="P219" s="46" t="str">
        <f t="shared" si="111"/>
        <v/>
      </c>
      <c r="Q219" s="46" t="str">
        <f t="shared" si="112"/>
        <v/>
      </c>
      <c r="R219" s="46" t="str">
        <f t="shared" si="113"/>
        <v/>
      </c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</row>
    <row r="220">
      <c r="A220" s="83"/>
      <c r="B220" s="28"/>
      <c r="C220" s="83"/>
      <c r="D220" s="37"/>
      <c r="E220" s="37"/>
      <c r="F220" s="84"/>
      <c r="G220" s="37"/>
      <c r="H220" s="59" t="str">
        <f t="shared" si="103"/>
        <v/>
      </c>
      <c r="I220" s="46" t="str">
        <f t="shared" si="104"/>
        <v/>
      </c>
      <c r="J220" s="46" t="str">
        <f t="shared" si="105"/>
        <v/>
      </c>
      <c r="K220" s="46" t="str">
        <f t="shared" si="106"/>
        <v/>
      </c>
      <c r="L220" s="46" t="str">
        <f t="shared" si="107"/>
        <v/>
      </c>
      <c r="M220" s="46" t="str">
        <f t="shared" si="108"/>
        <v/>
      </c>
      <c r="N220" s="46" t="str">
        <f t="shared" si="109"/>
        <v/>
      </c>
      <c r="O220" s="46" t="str">
        <f t="shared" si="110"/>
        <v/>
      </c>
      <c r="P220" s="46" t="str">
        <f t="shared" si="111"/>
        <v/>
      </c>
      <c r="Q220" s="46" t="str">
        <f t="shared" si="112"/>
        <v/>
      </c>
      <c r="R220" s="46" t="str">
        <f t="shared" si="113"/>
        <v/>
      </c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</row>
    <row r="221">
      <c r="A221" s="83"/>
      <c r="B221" s="28"/>
      <c r="C221" s="83"/>
      <c r="D221" s="37"/>
      <c r="E221" s="37"/>
      <c r="F221" s="84"/>
      <c r="G221" s="37"/>
      <c r="H221" s="59" t="str">
        <f t="shared" si="103"/>
        <v/>
      </c>
      <c r="I221" s="46" t="str">
        <f t="shared" si="104"/>
        <v/>
      </c>
      <c r="J221" s="46" t="str">
        <f t="shared" si="105"/>
        <v/>
      </c>
      <c r="K221" s="46" t="str">
        <f t="shared" si="106"/>
        <v/>
      </c>
      <c r="L221" s="46" t="str">
        <f t="shared" si="107"/>
        <v/>
      </c>
      <c r="M221" s="46" t="str">
        <f t="shared" si="108"/>
        <v/>
      </c>
      <c r="N221" s="46" t="str">
        <f t="shared" si="109"/>
        <v/>
      </c>
      <c r="O221" s="46" t="str">
        <f t="shared" si="110"/>
        <v/>
      </c>
      <c r="P221" s="46" t="str">
        <f t="shared" si="111"/>
        <v/>
      </c>
      <c r="Q221" s="46" t="str">
        <f t="shared" si="112"/>
        <v/>
      </c>
      <c r="R221" s="46" t="str">
        <f t="shared" si="113"/>
        <v/>
      </c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</row>
    <row r="222">
      <c r="A222" s="83"/>
      <c r="B222" s="28"/>
      <c r="C222" s="83"/>
      <c r="D222" s="37"/>
      <c r="E222" s="37"/>
      <c r="F222" s="84"/>
      <c r="G222" s="37"/>
      <c r="H222" s="59" t="str">
        <f t="shared" si="103"/>
        <v/>
      </c>
      <c r="I222" s="46" t="str">
        <f t="shared" si="104"/>
        <v/>
      </c>
      <c r="J222" s="46" t="str">
        <f t="shared" si="105"/>
        <v/>
      </c>
      <c r="K222" s="46" t="str">
        <f t="shared" si="106"/>
        <v/>
      </c>
      <c r="L222" s="46" t="str">
        <f t="shared" si="107"/>
        <v/>
      </c>
      <c r="M222" s="46" t="str">
        <f t="shared" si="108"/>
        <v/>
      </c>
      <c r="N222" s="46" t="str">
        <f t="shared" si="109"/>
        <v/>
      </c>
      <c r="O222" s="46" t="str">
        <f t="shared" si="110"/>
        <v/>
      </c>
      <c r="P222" s="46" t="str">
        <f t="shared" si="111"/>
        <v/>
      </c>
      <c r="Q222" s="46" t="str">
        <f t="shared" si="112"/>
        <v/>
      </c>
      <c r="R222" s="46" t="str">
        <f t="shared" si="113"/>
        <v/>
      </c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</row>
    <row r="223">
      <c r="A223" s="83"/>
      <c r="B223" s="28"/>
      <c r="C223" s="83"/>
      <c r="D223" s="37"/>
      <c r="E223" s="37"/>
      <c r="F223" s="84"/>
      <c r="G223" s="37"/>
      <c r="H223" s="59" t="str">
        <f t="shared" si="103"/>
        <v/>
      </c>
      <c r="I223" s="46" t="str">
        <f t="shared" si="104"/>
        <v/>
      </c>
      <c r="J223" s="46" t="str">
        <f t="shared" si="105"/>
        <v/>
      </c>
      <c r="K223" s="46" t="str">
        <f t="shared" si="106"/>
        <v/>
      </c>
      <c r="L223" s="46" t="str">
        <f t="shared" si="107"/>
        <v/>
      </c>
      <c r="M223" s="46" t="str">
        <f t="shared" si="108"/>
        <v/>
      </c>
      <c r="N223" s="46" t="str">
        <f t="shared" si="109"/>
        <v/>
      </c>
      <c r="O223" s="46" t="str">
        <f t="shared" si="110"/>
        <v/>
      </c>
      <c r="P223" s="46" t="str">
        <f t="shared" si="111"/>
        <v/>
      </c>
      <c r="Q223" s="46" t="str">
        <f t="shared" si="112"/>
        <v/>
      </c>
      <c r="R223" s="46" t="str">
        <f t="shared" si="113"/>
        <v/>
      </c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</row>
    <row r="224">
      <c r="A224" s="83"/>
      <c r="B224" s="28"/>
      <c r="C224" s="83"/>
      <c r="D224" s="37"/>
      <c r="E224" s="37"/>
      <c r="F224" s="84"/>
      <c r="G224" s="37"/>
      <c r="H224" s="59" t="str">
        <f t="shared" si="103"/>
        <v/>
      </c>
      <c r="I224" s="46" t="str">
        <f t="shared" si="104"/>
        <v/>
      </c>
      <c r="J224" s="46" t="str">
        <f t="shared" si="105"/>
        <v/>
      </c>
      <c r="K224" s="46" t="str">
        <f t="shared" si="106"/>
        <v/>
      </c>
      <c r="L224" s="46" t="str">
        <f t="shared" si="107"/>
        <v/>
      </c>
      <c r="M224" s="46" t="str">
        <f t="shared" si="108"/>
        <v/>
      </c>
      <c r="N224" s="46" t="str">
        <f t="shared" si="109"/>
        <v/>
      </c>
      <c r="O224" s="46" t="str">
        <f t="shared" si="110"/>
        <v/>
      </c>
      <c r="P224" s="46" t="str">
        <f t="shared" si="111"/>
        <v/>
      </c>
      <c r="Q224" s="46" t="str">
        <f t="shared" si="112"/>
        <v/>
      </c>
      <c r="R224" s="46" t="str">
        <f t="shared" si="113"/>
        <v/>
      </c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</row>
    <row r="225">
      <c r="A225" s="83"/>
      <c r="B225" s="28"/>
      <c r="C225" s="83"/>
      <c r="D225" s="37"/>
      <c r="E225" s="37"/>
      <c r="F225" s="84"/>
      <c r="G225" s="37"/>
      <c r="H225" s="59" t="str">
        <f t="shared" si="103"/>
        <v/>
      </c>
      <c r="I225" s="46" t="str">
        <f t="shared" si="104"/>
        <v/>
      </c>
      <c r="J225" s="46" t="str">
        <f t="shared" si="105"/>
        <v/>
      </c>
      <c r="K225" s="46" t="str">
        <f t="shared" si="106"/>
        <v/>
      </c>
      <c r="L225" s="46" t="str">
        <f t="shared" si="107"/>
        <v/>
      </c>
      <c r="M225" s="46" t="str">
        <f t="shared" si="108"/>
        <v/>
      </c>
      <c r="N225" s="46" t="str">
        <f t="shared" si="109"/>
        <v/>
      </c>
      <c r="O225" s="46" t="str">
        <f t="shared" si="110"/>
        <v/>
      </c>
      <c r="P225" s="46" t="str">
        <f t="shared" si="111"/>
        <v/>
      </c>
      <c r="Q225" s="46" t="str">
        <f t="shared" si="112"/>
        <v/>
      </c>
      <c r="R225" s="46" t="str">
        <f t="shared" si="113"/>
        <v/>
      </c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</row>
    <row r="226">
      <c r="A226" s="83"/>
      <c r="B226" s="28"/>
      <c r="C226" s="83"/>
      <c r="D226" s="37"/>
      <c r="E226" s="37"/>
      <c r="F226" s="84"/>
      <c r="G226" s="37"/>
      <c r="H226" s="59" t="str">
        <f t="shared" si="103"/>
        <v/>
      </c>
      <c r="I226" s="46" t="str">
        <f t="shared" si="104"/>
        <v/>
      </c>
      <c r="J226" s="46" t="str">
        <f t="shared" si="105"/>
        <v/>
      </c>
      <c r="K226" s="46" t="str">
        <f t="shared" si="106"/>
        <v/>
      </c>
      <c r="L226" s="46" t="str">
        <f t="shared" si="107"/>
        <v/>
      </c>
      <c r="M226" s="46" t="str">
        <f t="shared" si="108"/>
        <v/>
      </c>
      <c r="N226" s="46" t="str">
        <f t="shared" si="109"/>
        <v/>
      </c>
      <c r="O226" s="46" t="str">
        <f t="shared" si="110"/>
        <v/>
      </c>
      <c r="P226" s="46" t="str">
        <f t="shared" si="111"/>
        <v/>
      </c>
      <c r="Q226" s="46" t="str">
        <f t="shared" si="112"/>
        <v/>
      </c>
      <c r="R226" s="46" t="str">
        <f t="shared" si="113"/>
        <v/>
      </c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</row>
    <row r="227">
      <c r="A227" s="83"/>
      <c r="B227" s="28"/>
      <c r="C227" s="83"/>
      <c r="D227" s="37"/>
      <c r="E227" s="37"/>
      <c r="F227" s="84"/>
      <c r="G227" s="37"/>
      <c r="H227" s="59" t="str">
        <f t="shared" si="103"/>
        <v/>
      </c>
      <c r="I227" s="46" t="str">
        <f t="shared" si="104"/>
        <v/>
      </c>
      <c r="J227" s="46" t="str">
        <f t="shared" si="105"/>
        <v/>
      </c>
      <c r="K227" s="46" t="str">
        <f t="shared" si="106"/>
        <v/>
      </c>
      <c r="L227" s="46" t="str">
        <f t="shared" si="107"/>
        <v/>
      </c>
      <c r="M227" s="46" t="str">
        <f t="shared" si="108"/>
        <v/>
      </c>
      <c r="N227" s="46" t="str">
        <f t="shared" si="109"/>
        <v/>
      </c>
      <c r="O227" s="46" t="str">
        <f t="shared" si="110"/>
        <v/>
      </c>
      <c r="P227" s="46" t="str">
        <f t="shared" si="111"/>
        <v/>
      </c>
      <c r="Q227" s="46" t="str">
        <f t="shared" si="112"/>
        <v/>
      </c>
      <c r="R227" s="46" t="str">
        <f t="shared" si="113"/>
        <v/>
      </c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</row>
    <row r="228">
      <c r="A228" s="83"/>
      <c r="B228" s="28"/>
      <c r="C228" s="83"/>
      <c r="D228" s="37"/>
      <c r="E228" s="37"/>
      <c r="F228" s="84"/>
      <c r="G228" s="37"/>
      <c r="H228" s="59" t="str">
        <f t="shared" si="103"/>
        <v/>
      </c>
      <c r="I228" s="46" t="str">
        <f t="shared" si="104"/>
        <v/>
      </c>
      <c r="J228" s="46" t="str">
        <f t="shared" si="105"/>
        <v/>
      </c>
      <c r="K228" s="46" t="str">
        <f t="shared" si="106"/>
        <v/>
      </c>
      <c r="L228" s="46" t="str">
        <f t="shared" si="107"/>
        <v/>
      </c>
      <c r="M228" s="46" t="str">
        <f t="shared" si="108"/>
        <v/>
      </c>
      <c r="N228" s="46" t="str">
        <f t="shared" si="109"/>
        <v/>
      </c>
      <c r="O228" s="46" t="str">
        <f t="shared" si="110"/>
        <v/>
      </c>
      <c r="P228" s="46" t="str">
        <f t="shared" si="111"/>
        <v/>
      </c>
      <c r="Q228" s="46" t="str">
        <f t="shared" si="112"/>
        <v/>
      </c>
      <c r="R228" s="46" t="str">
        <f t="shared" si="113"/>
        <v/>
      </c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</row>
    <row r="229">
      <c r="A229" s="83"/>
      <c r="B229" s="28"/>
      <c r="C229" s="83"/>
      <c r="D229" s="37"/>
      <c r="E229" s="37"/>
      <c r="F229" s="84"/>
      <c r="G229" s="37"/>
      <c r="H229" s="59" t="str">
        <f t="shared" si="103"/>
        <v/>
      </c>
      <c r="I229" s="46" t="str">
        <f t="shared" si="104"/>
        <v/>
      </c>
      <c r="J229" s="46" t="str">
        <f t="shared" si="105"/>
        <v/>
      </c>
      <c r="K229" s="46" t="str">
        <f t="shared" si="106"/>
        <v/>
      </c>
      <c r="L229" s="46" t="str">
        <f t="shared" si="107"/>
        <v/>
      </c>
      <c r="M229" s="46" t="str">
        <f t="shared" si="108"/>
        <v/>
      </c>
      <c r="N229" s="46" t="str">
        <f t="shared" si="109"/>
        <v/>
      </c>
      <c r="O229" s="46" t="str">
        <f t="shared" si="110"/>
        <v/>
      </c>
      <c r="P229" s="46" t="str">
        <f t="shared" si="111"/>
        <v/>
      </c>
      <c r="Q229" s="46" t="str">
        <f t="shared" si="112"/>
        <v/>
      </c>
      <c r="R229" s="46" t="str">
        <f t="shared" si="113"/>
        <v/>
      </c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</row>
    <row r="230">
      <c r="A230" s="83"/>
      <c r="B230" s="28"/>
      <c r="C230" s="83"/>
      <c r="D230" s="37"/>
      <c r="E230" s="37"/>
      <c r="F230" s="84"/>
      <c r="G230" s="37"/>
      <c r="H230" s="59" t="str">
        <f t="shared" si="103"/>
        <v/>
      </c>
      <c r="I230" s="46" t="str">
        <f t="shared" si="104"/>
        <v/>
      </c>
      <c r="J230" s="46" t="str">
        <f t="shared" si="105"/>
        <v/>
      </c>
      <c r="K230" s="46" t="str">
        <f t="shared" si="106"/>
        <v/>
      </c>
      <c r="L230" s="46" t="str">
        <f t="shared" si="107"/>
        <v/>
      </c>
      <c r="M230" s="46" t="str">
        <f t="shared" si="108"/>
        <v/>
      </c>
      <c r="N230" s="46" t="str">
        <f t="shared" si="109"/>
        <v/>
      </c>
      <c r="O230" s="46" t="str">
        <f t="shared" si="110"/>
        <v/>
      </c>
      <c r="P230" s="46" t="str">
        <f t="shared" si="111"/>
        <v/>
      </c>
      <c r="Q230" s="46" t="str">
        <f t="shared" si="112"/>
        <v/>
      </c>
      <c r="R230" s="46" t="str">
        <f t="shared" si="113"/>
        <v/>
      </c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</row>
    <row r="231">
      <c r="A231" s="83"/>
      <c r="B231" s="28"/>
      <c r="C231" s="83"/>
      <c r="D231" s="37"/>
      <c r="E231" s="37"/>
      <c r="F231" s="84"/>
      <c r="G231" s="37"/>
      <c r="H231" s="59" t="str">
        <f t="shared" si="103"/>
        <v/>
      </c>
      <c r="I231" s="46" t="str">
        <f t="shared" si="104"/>
        <v/>
      </c>
      <c r="J231" s="46" t="str">
        <f t="shared" si="105"/>
        <v/>
      </c>
      <c r="K231" s="46" t="str">
        <f t="shared" si="106"/>
        <v/>
      </c>
      <c r="L231" s="46" t="str">
        <f t="shared" si="107"/>
        <v/>
      </c>
      <c r="M231" s="46" t="str">
        <f t="shared" si="108"/>
        <v/>
      </c>
      <c r="N231" s="46" t="str">
        <f t="shared" si="109"/>
        <v/>
      </c>
      <c r="O231" s="46" t="str">
        <f t="shared" si="110"/>
        <v/>
      </c>
      <c r="P231" s="46" t="str">
        <f t="shared" si="111"/>
        <v/>
      </c>
      <c r="Q231" s="46" t="str">
        <f t="shared" si="112"/>
        <v/>
      </c>
      <c r="R231" s="46" t="str">
        <f t="shared" si="113"/>
        <v/>
      </c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</row>
    <row r="232">
      <c r="A232" s="83"/>
      <c r="B232" s="28"/>
      <c r="C232" s="83"/>
      <c r="D232" s="37"/>
      <c r="E232" s="37"/>
      <c r="F232" s="84"/>
      <c r="G232" s="37"/>
      <c r="H232" s="59" t="str">
        <f t="shared" si="103"/>
        <v/>
      </c>
      <c r="I232" s="46" t="str">
        <f t="shared" si="104"/>
        <v/>
      </c>
      <c r="J232" s="46" t="str">
        <f t="shared" si="105"/>
        <v/>
      </c>
      <c r="K232" s="46" t="str">
        <f t="shared" si="106"/>
        <v/>
      </c>
      <c r="L232" s="46" t="str">
        <f t="shared" si="107"/>
        <v/>
      </c>
      <c r="M232" s="46" t="str">
        <f t="shared" si="108"/>
        <v/>
      </c>
      <c r="N232" s="46" t="str">
        <f t="shared" si="109"/>
        <v/>
      </c>
      <c r="O232" s="46" t="str">
        <f t="shared" si="110"/>
        <v/>
      </c>
      <c r="P232" s="46" t="str">
        <f t="shared" si="111"/>
        <v/>
      </c>
      <c r="Q232" s="46" t="str">
        <f t="shared" si="112"/>
        <v/>
      </c>
      <c r="R232" s="46" t="str">
        <f t="shared" si="113"/>
        <v/>
      </c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</row>
    <row r="233">
      <c r="A233" s="83"/>
      <c r="B233" s="28"/>
      <c r="C233" s="83"/>
      <c r="D233" s="37"/>
      <c r="E233" s="37"/>
      <c r="F233" s="84"/>
      <c r="G233" s="37"/>
      <c r="H233" s="59" t="str">
        <f t="shared" si="103"/>
        <v/>
      </c>
      <c r="I233" s="46" t="str">
        <f t="shared" si="104"/>
        <v/>
      </c>
      <c r="J233" s="46" t="str">
        <f t="shared" si="105"/>
        <v/>
      </c>
      <c r="K233" s="46" t="str">
        <f t="shared" si="106"/>
        <v/>
      </c>
      <c r="L233" s="46" t="str">
        <f t="shared" si="107"/>
        <v/>
      </c>
      <c r="M233" s="46" t="str">
        <f t="shared" si="108"/>
        <v/>
      </c>
      <c r="N233" s="46" t="str">
        <f t="shared" si="109"/>
        <v/>
      </c>
      <c r="O233" s="46" t="str">
        <f t="shared" si="110"/>
        <v/>
      </c>
      <c r="P233" s="46" t="str">
        <f t="shared" si="111"/>
        <v/>
      </c>
      <c r="Q233" s="46" t="str">
        <f t="shared" si="112"/>
        <v/>
      </c>
      <c r="R233" s="46" t="str">
        <f t="shared" si="113"/>
        <v/>
      </c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</row>
    <row r="234">
      <c r="A234" s="83"/>
      <c r="B234" s="28"/>
      <c r="C234" s="83"/>
      <c r="D234" s="37"/>
      <c r="E234" s="37"/>
      <c r="F234" s="84"/>
      <c r="G234" s="37"/>
      <c r="H234" s="59" t="str">
        <f t="shared" si="103"/>
        <v/>
      </c>
      <c r="I234" s="46" t="str">
        <f t="shared" si="104"/>
        <v/>
      </c>
      <c r="J234" s="46" t="str">
        <f t="shared" si="105"/>
        <v/>
      </c>
      <c r="K234" s="46" t="str">
        <f t="shared" si="106"/>
        <v/>
      </c>
      <c r="L234" s="46" t="str">
        <f t="shared" si="107"/>
        <v/>
      </c>
      <c r="M234" s="46" t="str">
        <f t="shared" si="108"/>
        <v/>
      </c>
      <c r="N234" s="46" t="str">
        <f t="shared" si="109"/>
        <v/>
      </c>
      <c r="O234" s="46" t="str">
        <f t="shared" si="110"/>
        <v/>
      </c>
      <c r="P234" s="46" t="str">
        <f t="shared" si="111"/>
        <v/>
      </c>
      <c r="Q234" s="46" t="str">
        <f t="shared" si="112"/>
        <v/>
      </c>
      <c r="R234" s="46" t="str">
        <f t="shared" si="113"/>
        <v/>
      </c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</row>
    <row r="235">
      <c r="A235" s="83"/>
      <c r="B235" s="28"/>
      <c r="C235" s="83"/>
      <c r="D235" s="37"/>
      <c r="E235" s="37"/>
      <c r="F235" s="84"/>
      <c r="G235" s="37"/>
      <c r="H235" s="59" t="str">
        <f t="shared" si="103"/>
        <v/>
      </c>
      <c r="I235" s="46" t="str">
        <f t="shared" si="104"/>
        <v/>
      </c>
      <c r="J235" s="46" t="str">
        <f t="shared" si="105"/>
        <v/>
      </c>
      <c r="K235" s="46" t="str">
        <f t="shared" si="106"/>
        <v/>
      </c>
      <c r="L235" s="46" t="str">
        <f t="shared" si="107"/>
        <v/>
      </c>
      <c r="M235" s="46" t="str">
        <f t="shared" si="108"/>
        <v/>
      </c>
      <c r="N235" s="46" t="str">
        <f t="shared" si="109"/>
        <v/>
      </c>
      <c r="O235" s="46" t="str">
        <f t="shared" si="110"/>
        <v/>
      </c>
      <c r="P235" s="46" t="str">
        <f t="shared" si="111"/>
        <v/>
      </c>
      <c r="Q235" s="46" t="str">
        <f t="shared" si="112"/>
        <v/>
      </c>
      <c r="R235" s="46" t="str">
        <f t="shared" si="113"/>
        <v/>
      </c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</row>
    <row r="236">
      <c r="A236" s="83"/>
      <c r="B236" s="28"/>
      <c r="C236" s="83"/>
      <c r="D236" s="37"/>
      <c r="E236" s="37"/>
      <c r="F236" s="84"/>
      <c r="G236" s="37"/>
      <c r="H236" s="59" t="str">
        <f t="shared" si="103"/>
        <v/>
      </c>
      <c r="I236" s="46" t="str">
        <f t="shared" si="104"/>
        <v/>
      </c>
      <c r="J236" s="46" t="str">
        <f t="shared" si="105"/>
        <v/>
      </c>
      <c r="K236" s="46" t="str">
        <f t="shared" si="106"/>
        <v/>
      </c>
      <c r="L236" s="46" t="str">
        <f t="shared" si="107"/>
        <v/>
      </c>
      <c r="M236" s="46" t="str">
        <f t="shared" si="108"/>
        <v/>
      </c>
      <c r="N236" s="46" t="str">
        <f t="shared" si="109"/>
        <v/>
      </c>
      <c r="O236" s="46" t="str">
        <f t="shared" si="110"/>
        <v/>
      </c>
      <c r="P236" s="46" t="str">
        <f t="shared" si="111"/>
        <v/>
      </c>
      <c r="Q236" s="46" t="str">
        <f t="shared" si="112"/>
        <v/>
      </c>
      <c r="R236" s="46" t="str">
        <f t="shared" si="113"/>
        <v/>
      </c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</row>
    <row r="237">
      <c r="A237" s="83"/>
      <c r="B237" s="28"/>
      <c r="C237" s="83"/>
      <c r="D237" s="37"/>
      <c r="E237" s="37"/>
      <c r="F237" s="84"/>
      <c r="G237" s="37"/>
      <c r="H237" s="59" t="str">
        <f t="shared" si="103"/>
        <v/>
      </c>
      <c r="I237" s="46" t="str">
        <f t="shared" si="104"/>
        <v/>
      </c>
      <c r="J237" s="46" t="str">
        <f t="shared" si="105"/>
        <v/>
      </c>
      <c r="K237" s="46" t="str">
        <f t="shared" si="106"/>
        <v/>
      </c>
      <c r="L237" s="46" t="str">
        <f t="shared" si="107"/>
        <v/>
      </c>
      <c r="M237" s="46" t="str">
        <f t="shared" si="108"/>
        <v/>
      </c>
      <c r="N237" s="46" t="str">
        <f t="shared" si="109"/>
        <v/>
      </c>
      <c r="O237" s="46" t="str">
        <f t="shared" si="110"/>
        <v/>
      </c>
      <c r="P237" s="46" t="str">
        <f t="shared" si="111"/>
        <v/>
      </c>
      <c r="Q237" s="46" t="str">
        <f t="shared" si="112"/>
        <v/>
      </c>
      <c r="R237" s="46" t="str">
        <f t="shared" si="113"/>
        <v/>
      </c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</row>
    <row r="238">
      <c r="A238" s="83"/>
      <c r="B238" s="28"/>
      <c r="C238" s="83"/>
      <c r="D238" s="37"/>
      <c r="E238" s="37"/>
      <c r="F238" s="84"/>
      <c r="G238" s="37"/>
      <c r="H238" s="59" t="str">
        <f t="shared" si="103"/>
        <v/>
      </c>
      <c r="I238" s="46" t="str">
        <f t="shared" si="104"/>
        <v/>
      </c>
      <c r="J238" s="46" t="str">
        <f t="shared" si="105"/>
        <v/>
      </c>
      <c r="K238" s="46" t="str">
        <f t="shared" si="106"/>
        <v/>
      </c>
      <c r="L238" s="46" t="str">
        <f t="shared" si="107"/>
        <v/>
      </c>
      <c r="M238" s="46" t="str">
        <f t="shared" si="108"/>
        <v/>
      </c>
      <c r="N238" s="46" t="str">
        <f t="shared" si="109"/>
        <v/>
      </c>
      <c r="O238" s="46" t="str">
        <f t="shared" si="110"/>
        <v/>
      </c>
      <c r="P238" s="46" t="str">
        <f t="shared" si="111"/>
        <v/>
      </c>
      <c r="Q238" s="46" t="str">
        <f t="shared" si="112"/>
        <v/>
      </c>
      <c r="R238" s="46" t="str">
        <f t="shared" si="113"/>
        <v/>
      </c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</row>
    <row r="239">
      <c r="A239" s="83"/>
      <c r="B239" s="28"/>
      <c r="C239" s="83"/>
      <c r="D239" s="37"/>
      <c r="E239" s="37"/>
      <c r="F239" s="84"/>
      <c r="G239" s="37"/>
      <c r="H239" s="59" t="str">
        <f t="shared" si="103"/>
        <v/>
      </c>
      <c r="I239" s="46" t="str">
        <f t="shared" si="104"/>
        <v/>
      </c>
      <c r="J239" s="46" t="str">
        <f t="shared" si="105"/>
        <v/>
      </c>
      <c r="K239" s="46" t="str">
        <f t="shared" si="106"/>
        <v/>
      </c>
      <c r="L239" s="46" t="str">
        <f t="shared" si="107"/>
        <v/>
      </c>
      <c r="M239" s="46" t="str">
        <f t="shared" si="108"/>
        <v/>
      </c>
      <c r="N239" s="46" t="str">
        <f t="shared" si="109"/>
        <v/>
      </c>
      <c r="O239" s="46" t="str">
        <f t="shared" si="110"/>
        <v/>
      </c>
      <c r="P239" s="46" t="str">
        <f t="shared" si="111"/>
        <v/>
      </c>
      <c r="Q239" s="46" t="str">
        <f t="shared" si="112"/>
        <v/>
      </c>
      <c r="R239" s="46" t="str">
        <f t="shared" si="113"/>
        <v/>
      </c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</row>
    <row r="240">
      <c r="A240" s="83"/>
      <c r="B240" s="28"/>
      <c r="C240" s="83"/>
      <c r="D240" s="37"/>
      <c r="E240" s="37"/>
      <c r="F240" s="84"/>
      <c r="G240" s="37"/>
      <c r="H240" s="59" t="str">
        <f t="shared" si="103"/>
        <v/>
      </c>
      <c r="I240" s="46" t="str">
        <f t="shared" si="104"/>
        <v/>
      </c>
      <c r="J240" s="46" t="str">
        <f t="shared" si="105"/>
        <v/>
      </c>
      <c r="K240" s="46" t="str">
        <f t="shared" si="106"/>
        <v/>
      </c>
      <c r="L240" s="46" t="str">
        <f t="shared" si="107"/>
        <v/>
      </c>
      <c r="M240" s="46" t="str">
        <f t="shared" si="108"/>
        <v/>
      </c>
      <c r="N240" s="46" t="str">
        <f t="shared" si="109"/>
        <v/>
      </c>
      <c r="O240" s="46" t="str">
        <f t="shared" si="110"/>
        <v/>
      </c>
      <c r="P240" s="46" t="str">
        <f t="shared" si="111"/>
        <v/>
      </c>
      <c r="Q240" s="46" t="str">
        <f t="shared" si="112"/>
        <v/>
      </c>
      <c r="R240" s="46" t="str">
        <f t="shared" si="113"/>
        <v/>
      </c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</row>
    <row r="241">
      <c r="A241" s="83"/>
      <c r="B241" s="28"/>
      <c r="C241" s="83"/>
      <c r="D241" s="37"/>
      <c r="E241" s="37"/>
      <c r="F241" s="84"/>
      <c r="G241" s="37"/>
      <c r="H241" s="59" t="str">
        <f t="shared" si="103"/>
        <v/>
      </c>
      <c r="I241" s="46" t="str">
        <f t="shared" si="104"/>
        <v/>
      </c>
      <c r="J241" s="46" t="str">
        <f t="shared" si="105"/>
        <v/>
      </c>
      <c r="K241" s="46" t="str">
        <f t="shared" si="106"/>
        <v/>
      </c>
      <c r="L241" s="46" t="str">
        <f t="shared" si="107"/>
        <v/>
      </c>
      <c r="M241" s="46" t="str">
        <f t="shared" si="108"/>
        <v/>
      </c>
      <c r="N241" s="46" t="str">
        <f t="shared" si="109"/>
        <v/>
      </c>
      <c r="O241" s="46" t="str">
        <f t="shared" si="110"/>
        <v/>
      </c>
      <c r="P241" s="46" t="str">
        <f t="shared" si="111"/>
        <v/>
      </c>
      <c r="Q241" s="46" t="str">
        <f t="shared" si="112"/>
        <v/>
      </c>
      <c r="R241" s="46" t="str">
        <f t="shared" si="113"/>
        <v/>
      </c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</row>
    <row r="242">
      <c r="A242" s="83"/>
      <c r="B242" s="28"/>
      <c r="C242" s="83"/>
      <c r="D242" s="37"/>
      <c r="E242" s="37"/>
      <c r="F242" s="84"/>
      <c r="G242" s="37"/>
      <c r="H242" s="59" t="str">
        <f t="shared" si="103"/>
        <v/>
      </c>
      <c r="I242" s="46" t="str">
        <f t="shared" si="104"/>
        <v/>
      </c>
      <c r="J242" s="46" t="str">
        <f t="shared" si="105"/>
        <v/>
      </c>
      <c r="K242" s="46" t="str">
        <f t="shared" si="106"/>
        <v/>
      </c>
      <c r="L242" s="46" t="str">
        <f t="shared" si="107"/>
        <v/>
      </c>
      <c r="M242" s="46" t="str">
        <f t="shared" si="108"/>
        <v/>
      </c>
      <c r="N242" s="46" t="str">
        <f t="shared" si="109"/>
        <v/>
      </c>
      <c r="O242" s="46" t="str">
        <f t="shared" si="110"/>
        <v/>
      </c>
      <c r="P242" s="46" t="str">
        <f t="shared" si="111"/>
        <v/>
      </c>
      <c r="Q242" s="46" t="str">
        <f t="shared" si="112"/>
        <v/>
      </c>
      <c r="R242" s="46" t="str">
        <f t="shared" si="113"/>
        <v/>
      </c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</row>
    <row r="243">
      <c r="A243" s="83"/>
      <c r="B243" s="28"/>
      <c r="C243" s="83"/>
      <c r="D243" s="37"/>
      <c r="E243" s="37"/>
      <c r="F243" s="84"/>
      <c r="G243" s="37"/>
      <c r="H243" s="59" t="str">
        <f t="shared" si="103"/>
        <v/>
      </c>
      <c r="I243" s="46" t="str">
        <f t="shared" si="104"/>
        <v/>
      </c>
      <c r="J243" s="46" t="str">
        <f t="shared" si="105"/>
        <v/>
      </c>
      <c r="K243" s="46" t="str">
        <f t="shared" si="106"/>
        <v/>
      </c>
      <c r="L243" s="46" t="str">
        <f t="shared" si="107"/>
        <v/>
      </c>
      <c r="M243" s="46" t="str">
        <f t="shared" si="108"/>
        <v/>
      </c>
      <c r="N243" s="46" t="str">
        <f t="shared" si="109"/>
        <v/>
      </c>
      <c r="O243" s="46" t="str">
        <f t="shared" si="110"/>
        <v/>
      </c>
      <c r="P243" s="46" t="str">
        <f t="shared" si="111"/>
        <v/>
      </c>
      <c r="Q243" s="46" t="str">
        <f t="shared" si="112"/>
        <v/>
      </c>
      <c r="R243" s="46" t="str">
        <f t="shared" si="113"/>
        <v/>
      </c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</row>
    <row r="244">
      <c r="A244" s="83"/>
      <c r="B244" s="28"/>
      <c r="C244" s="83"/>
      <c r="D244" s="37"/>
      <c r="E244" s="37"/>
      <c r="F244" s="84"/>
      <c r="G244" s="37"/>
      <c r="H244" s="59" t="str">
        <f t="shared" si="103"/>
        <v/>
      </c>
      <c r="I244" s="46" t="str">
        <f t="shared" si="104"/>
        <v/>
      </c>
      <c r="J244" s="46" t="str">
        <f t="shared" si="105"/>
        <v/>
      </c>
      <c r="K244" s="46" t="str">
        <f t="shared" si="106"/>
        <v/>
      </c>
      <c r="L244" s="46" t="str">
        <f t="shared" si="107"/>
        <v/>
      </c>
      <c r="M244" s="46" t="str">
        <f t="shared" si="108"/>
        <v/>
      </c>
      <c r="N244" s="46" t="str">
        <f t="shared" si="109"/>
        <v/>
      </c>
      <c r="O244" s="46" t="str">
        <f t="shared" si="110"/>
        <v/>
      </c>
      <c r="P244" s="46" t="str">
        <f t="shared" si="111"/>
        <v/>
      </c>
      <c r="Q244" s="46" t="str">
        <f t="shared" si="112"/>
        <v/>
      </c>
      <c r="R244" s="46" t="str">
        <f t="shared" si="113"/>
        <v/>
      </c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</row>
    <row r="245">
      <c r="A245" s="83"/>
      <c r="B245" s="28"/>
      <c r="C245" s="83"/>
      <c r="D245" s="37"/>
      <c r="E245" s="37"/>
      <c r="F245" s="84"/>
      <c r="G245" s="37"/>
      <c r="H245" s="59" t="str">
        <f t="shared" si="103"/>
        <v/>
      </c>
      <c r="I245" s="46" t="str">
        <f t="shared" si="104"/>
        <v/>
      </c>
      <c r="J245" s="46" t="str">
        <f t="shared" si="105"/>
        <v/>
      </c>
      <c r="K245" s="46" t="str">
        <f t="shared" si="106"/>
        <v/>
      </c>
      <c r="L245" s="46" t="str">
        <f t="shared" si="107"/>
        <v/>
      </c>
      <c r="M245" s="46" t="str">
        <f t="shared" si="108"/>
        <v/>
      </c>
      <c r="N245" s="46" t="str">
        <f t="shared" si="109"/>
        <v/>
      </c>
      <c r="O245" s="46" t="str">
        <f t="shared" si="110"/>
        <v/>
      </c>
      <c r="P245" s="46" t="str">
        <f t="shared" si="111"/>
        <v/>
      </c>
      <c r="Q245" s="46" t="str">
        <f t="shared" si="112"/>
        <v/>
      </c>
      <c r="R245" s="46" t="str">
        <f t="shared" si="113"/>
        <v/>
      </c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</row>
    <row r="246">
      <c r="A246" s="83"/>
      <c r="B246" s="28"/>
      <c r="C246" s="83"/>
      <c r="D246" s="37"/>
      <c r="E246" s="37"/>
      <c r="F246" s="84"/>
      <c r="G246" s="37"/>
      <c r="H246" s="59" t="str">
        <f t="shared" si="103"/>
        <v/>
      </c>
      <c r="I246" s="46" t="str">
        <f t="shared" si="104"/>
        <v/>
      </c>
      <c r="J246" s="46" t="str">
        <f t="shared" si="105"/>
        <v/>
      </c>
      <c r="K246" s="46" t="str">
        <f t="shared" si="106"/>
        <v/>
      </c>
      <c r="L246" s="46" t="str">
        <f t="shared" si="107"/>
        <v/>
      </c>
      <c r="M246" s="46" t="str">
        <f t="shared" si="108"/>
        <v/>
      </c>
      <c r="N246" s="46" t="str">
        <f t="shared" si="109"/>
        <v/>
      </c>
      <c r="O246" s="46" t="str">
        <f t="shared" si="110"/>
        <v/>
      </c>
      <c r="P246" s="46" t="str">
        <f t="shared" si="111"/>
        <v/>
      </c>
      <c r="Q246" s="46" t="str">
        <f t="shared" si="112"/>
        <v/>
      </c>
      <c r="R246" s="46" t="str">
        <f t="shared" si="113"/>
        <v/>
      </c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</row>
    <row r="247">
      <c r="A247" s="83"/>
      <c r="B247" s="28"/>
      <c r="C247" s="83"/>
      <c r="D247" s="37"/>
      <c r="E247" s="37"/>
      <c r="F247" s="84"/>
      <c r="G247" s="37"/>
      <c r="H247" s="59" t="str">
        <f t="shared" si="103"/>
        <v/>
      </c>
      <c r="I247" s="46" t="str">
        <f t="shared" si="104"/>
        <v/>
      </c>
      <c r="J247" s="46" t="str">
        <f t="shared" si="105"/>
        <v/>
      </c>
      <c r="K247" s="46" t="str">
        <f t="shared" si="106"/>
        <v/>
      </c>
      <c r="L247" s="46" t="str">
        <f t="shared" si="107"/>
        <v/>
      </c>
      <c r="M247" s="46" t="str">
        <f t="shared" si="108"/>
        <v/>
      </c>
      <c r="N247" s="46" t="str">
        <f t="shared" si="109"/>
        <v/>
      </c>
      <c r="O247" s="46" t="str">
        <f t="shared" si="110"/>
        <v/>
      </c>
      <c r="P247" s="46" t="str">
        <f t="shared" si="111"/>
        <v/>
      </c>
      <c r="Q247" s="46" t="str">
        <f t="shared" si="112"/>
        <v/>
      </c>
      <c r="R247" s="46" t="str">
        <f t="shared" si="113"/>
        <v/>
      </c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</row>
    <row r="248">
      <c r="A248" s="83"/>
      <c r="B248" s="28"/>
      <c r="C248" s="83"/>
      <c r="D248" s="37"/>
      <c r="E248" s="37"/>
      <c r="F248" s="84"/>
      <c r="G248" s="37"/>
      <c r="H248" s="59" t="str">
        <f t="shared" si="103"/>
        <v/>
      </c>
      <c r="I248" s="46" t="str">
        <f t="shared" si="104"/>
        <v/>
      </c>
      <c r="J248" s="46" t="str">
        <f t="shared" si="105"/>
        <v/>
      </c>
      <c r="K248" s="46" t="str">
        <f t="shared" si="106"/>
        <v/>
      </c>
      <c r="L248" s="46" t="str">
        <f t="shared" si="107"/>
        <v/>
      </c>
      <c r="M248" s="46" t="str">
        <f t="shared" si="108"/>
        <v/>
      </c>
      <c r="N248" s="46" t="str">
        <f t="shared" si="109"/>
        <v/>
      </c>
      <c r="O248" s="46" t="str">
        <f t="shared" si="110"/>
        <v/>
      </c>
      <c r="P248" s="46" t="str">
        <f t="shared" si="111"/>
        <v/>
      </c>
      <c r="Q248" s="46" t="str">
        <f t="shared" si="112"/>
        <v/>
      </c>
      <c r="R248" s="46" t="str">
        <f t="shared" si="113"/>
        <v/>
      </c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</row>
    <row r="249">
      <c r="A249" s="83"/>
      <c r="B249" s="28"/>
      <c r="C249" s="83"/>
      <c r="D249" s="37"/>
      <c r="E249" s="37"/>
      <c r="F249" s="84"/>
      <c r="G249" s="37"/>
      <c r="H249" s="59" t="str">
        <f t="shared" si="103"/>
        <v/>
      </c>
      <c r="I249" s="46" t="str">
        <f t="shared" si="104"/>
        <v/>
      </c>
      <c r="J249" s="46" t="str">
        <f t="shared" si="105"/>
        <v/>
      </c>
      <c r="K249" s="46" t="str">
        <f t="shared" si="106"/>
        <v/>
      </c>
      <c r="L249" s="46" t="str">
        <f t="shared" si="107"/>
        <v/>
      </c>
      <c r="M249" s="46" t="str">
        <f t="shared" si="108"/>
        <v/>
      </c>
      <c r="N249" s="46" t="str">
        <f t="shared" si="109"/>
        <v/>
      </c>
      <c r="O249" s="46" t="str">
        <f t="shared" si="110"/>
        <v/>
      </c>
      <c r="P249" s="46" t="str">
        <f t="shared" si="111"/>
        <v/>
      </c>
      <c r="Q249" s="46" t="str">
        <f t="shared" si="112"/>
        <v/>
      </c>
      <c r="R249" s="46" t="str">
        <f t="shared" si="113"/>
        <v/>
      </c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</row>
    <row r="250">
      <c r="A250" s="83"/>
      <c r="B250" s="28"/>
      <c r="C250" s="83"/>
      <c r="D250" s="37"/>
      <c r="E250" s="37"/>
      <c r="F250" s="84"/>
      <c r="G250" s="37"/>
      <c r="H250" s="59" t="str">
        <f t="shared" si="103"/>
        <v/>
      </c>
      <c r="I250" s="46" t="str">
        <f t="shared" si="104"/>
        <v/>
      </c>
      <c r="J250" s="46" t="str">
        <f t="shared" si="105"/>
        <v/>
      </c>
      <c r="K250" s="46" t="str">
        <f t="shared" si="106"/>
        <v/>
      </c>
      <c r="L250" s="46" t="str">
        <f t="shared" si="107"/>
        <v/>
      </c>
      <c r="M250" s="46" t="str">
        <f t="shared" si="108"/>
        <v/>
      </c>
      <c r="N250" s="46" t="str">
        <f t="shared" si="109"/>
        <v/>
      </c>
      <c r="O250" s="46" t="str">
        <f t="shared" si="110"/>
        <v/>
      </c>
      <c r="P250" s="46" t="str">
        <f t="shared" si="111"/>
        <v/>
      </c>
      <c r="Q250" s="46" t="str">
        <f t="shared" si="112"/>
        <v/>
      </c>
      <c r="R250" s="46" t="str">
        <f t="shared" si="113"/>
        <v/>
      </c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</row>
    <row r="251">
      <c r="A251" s="83"/>
      <c r="B251" s="28"/>
      <c r="C251" s="83"/>
      <c r="D251" s="37"/>
      <c r="E251" s="37"/>
      <c r="F251" s="84"/>
      <c r="G251" s="37"/>
      <c r="H251" s="59" t="str">
        <f t="shared" si="103"/>
        <v/>
      </c>
      <c r="I251" s="46" t="str">
        <f t="shared" si="104"/>
        <v/>
      </c>
      <c r="J251" s="46" t="str">
        <f t="shared" si="105"/>
        <v/>
      </c>
      <c r="K251" s="46" t="str">
        <f t="shared" si="106"/>
        <v/>
      </c>
      <c r="L251" s="46" t="str">
        <f t="shared" si="107"/>
        <v/>
      </c>
      <c r="M251" s="46" t="str">
        <f t="shared" si="108"/>
        <v/>
      </c>
      <c r="N251" s="46" t="str">
        <f t="shared" si="109"/>
        <v/>
      </c>
      <c r="O251" s="46" t="str">
        <f t="shared" si="110"/>
        <v/>
      </c>
      <c r="P251" s="46" t="str">
        <f t="shared" si="111"/>
        <v/>
      </c>
      <c r="Q251" s="46" t="str">
        <f t="shared" si="112"/>
        <v/>
      </c>
      <c r="R251" s="46" t="str">
        <f t="shared" si="113"/>
        <v/>
      </c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</row>
    <row r="252">
      <c r="A252" s="83"/>
      <c r="B252" s="28"/>
      <c r="C252" s="83"/>
      <c r="D252" s="37"/>
      <c r="E252" s="37"/>
      <c r="F252" s="84"/>
      <c r="G252" s="37"/>
      <c r="H252" s="59" t="str">
        <f t="shared" si="103"/>
        <v/>
      </c>
      <c r="I252" s="46" t="str">
        <f t="shared" si="104"/>
        <v/>
      </c>
      <c r="J252" s="46" t="str">
        <f t="shared" si="105"/>
        <v/>
      </c>
      <c r="K252" s="46" t="str">
        <f t="shared" si="106"/>
        <v/>
      </c>
      <c r="L252" s="46" t="str">
        <f t="shared" si="107"/>
        <v/>
      </c>
      <c r="M252" s="46" t="str">
        <f t="shared" si="108"/>
        <v/>
      </c>
      <c r="N252" s="46" t="str">
        <f t="shared" si="109"/>
        <v/>
      </c>
      <c r="O252" s="46" t="str">
        <f t="shared" si="110"/>
        <v/>
      </c>
      <c r="P252" s="46" t="str">
        <f t="shared" si="111"/>
        <v/>
      </c>
      <c r="Q252" s="46" t="str">
        <f t="shared" si="112"/>
        <v/>
      </c>
      <c r="R252" s="46" t="str">
        <f t="shared" si="113"/>
        <v/>
      </c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</row>
    <row r="253">
      <c r="A253" s="83"/>
      <c r="B253" s="28"/>
      <c r="C253" s="83"/>
      <c r="D253" s="37"/>
      <c r="E253" s="37"/>
      <c r="F253" s="84"/>
      <c r="G253" s="37"/>
      <c r="H253" s="59" t="str">
        <f t="shared" si="103"/>
        <v/>
      </c>
      <c r="I253" s="46" t="str">
        <f t="shared" si="104"/>
        <v/>
      </c>
      <c r="J253" s="46" t="str">
        <f t="shared" si="105"/>
        <v/>
      </c>
      <c r="K253" s="46" t="str">
        <f t="shared" si="106"/>
        <v/>
      </c>
      <c r="L253" s="46" t="str">
        <f t="shared" si="107"/>
        <v/>
      </c>
      <c r="M253" s="46" t="str">
        <f t="shared" si="108"/>
        <v/>
      </c>
      <c r="N253" s="46" t="str">
        <f t="shared" si="109"/>
        <v/>
      </c>
      <c r="O253" s="46" t="str">
        <f t="shared" si="110"/>
        <v/>
      </c>
      <c r="P253" s="46" t="str">
        <f t="shared" si="111"/>
        <v/>
      </c>
      <c r="Q253" s="46" t="str">
        <f t="shared" si="112"/>
        <v/>
      </c>
      <c r="R253" s="46" t="str">
        <f t="shared" si="113"/>
        <v/>
      </c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</row>
    <row r="254">
      <c r="A254" s="83"/>
      <c r="B254" s="28"/>
      <c r="C254" s="83"/>
      <c r="D254" s="37"/>
      <c r="E254" s="37"/>
      <c r="F254" s="84"/>
      <c r="G254" s="37"/>
      <c r="H254" s="59" t="str">
        <f t="shared" si="103"/>
        <v/>
      </c>
      <c r="I254" s="46" t="str">
        <f t="shared" si="104"/>
        <v/>
      </c>
      <c r="J254" s="46" t="str">
        <f t="shared" si="105"/>
        <v/>
      </c>
      <c r="K254" s="46" t="str">
        <f t="shared" si="106"/>
        <v/>
      </c>
      <c r="L254" s="46" t="str">
        <f t="shared" si="107"/>
        <v/>
      </c>
      <c r="M254" s="46" t="str">
        <f t="shared" si="108"/>
        <v/>
      </c>
      <c r="N254" s="46" t="str">
        <f t="shared" si="109"/>
        <v/>
      </c>
      <c r="O254" s="46" t="str">
        <f t="shared" si="110"/>
        <v/>
      </c>
      <c r="P254" s="46" t="str">
        <f t="shared" si="111"/>
        <v/>
      </c>
      <c r="Q254" s="46" t="str">
        <f t="shared" si="112"/>
        <v/>
      </c>
      <c r="R254" s="46" t="str">
        <f t="shared" si="113"/>
        <v/>
      </c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</row>
    <row r="255">
      <c r="A255" s="83"/>
      <c r="B255" s="28"/>
      <c r="C255" s="83"/>
      <c r="D255" s="37"/>
      <c r="E255" s="37"/>
      <c r="F255" s="84"/>
      <c r="G255" s="37"/>
      <c r="H255" s="59" t="str">
        <f t="shared" si="103"/>
        <v/>
      </c>
      <c r="I255" s="46" t="str">
        <f t="shared" si="104"/>
        <v/>
      </c>
      <c r="J255" s="46" t="str">
        <f t="shared" si="105"/>
        <v/>
      </c>
      <c r="K255" s="46" t="str">
        <f t="shared" si="106"/>
        <v/>
      </c>
      <c r="L255" s="46" t="str">
        <f t="shared" si="107"/>
        <v/>
      </c>
      <c r="M255" s="46" t="str">
        <f t="shared" si="108"/>
        <v/>
      </c>
      <c r="N255" s="46" t="str">
        <f t="shared" si="109"/>
        <v/>
      </c>
      <c r="O255" s="46" t="str">
        <f t="shared" si="110"/>
        <v/>
      </c>
      <c r="P255" s="46" t="str">
        <f t="shared" si="111"/>
        <v/>
      </c>
      <c r="Q255" s="46" t="str">
        <f t="shared" si="112"/>
        <v/>
      </c>
      <c r="R255" s="46" t="str">
        <f t="shared" si="113"/>
        <v/>
      </c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</row>
    <row r="256">
      <c r="A256" s="83"/>
      <c r="B256" s="28"/>
      <c r="C256" s="83"/>
      <c r="D256" s="37"/>
      <c r="E256" s="37"/>
      <c r="F256" s="84"/>
      <c r="G256" s="37"/>
      <c r="H256" s="59" t="str">
        <f t="shared" si="103"/>
        <v/>
      </c>
      <c r="I256" s="46" t="str">
        <f t="shared" si="104"/>
        <v/>
      </c>
      <c r="J256" s="46" t="str">
        <f t="shared" si="105"/>
        <v/>
      </c>
      <c r="K256" s="46" t="str">
        <f t="shared" si="106"/>
        <v/>
      </c>
      <c r="L256" s="46" t="str">
        <f t="shared" si="107"/>
        <v/>
      </c>
      <c r="M256" s="46" t="str">
        <f t="shared" si="108"/>
        <v/>
      </c>
      <c r="N256" s="46" t="str">
        <f t="shared" si="109"/>
        <v/>
      </c>
      <c r="O256" s="46" t="str">
        <f t="shared" si="110"/>
        <v/>
      </c>
      <c r="P256" s="46" t="str">
        <f t="shared" si="111"/>
        <v/>
      </c>
      <c r="Q256" s="46" t="str">
        <f t="shared" si="112"/>
        <v/>
      </c>
      <c r="R256" s="46" t="str">
        <f t="shared" si="113"/>
        <v/>
      </c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</row>
    <row r="257">
      <c r="A257" s="83"/>
      <c r="B257" s="28"/>
      <c r="C257" s="83"/>
      <c r="D257" s="37"/>
      <c r="E257" s="37"/>
      <c r="F257" s="84"/>
      <c r="G257" s="37"/>
      <c r="H257" s="59" t="str">
        <f t="shared" si="103"/>
        <v/>
      </c>
      <c r="I257" s="46" t="str">
        <f t="shared" si="104"/>
        <v/>
      </c>
      <c r="J257" s="46" t="str">
        <f t="shared" si="105"/>
        <v/>
      </c>
      <c r="K257" s="46" t="str">
        <f t="shared" si="106"/>
        <v/>
      </c>
      <c r="L257" s="46" t="str">
        <f t="shared" si="107"/>
        <v/>
      </c>
      <c r="M257" s="46" t="str">
        <f t="shared" si="108"/>
        <v/>
      </c>
      <c r="N257" s="46" t="str">
        <f t="shared" si="109"/>
        <v/>
      </c>
      <c r="O257" s="46" t="str">
        <f t="shared" si="110"/>
        <v/>
      </c>
      <c r="P257" s="46" t="str">
        <f t="shared" si="111"/>
        <v/>
      </c>
      <c r="Q257" s="46" t="str">
        <f t="shared" si="112"/>
        <v/>
      </c>
      <c r="R257" s="46" t="str">
        <f t="shared" si="113"/>
        <v/>
      </c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</row>
    <row r="258">
      <c r="A258" s="83"/>
      <c r="B258" s="28"/>
      <c r="C258" s="83"/>
      <c r="D258" s="37"/>
      <c r="E258" s="37"/>
      <c r="F258" s="84"/>
      <c r="G258" s="37"/>
      <c r="H258" s="59" t="str">
        <f t="shared" si="103"/>
        <v/>
      </c>
      <c r="I258" s="46" t="str">
        <f t="shared" si="104"/>
        <v/>
      </c>
      <c r="J258" s="46" t="str">
        <f t="shared" si="105"/>
        <v/>
      </c>
      <c r="K258" s="46" t="str">
        <f t="shared" si="106"/>
        <v/>
      </c>
      <c r="L258" s="46" t="str">
        <f t="shared" si="107"/>
        <v/>
      </c>
      <c r="M258" s="46" t="str">
        <f t="shared" si="108"/>
        <v/>
      </c>
      <c r="N258" s="46" t="str">
        <f t="shared" si="109"/>
        <v/>
      </c>
      <c r="O258" s="46" t="str">
        <f t="shared" si="110"/>
        <v/>
      </c>
      <c r="P258" s="46" t="str">
        <f t="shared" si="111"/>
        <v/>
      </c>
      <c r="Q258" s="46" t="str">
        <f t="shared" si="112"/>
        <v/>
      </c>
      <c r="R258" s="46" t="str">
        <f t="shared" si="113"/>
        <v/>
      </c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</row>
    <row r="259">
      <c r="A259" s="83"/>
      <c r="B259" s="28"/>
      <c r="C259" s="83"/>
      <c r="D259" s="37"/>
      <c r="E259" s="37"/>
      <c r="F259" s="84"/>
      <c r="G259" s="37"/>
      <c r="H259" s="59" t="str">
        <f t="shared" si="103"/>
        <v/>
      </c>
      <c r="I259" s="46" t="str">
        <f t="shared" si="104"/>
        <v/>
      </c>
      <c r="J259" s="46" t="str">
        <f t="shared" si="105"/>
        <v/>
      </c>
      <c r="K259" s="46" t="str">
        <f t="shared" si="106"/>
        <v/>
      </c>
      <c r="L259" s="46" t="str">
        <f t="shared" si="107"/>
        <v/>
      </c>
      <c r="M259" s="46" t="str">
        <f t="shared" si="108"/>
        <v/>
      </c>
      <c r="N259" s="46" t="str">
        <f t="shared" si="109"/>
        <v/>
      </c>
      <c r="O259" s="46" t="str">
        <f t="shared" si="110"/>
        <v/>
      </c>
      <c r="P259" s="46" t="str">
        <f t="shared" si="111"/>
        <v/>
      </c>
      <c r="Q259" s="46" t="str">
        <f t="shared" si="112"/>
        <v/>
      </c>
      <c r="R259" s="46" t="str">
        <f t="shared" si="113"/>
        <v/>
      </c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</row>
    <row r="260">
      <c r="A260" s="83"/>
      <c r="B260" s="28"/>
      <c r="C260" s="83"/>
      <c r="D260" s="37"/>
      <c r="E260" s="37"/>
      <c r="F260" s="84"/>
      <c r="G260" s="37"/>
      <c r="H260" s="59" t="str">
        <f t="shared" si="103"/>
        <v/>
      </c>
      <c r="I260" s="46" t="str">
        <f t="shared" si="104"/>
        <v/>
      </c>
      <c r="J260" s="46" t="str">
        <f t="shared" si="105"/>
        <v/>
      </c>
      <c r="K260" s="46" t="str">
        <f t="shared" si="106"/>
        <v/>
      </c>
      <c r="L260" s="46" t="str">
        <f t="shared" si="107"/>
        <v/>
      </c>
      <c r="M260" s="46" t="str">
        <f t="shared" si="108"/>
        <v/>
      </c>
      <c r="N260" s="46" t="str">
        <f t="shared" si="109"/>
        <v/>
      </c>
      <c r="O260" s="46" t="str">
        <f t="shared" si="110"/>
        <v/>
      </c>
      <c r="P260" s="46" t="str">
        <f t="shared" si="111"/>
        <v/>
      </c>
      <c r="Q260" s="46" t="str">
        <f t="shared" si="112"/>
        <v/>
      </c>
      <c r="R260" s="46" t="str">
        <f t="shared" si="113"/>
        <v/>
      </c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</row>
    <row r="261">
      <c r="A261" s="83"/>
      <c r="B261" s="28"/>
      <c r="C261" s="83"/>
      <c r="D261" s="37"/>
      <c r="E261" s="37"/>
      <c r="F261" s="84"/>
      <c r="G261" s="37"/>
      <c r="H261" s="59" t="str">
        <f t="shared" si="103"/>
        <v/>
      </c>
      <c r="I261" s="46" t="str">
        <f t="shared" si="104"/>
        <v/>
      </c>
      <c r="J261" s="46" t="str">
        <f t="shared" si="105"/>
        <v/>
      </c>
      <c r="K261" s="46" t="str">
        <f t="shared" si="106"/>
        <v/>
      </c>
      <c r="L261" s="46" t="str">
        <f t="shared" si="107"/>
        <v/>
      </c>
      <c r="M261" s="46" t="str">
        <f t="shared" si="108"/>
        <v/>
      </c>
      <c r="N261" s="46" t="str">
        <f t="shared" si="109"/>
        <v/>
      </c>
      <c r="O261" s="46" t="str">
        <f t="shared" si="110"/>
        <v/>
      </c>
      <c r="P261" s="46" t="str">
        <f t="shared" si="111"/>
        <v/>
      </c>
      <c r="Q261" s="46" t="str">
        <f t="shared" si="112"/>
        <v/>
      </c>
      <c r="R261" s="46" t="str">
        <f t="shared" si="113"/>
        <v/>
      </c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</row>
    <row r="262">
      <c r="A262" s="83"/>
      <c r="B262" s="28"/>
      <c r="C262" s="83"/>
      <c r="D262" s="37"/>
      <c r="E262" s="37"/>
      <c r="F262" s="84"/>
      <c r="G262" s="37"/>
      <c r="H262" s="59" t="str">
        <f t="shared" si="103"/>
        <v/>
      </c>
      <c r="I262" s="46" t="str">
        <f t="shared" si="104"/>
        <v/>
      </c>
      <c r="J262" s="46" t="str">
        <f t="shared" si="105"/>
        <v/>
      </c>
      <c r="K262" s="46" t="str">
        <f t="shared" si="106"/>
        <v/>
      </c>
      <c r="L262" s="46" t="str">
        <f t="shared" si="107"/>
        <v/>
      </c>
      <c r="M262" s="46" t="str">
        <f t="shared" si="108"/>
        <v/>
      </c>
      <c r="N262" s="46" t="str">
        <f t="shared" si="109"/>
        <v/>
      </c>
      <c r="O262" s="46" t="str">
        <f t="shared" si="110"/>
        <v/>
      </c>
      <c r="P262" s="46" t="str">
        <f t="shared" si="111"/>
        <v/>
      </c>
      <c r="Q262" s="46" t="str">
        <f t="shared" si="112"/>
        <v/>
      </c>
      <c r="R262" s="46" t="str">
        <f t="shared" si="113"/>
        <v/>
      </c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</row>
    <row r="263">
      <c r="A263" s="83"/>
      <c r="B263" s="28"/>
      <c r="C263" s="83"/>
      <c r="D263" s="37"/>
      <c r="E263" s="37"/>
      <c r="F263" s="84"/>
      <c r="G263" s="37"/>
      <c r="H263" s="59" t="str">
        <f t="shared" si="103"/>
        <v/>
      </c>
      <c r="I263" s="46" t="str">
        <f t="shared" si="104"/>
        <v/>
      </c>
      <c r="J263" s="46" t="str">
        <f t="shared" si="105"/>
        <v/>
      </c>
      <c r="K263" s="46" t="str">
        <f t="shared" si="106"/>
        <v/>
      </c>
      <c r="L263" s="46" t="str">
        <f t="shared" si="107"/>
        <v/>
      </c>
      <c r="M263" s="46" t="str">
        <f t="shared" si="108"/>
        <v/>
      </c>
      <c r="N263" s="46" t="str">
        <f t="shared" si="109"/>
        <v/>
      </c>
      <c r="O263" s="46" t="str">
        <f t="shared" si="110"/>
        <v/>
      </c>
      <c r="P263" s="46" t="str">
        <f t="shared" si="111"/>
        <v/>
      </c>
      <c r="Q263" s="46" t="str">
        <f t="shared" si="112"/>
        <v/>
      </c>
      <c r="R263" s="46" t="str">
        <f t="shared" si="113"/>
        <v/>
      </c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</row>
    <row r="264">
      <c r="A264" s="83"/>
      <c r="B264" s="28"/>
      <c r="C264" s="83"/>
      <c r="D264" s="37"/>
      <c r="E264" s="37"/>
      <c r="F264" s="84"/>
      <c r="G264" s="37"/>
      <c r="H264" s="59" t="str">
        <f t="shared" si="103"/>
        <v/>
      </c>
      <c r="I264" s="46" t="str">
        <f t="shared" si="104"/>
        <v/>
      </c>
      <c r="J264" s="46" t="str">
        <f t="shared" si="105"/>
        <v/>
      </c>
      <c r="K264" s="46" t="str">
        <f t="shared" si="106"/>
        <v/>
      </c>
      <c r="L264" s="46" t="str">
        <f t="shared" si="107"/>
        <v/>
      </c>
      <c r="M264" s="46" t="str">
        <f t="shared" si="108"/>
        <v/>
      </c>
      <c r="N264" s="46" t="str">
        <f t="shared" si="109"/>
        <v/>
      </c>
      <c r="O264" s="46" t="str">
        <f t="shared" si="110"/>
        <v/>
      </c>
      <c r="P264" s="46" t="str">
        <f t="shared" si="111"/>
        <v/>
      </c>
      <c r="Q264" s="46" t="str">
        <f t="shared" si="112"/>
        <v/>
      </c>
      <c r="R264" s="46" t="str">
        <f t="shared" si="113"/>
        <v/>
      </c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</row>
    <row r="265">
      <c r="A265" s="83"/>
      <c r="B265" s="28"/>
      <c r="C265" s="83"/>
      <c r="D265" s="37"/>
      <c r="E265" s="37"/>
      <c r="F265" s="84"/>
      <c r="G265" s="37"/>
      <c r="H265" s="59" t="str">
        <f t="shared" si="103"/>
        <v/>
      </c>
      <c r="I265" s="46" t="str">
        <f t="shared" si="104"/>
        <v/>
      </c>
      <c r="J265" s="46" t="str">
        <f t="shared" si="105"/>
        <v/>
      </c>
      <c r="K265" s="46" t="str">
        <f t="shared" si="106"/>
        <v/>
      </c>
      <c r="L265" s="46" t="str">
        <f t="shared" si="107"/>
        <v/>
      </c>
      <c r="M265" s="46" t="str">
        <f t="shared" si="108"/>
        <v/>
      </c>
      <c r="N265" s="46" t="str">
        <f t="shared" si="109"/>
        <v/>
      </c>
      <c r="O265" s="46" t="str">
        <f t="shared" si="110"/>
        <v/>
      </c>
      <c r="P265" s="46" t="str">
        <f t="shared" si="111"/>
        <v/>
      </c>
      <c r="Q265" s="46" t="str">
        <f t="shared" si="112"/>
        <v/>
      </c>
      <c r="R265" s="46" t="str">
        <f t="shared" si="113"/>
        <v/>
      </c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</row>
    <row r="266">
      <c r="A266" s="83"/>
      <c r="B266" s="28"/>
      <c r="C266" s="83"/>
      <c r="D266" s="37"/>
      <c r="E266" s="37"/>
      <c r="F266" s="84"/>
      <c r="G266" s="37"/>
      <c r="H266" s="59" t="str">
        <f t="shared" si="103"/>
        <v/>
      </c>
      <c r="I266" s="46" t="str">
        <f t="shared" si="104"/>
        <v/>
      </c>
      <c r="J266" s="46" t="str">
        <f t="shared" si="105"/>
        <v/>
      </c>
      <c r="K266" s="46" t="str">
        <f t="shared" si="106"/>
        <v/>
      </c>
      <c r="L266" s="46" t="str">
        <f t="shared" si="107"/>
        <v/>
      </c>
      <c r="M266" s="46" t="str">
        <f t="shared" si="108"/>
        <v/>
      </c>
      <c r="N266" s="46" t="str">
        <f t="shared" si="109"/>
        <v/>
      </c>
      <c r="O266" s="46" t="str">
        <f t="shared" si="110"/>
        <v/>
      </c>
      <c r="P266" s="46" t="str">
        <f t="shared" si="111"/>
        <v/>
      </c>
      <c r="Q266" s="46" t="str">
        <f t="shared" si="112"/>
        <v/>
      </c>
      <c r="R266" s="46" t="str">
        <f t="shared" si="113"/>
        <v/>
      </c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</row>
    <row r="267">
      <c r="A267" s="83"/>
      <c r="B267" s="28"/>
      <c r="C267" s="83"/>
      <c r="D267" s="37"/>
      <c r="E267" s="37"/>
      <c r="F267" s="84"/>
      <c r="G267" s="37"/>
      <c r="H267" s="59" t="str">
        <f t="shared" si="103"/>
        <v/>
      </c>
      <c r="I267" s="46" t="str">
        <f t="shared" si="104"/>
        <v/>
      </c>
      <c r="J267" s="46" t="str">
        <f t="shared" si="105"/>
        <v/>
      </c>
      <c r="K267" s="46" t="str">
        <f t="shared" si="106"/>
        <v/>
      </c>
      <c r="L267" s="46" t="str">
        <f t="shared" si="107"/>
        <v/>
      </c>
      <c r="M267" s="46" t="str">
        <f t="shared" si="108"/>
        <v/>
      </c>
      <c r="N267" s="46" t="str">
        <f t="shared" si="109"/>
        <v/>
      </c>
      <c r="O267" s="46" t="str">
        <f t="shared" si="110"/>
        <v/>
      </c>
      <c r="P267" s="46" t="str">
        <f t="shared" si="111"/>
        <v/>
      </c>
      <c r="Q267" s="46" t="str">
        <f t="shared" si="112"/>
        <v/>
      </c>
      <c r="R267" s="46" t="str">
        <f t="shared" si="113"/>
        <v/>
      </c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</row>
    <row r="268">
      <c r="A268" s="83"/>
      <c r="B268" s="28"/>
      <c r="C268" s="83"/>
      <c r="D268" s="37"/>
      <c r="E268" s="37"/>
      <c r="F268" s="84"/>
      <c r="G268" s="37"/>
      <c r="H268" s="59" t="str">
        <f t="shared" si="103"/>
        <v/>
      </c>
      <c r="I268" s="46" t="str">
        <f t="shared" si="104"/>
        <v/>
      </c>
      <c r="J268" s="46" t="str">
        <f t="shared" si="105"/>
        <v/>
      </c>
      <c r="K268" s="46" t="str">
        <f t="shared" si="106"/>
        <v/>
      </c>
      <c r="L268" s="46" t="str">
        <f t="shared" si="107"/>
        <v/>
      </c>
      <c r="M268" s="46" t="str">
        <f t="shared" si="108"/>
        <v/>
      </c>
      <c r="N268" s="46" t="str">
        <f t="shared" si="109"/>
        <v/>
      </c>
      <c r="O268" s="46" t="str">
        <f t="shared" si="110"/>
        <v/>
      </c>
      <c r="P268" s="46" t="str">
        <f t="shared" si="111"/>
        <v/>
      </c>
      <c r="Q268" s="46" t="str">
        <f t="shared" si="112"/>
        <v/>
      </c>
      <c r="R268" s="46" t="str">
        <f t="shared" si="113"/>
        <v/>
      </c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</row>
    <row r="269">
      <c r="A269" s="83"/>
      <c r="B269" s="28"/>
      <c r="C269" s="83"/>
      <c r="D269" s="37"/>
      <c r="E269" s="37"/>
      <c r="F269" s="84"/>
      <c r="G269" s="37"/>
      <c r="H269" s="59" t="str">
        <f t="shared" si="103"/>
        <v/>
      </c>
      <c r="I269" s="46" t="str">
        <f t="shared" si="104"/>
        <v/>
      </c>
      <c r="J269" s="46" t="str">
        <f t="shared" si="105"/>
        <v/>
      </c>
      <c r="K269" s="46" t="str">
        <f t="shared" si="106"/>
        <v/>
      </c>
      <c r="L269" s="46" t="str">
        <f t="shared" si="107"/>
        <v/>
      </c>
      <c r="M269" s="46" t="str">
        <f t="shared" si="108"/>
        <v/>
      </c>
      <c r="N269" s="46" t="str">
        <f t="shared" si="109"/>
        <v/>
      </c>
      <c r="O269" s="46" t="str">
        <f t="shared" si="110"/>
        <v/>
      </c>
      <c r="P269" s="46" t="str">
        <f t="shared" si="111"/>
        <v/>
      </c>
      <c r="Q269" s="46" t="str">
        <f t="shared" si="112"/>
        <v/>
      </c>
      <c r="R269" s="46" t="str">
        <f t="shared" si="113"/>
        <v/>
      </c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</row>
    <row r="270">
      <c r="A270" s="83"/>
      <c r="B270" s="28"/>
      <c r="C270" s="83"/>
      <c r="D270" s="37"/>
      <c r="E270" s="37"/>
      <c r="F270" s="84"/>
      <c r="G270" s="37"/>
      <c r="H270" s="59" t="str">
        <f t="shared" si="103"/>
        <v/>
      </c>
      <c r="I270" s="46" t="str">
        <f t="shared" si="104"/>
        <v/>
      </c>
      <c r="J270" s="46" t="str">
        <f t="shared" si="105"/>
        <v/>
      </c>
      <c r="K270" s="46" t="str">
        <f t="shared" si="106"/>
        <v/>
      </c>
      <c r="L270" s="46" t="str">
        <f t="shared" si="107"/>
        <v/>
      </c>
      <c r="M270" s="46" t="str">
        <f t="shared" si="108"/>
        <v/>
      </c>
      <c r="N270" s="46" t="str">
        <f t="shared" si="109"/>
        <v/>
      </c>
      <c r="O270" s="46" t="str">
        <f t="shared" si="110"/>
        <v/>
      </c>
      <c r="P270" s="46" t="str">
        <f t="shared" si="111"/>
        <v/>
      </c>
      <c r="Q270" s="46" t="str">
        <f t="shared" si="112"/>
        <v/>
      </c>
      <c r="R270" s="46" t="str">
        <f t="shared" si="113"/>
        <v/>
      </c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</row>
    <row r="271">
      <c r="A271" s="83"/>
      <c r="B271" s="28"/>
      <c r="C271" s="83"/>
      <c r="D271" s="37"/>
      <c r="E271" s="37"/>
      <c r="F271" s="84"/>
      <c r="G271" s="37"/>
      <c r="H271" s="59" t="str">
        <f t="shared" si="103"/>
        <v/>
      </c>
      <c r="I271" s="46" t="str">
        <f t="shared" si="104"/>
        <v/>
      </c>
      <c r="J271" s="46" t="str">
        <f t="shared" si="105"/>
        <v/>
      </c>
      <c r="K271" s="46" t="str">
        <f t="shared" si="106"/>
        <v/>
      </c>
      <c r="L271" s="46" t="str">
        <f t="shared" si="107"/>
        <v/>
      </c>
      <c r="M271" s="46" t="str">
        <f t="shared" si="108"/>
        <v/>
      </c>
      <c r="N271" s="46" t="str">
        <f t="shared" si="109"/>
        <v/>
      </c>
      <c r="O271" s="46" t="str">
        <f t="shared" si="110"/>
        <v/>
      </c>
      <c r="P271" s="46" t="str">
        <f t="shared" si="111"/>
        <v/>
      </c>
      <c r="Q271" s="46" t="str">
        <f t="shared" si="112"/>
        <v/>
      </c>
      <c r="R271" s="46" t="str">
        <f t="shared" si="113"/>
        <v/>
      </c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</row>
    <row r="272">
      <c r="A272" s="83"/>
      <c r="B272" s="28"/>
      <c r="C272" s="83"/>
      <c r="D272" s="37"/>
      <c r="E272" s="37"/>
      <c r="F272" s="84"/>
      <c r="G272" s="37"/>
      <c r="H272" s="59" t="str">
        <f t="shared" si="103"/>
        <v/>
      </c>
      <c r="I272" s="46" t="str">
        <f t="shared" si="104"/>
        <v/>
      </c>
      <c r="J272" s="46" t="str">
        <f t="shared" si="105"/>
        <v/>
      </c>
      <c r="K272" s="46" t="str">
        <f t="shared" si="106"/>
        <v/>
      </c>
      <c r="L272" s="46" t="str">
        <f t="shared" si="107"/>
        <v/>
      </c>
      <c r="M272" s="46" t="str">
        <f t="shared" si="108"/>
        <v/>
      </c>
      <c r="N272" s="46" t="str">
        <f t="shared" si="109"/>
        <v/>
      </c>
      <c r="O272" s="46" t="str">
        <f t="shared" si="110"/>
        <v/>
      </c>
      <c r="P272" s="46" t="str">
        <f t="shared" si="111"/>
        <v/>
      </c>
      <c r="Q272" s="46" t="str">
        <f t="shared" si="112"/>
        <v/>
      </c>
      <c r="R272" s="46" t="str">
        <f t="shared" si="113"/>
        <v/>
      </c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</row>
    <row r="273">
      <c r="A273" s="83"/>
      <c r="B273" s="28"/>
      <c r="C273" s="83"/>
      <c r="D273" s="37"/>
      <c r="E273" s="37"/>
      <c r="F273" s="84"/>
      <c r="G273" s="37"/>
      <c r="H273" s="59" t="str">
        <f t="shared" si="103"/>
        <v/>
      </c>
      <c r="I273" s="46" t="str">
        <f t="shared" si="104"/>
        <v/>
      </c>
      <c r="J273" s="46" t="str">
        <f t="shared" si="105"/>
        <v/>
      </c>
      <c r="K273" s="46" t="str">
        <f t="shared" si="106"/>
        <v/>
      </c>
      <c r="L273" s="46" t="str">
        <f t="shared" si="107"/>
        <v/>
      </c>
      <c r="M273" s="46" t="str">
        <f t="shared" si="108"/>
        <v/>
      </c>
      <c r="N273" s="46" t="str">
        <f t="shared" si="109"/>
        <v/>
      </c>
      <c r="O273" s="46" t="str">
        <f t="shared" si="110"/>
        <v/>
      </c>
      <c r="P273" s="46" t="str">
        <f t="shared" si="111"/>
        <v/>
      </c>
      <c r="Q273" s="46" t="str">
        <f t="shared" si="112"/>
        <v/>
      </c>
      <c r="R273" s="46" t="str">
        <f t="shared" si="113"/>
        <v/>
      </c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</row>
    <row r="274">
      <c r="A274" s="83"/>
      <c r="B274" s="28"/>
      <c r="C274" s="83"/>
      <c r="D274" s="37"/>
      <c r="E274" s="37"/>
      <c r="F274" s="84"/>
      <c r="G274" s="37"/>
      <c r="H274" s="59" t="str">
        <f t="shared" si="103"/>
        <v/>
      </c>
      <c r="I274" s="46" t="str">
        <f t="shared" si="104"/>
        <v/>
      </c>
      <c r="J274" s="46" t="str">
        <f t="shared" si="105"/>
        <v/>
      </c>
      <c r="K274" s="46" t="str">
        <f t="shared" si="106"/>
        <v/>
      </c>
      <c r="L274" s="46" t="str">
        <f t="shared" si="107"/>
        <v/>
      </c>
      <c r="M274" s="46" t="str">
        <f t="shared" si="108"/>
        <v/>
      </c>
      <c r="N274" s="46" t="str">
        <f t="shared" si="109"/>
        <v/>
      </c>
      <c r="O274" s="46" t="str">
        <f t="shared" si="110"/>
        <v/>
      </c>
      <c r="P274" s="46" t="str">
        <f t="shared" si="111"/>
        <v/>
      </c>
      <c r="Q274" s="46" t="str">
        <f t="shared" si="112"/>
        <v/>
      </c>
      <c r="R274" s="46" t="str">
        <f t="shared" si="113"/>
        <v/>
      </c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</row>
    <row r="275">
      <c r="A275" s="83"/>
      <c r="B275" s="28"/>
      <c r="C275" s="83"/>
      <c r="D275" s="37"/>
      <c r="E275" s="37"/>
      <c r="F275" s="84"/>
      <c r="G275" s="37"/>
      <c r="H275" s="59" t="str">
        <f t="shared" si="103"/>
        <v/>
      </c>
      <c r="I275" s="46" t="str">
        <f t="shared" si="104"/>
        <v/>
      </c>
      <c r="J275" s="46" t="str">
        <f t="shared" si="105"/>
        <v/>
      </c>
      <c r="K275" s="46" t="str">
        <f t="shared" si="106"/>
        <v/>
      </c>
      <c r="L275" s="46" t="str">
        <f t="shared" si="107"/>
        <v/>
      </c>
      <c r="M275" s="46" t="str">
        <f t="shared" si="108"/>
        <v/>
      </c>
      <c r="N275" s="46" t="str">
        <f t="shared" si="109"/>
        <v/>
      </c>
      <c r="O275" s="46" t="str">
        <f t="shared" si="110"/>
        <v/>
      </c>
      <c r="P275" s="46" t="str">
        <f t="shared" si="111"/>
        <v/>
      </c>
      <c r="Q275" s="46" t="str">
        <f t="shared" si="112"/>
        <v/>
      </c>
      <c r="R275" s="46" t="str">
        <f t="shared" si="113"/>
        <v/>
      </c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</row>
    <row r="276">
      <c r="A276" s="83"/>
      <c r="B276" s="28"/>
      <c r="C276" s="83"/>
      <c r="D276" s="37"/>
      <c r="E276" s="37"/>
      <c r="F276" s="84"/>
      <c r="G276" s="37"/>
      <c r="H276" s="59" t="str">
        <f t="shared" si="103"/>
        <v/>
      </c>
      <c r="I276" s="46" t="str">
        <f t="shared" si="104"/>
        <v/>
      </c>
      <c r="J276" s="46" t="str">
        <f t="shared" si="105"/>
        <v/>
      </c>
      <c r="K276" s="46" t="str">
        <f t="shared" si="106"/>
        <v/>
      </c>
      <c r="L276" s="46" t="str">
        <f t="shared" si="107"/>
        <v/>
      </c>
      <c r="M276" s="46" t="str">
        <f t="shared" si="108"/>
        <v/>
      </c>
      <c r="N276" s="46" t="str">
        <f t="shared" si="109"/>
        <v/>
      </c>
      <c r="O276" s="46" t="str">
        <f t="shared" si="110"/>
        <v/>
      </c>
      <c r="P276" s="46" t="str">
        <f t="shared" si="111"/>
        <v/>
      </c>
      <c r="Q276" s="46" t="str">
        <f t="shared" si="112"/>
        <v/>
      </c>
      <c r="R276" s="46" t="str">
        <f t="shared" si="113"/>
        <v/>
      </c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</row>
    <row r="277">
      <c r="A277" s="83"/>
      <c r="B277" s="28"/>
      <c r="C277" s="83"/>
      <c r="D277" s="37"/>
      <c r="E277" s="37"/>
      <c r="F277" s="84"/>
      <c r="G277" s="37"/>
      <c r="H277" s="59" t="str">
        <f t="shared" si="103"/>
        <v/>
      </c>
      <c r="I277" s="46" t="str">
        <f t="shared" si="104"/>
        <v/>
      </c>
      <c r="J277" s="46" t="str">
        <f t="shared" si="105"/>
        <v/>
      </c>
      <c r="K277" s="46" t="str">
        <f t="shared" si="106"/>
        <v/>
      </c>
      <c r="L277" s="46" t="str">
        <f t="shared" si="107"/>
        <v/>
      </c>
      <c r="M277" s="46" t="str">
        <f t="shared" si="108"/>
        <v/>
      </c>
      <c r="N277" s="46" t="str">
        <f t="shared" si="109"/>
        <v/>
      </c>
      <c r="O277" s="46" t="str">
        <f t="shared" si="110"/>
        <v/>
      </c>
      <c r="P277" s="46" t="str">
        <f t="shared" si="111"/>
        <v/>
      </c>
      <c r="Q277" s="46" t="str">
        <f t="shared" si="112"/>
        <v/>
      </c>
      <c r="R277" s="46" t="str">
        <f t="shared" si="113"/>
        <v/>
      </c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</row>
    <row r="278">
      <c r="A278" s="83"/>
      <c r="B278" s="28"/>
      <c r="C278" s="83"/>
      <c r="D278" s="37"/>
      <c r="E278" s="37"/>
      <c r="F278" s="84"/>
      <c r="G278" s="37"/>
      <c r="H278" s="59" t="str">
        <f t="shared" si="103"/>
        <v/>
      </c>
      <c r="I278" s="46" t="str">
        <f t="shared" si="104"/>
        <v/>
      </c>
      <c r="J278" s="46" t="str">
        <f t="shared" si="105"/>
        <v/>
      </c>
      <c r="K278" s="46" t="str">
        <f t="shared" si="106"/>
        <v/>
      </c>
      <c r="L278" s="46" t="str">
        <f t="shared" si="107"/>
        <v/>
      </c>
      <c r="M278" s="46" t="str">
        <f t="shared" si="108"/>
        <v/>
      </c>
      <c r="N278" s="46" t="str">
        <f t="shared" si="109"/>
        <v/>
      </c>
      <c r="O278" s="46" t="str">
        <f t="shared" si="110"/>
        <v/>
      </c>
      <c r="P278" s="46" t="str">
        <f t="shared" si="111"/>
        <v/>
      </c>
      <c r="Q278" s="46" t="str">
        <f t="shared" si="112"/>
        <v/>
      </c>
      <c r="R278" s="46" t="str">
        <f t="shared" si="113"/>
        <v/>
      </c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</row>
    <row r="279">
      <c r="A279" s="83"/>
      <c r="B279" s="28"/>
      <c r="C279" s="83"/>
      <c r="D279" s="37"/>
      <c r="E279" s="37"/>
      <c r="F279" s="84"/>
      <c r="G279" s="37"/>
      <c r="H279" s="59" t="str">
        <f t="shared" si="103"/>
        <v/>
      </c>
      <c r="I279" s="46" t="str">
        <f t="shared" si="104"/>
        <v/>
      </c>
      <c r="J279" s="46" t="str">
        <f t="shared" si="105"/>
        <v/>
      </c>
      <c r="K279" s="46" t="str">
        <f t="shared" si="106"/>
        <v/>
      </c>
      <c r="L279" s="46" t="str">
        <f t="shared" si="107"/>
        <v/>
      </c>
      <c r="M279" s="46" t="str">
        <f t="shared" si="108"/>
        <v/>
      </c>
      <c r="N279" s="46" t="str">
        <f t="shared" si="109"/>
        <v/>
      </c>
      <c r="O279" s="46" t="str">
        <f t="shared" si="110"/>
        <v/>
      </c>
      <c r="P279" s="46" t="str">
        <f t="shared" si="111"/>
        <v/>
      </c>
      <c r="Q279" s="46" t="str">
        <f t="shared" si="112"/>
        <v/>
      </c>
      <c r="R279" s="46" t="str">
        <f t="shared" si="113"/>
        <v/>
      </c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</row>
    <row r="280">
      <c r="A280" s="83"/>
      <c r="B280" s="28"/>
      <c r="C280" s="83"/>
      <c r="D280" s="37"/>
      <c r="E280" s="37"/>
      <c r="F280" s="84"/>
      <c r="G280" s="37"/>
      <c r="H280" s="59" t="str">
        <f t="shared" si="103"/>
        <v/>
      </c>
      <c r="I280" s="46" t="str">
        <f t="shared" si="104"/>
        <v/>
      </c>
      <c r="J280" s="46" t="str">
        <f t="shared" si="105"/>
        <v/>
      </c>
      <c r="K280" s="46" t="str">
        <f t="shared" si="106"/>
        <v/>
      </c>
      <c r="L280" s="46" t="str">
        <f t="shared" si="107"/>
        <v/>
      </c>
      <c r="M280" s="46" t="str">
        <f t="shared" si="108"/>
        <v/>
      </c>
      <c r="N280" s="46" t="str">
        <f t="shared" si="109"/>
        <v/>
      </c>
      <c r="O280" s="46" t="str">
        <f t="shared" si="110"/>
        <v/>
      </c>
      <c r="P280" s="46" t="str">
        <f t="shared" si="111"/>
        <v/>
      </c>
      <c r="Q280" s="46" t="str">
        <f t="shared" si="112"/>
        <v/>
      </c>
      <c r="R280" s="46" t="str">
        <f t="shared" si="113"/>
        <v/>
      </c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</row>
    <row r="281">
      <c r="A281" s="83"/>
      <c r="B281" s="28"/>
      <c r="C281" s="83"/>
      <c r="D281" s="37"/>
      <c r="E281" s="37"/>
      <c r="F281" s="84"/>
      <c r="G281" s="37"/>
      <c r="H281" s="59" t="str">
        <f t="shared" si="103"/>
        <v/>
      </c>
      <c r="I281" s="46" t="str">
        <f t="shared" si="104"/>
        <v/>
      </c>
      <c r="J281" s="46" t="str">
        <f t="shared" si="105"/>
        <v/>
      </c>
      <c r="K281" s="46" t="str">
        <f t="shared" si="106"/>
        <v/>
      </c>
      <c r="L281" s="46" t="str">
        <f t="shared" si="107"/>
        <v/>
      </c>
      <c r="M281" s="46" t="str">
        <f t="shared" si="108"/>
        <v/>
      </c>
      <c r="N281" s="46" t="str">
        <f t="shared" si="109"/>
        <v/>
      </c>
      <c r="O281" s="46" t="str">
        <f t="shared" si="110"/>
        <v/>
      </c>
      <c r="P281" s="46" t="str">
        <f t="shared" si="111"/>
        <v/>
      </c>
      <c r="Q281" s="46" t="str">
        <f t="shared" si="112"/>
        <v/>
      </c>
      <c r="R281" s="46" t="str">
        <f t="shared" si="113"/>
        <v/>
      </c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</row>
    <row r="282">
      <c r="A282" s="83"/>
      <c r="B282" s="28"/>
      <c r="C282" s="83"/>
      <c r="D282" s="37"/>
      <c r="E282" s="37"/>
      <c r="F282" s="84"/>
      <c r="G282" s="37"/>
      <c r="H282" s="59" t="str">
        <f t="shared" si="103"/>
        <v/>
      </c>
      <c r="I282" s="46" t="str">
        <f t="shared" si="104"/>
        <v/>
      </c>
      <c r="J282" s="46" t="str">
        <f t="shared" si="105"/>
        <v/>
      </c>
      <c r="K282" s="46" t="str">
        <f t="shared" si="106"/>
        <v/>
      </c>
      <c r="L282" s="46" t="str">
        <f t="shared" si="107"/>
        <v/>
      </c>
      <c r="M282" s="46" t="str">
        <f t="shared" si="108"/>
        <v/>
      </c>
      <c r="N282" s="46" t="str">
        <f t="shared" si="109"/>
        <v/>
      </c>
      <c r="O282" s="46" t="str">
        <f t="shared" si="110"/>
        <v/>
      </c>
      <c r="P282" s="46" t="str">
        <f t="shared" si="111"/>
        <v/>
      </c>
      <c r="Q282" s="46" t="str">
        <f t="shared" si="112"/>
        <v/>
      </c>
      <c r="R282" s="46" t="str">
        <f t="shared" si="113"/>
        <v/>
      </c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</row>
    <row r="283">
      <c r="A283" s="83"/>
      <c r="B283" s="28"/>
      <c r="C283" s="83"/>
      <c r="D283" s="37"/>
      <c r="E283" s="37"/>
      <c r="F283" s="84"/>
      <c r="G283" s="37"/>
      <c r="H283" s="59" t="str">
        <f t="shared" si="103"/>
        <v/>
      </c>
      <c r="I283" s="46" t="str">
        <f t="shared" si="104"/>
        <v/>
      </c>
      <c r="J283" s="46" t="str">
        <f t="shared" si="105"/>
        <v/>
      </c>
      <c r="K283" s="46" t="str">
        <f t="shared" si="106"/>
        <v/>
      </c>
      <c r="L283" s="46" t="str">
        <f t="shared" si="107"/>
        <v/>
      </c>
      <c r="M283" s="46" t="str">
        <f t="shared" si="108"/>
        <v/>
      </c>
      <c r="N283" s="46" t="str">
        <f t="shared" si="109"/>
        <v/>
      </c>
      <c r="O283" s="46" t="str">
        <f t="shared" si="110"/>
        <v/>
      </c>
      <c r="P283" s="46" t="str">
        <f t="shared" si="111"/>
        <v/>
      </c>
      <c r="Q283" s="46" t="str">
        <f t="shared" si="112"/>
        <v/>
      </c>
      <c r="R283" s="46" t="str">
        <f t="shared" si="113"/>
        <v/>
      </c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</row>
    <row r="284">
      <c r="A284" s="83"/>
      <c r="B284" s="28"/>
      <c r="C284" s="83"/>
      <c r="D284" s="37"/>
      <c r="E284" s="37"/>
      <c r="F284" s="84"/>
      <c r="G284" s="37"/>
      <c r="H284" s="59" t="str">
        <f t="shared" si="103"/>
        <v/>
      </c>
      <c r="I284" s="46" t="str">
        <f t="shared" si="104"/>
        <v/>
      </c>
      <c r="J284" s="46" t="str">
        <f t="shared" si="105"/>
        <v/>
      </c>
      <c r="K284" s="46" t="str">
        <f t="shared" si="106"/>
        <v/>
      </c>
      <c r="L284" s="46" t="str">
        <f t="shared" si="107"/>
        <v/>
      </c>
      <c r="M284" s="46" t="str">
        <f t="shared" si="108"/>
        <v/>
      </c>
      <c r="N284" s="46" t="str">
        <f t="shared" si="109"/>
        <v/>
      </c>
      <c r="O284" s="46" t="str">
        <f t="shared" si="110"/>
        <v/>
      </c>
      <c r="P284" s="46" t="str">
        <f t="shared" si="111"/>
        <v/>
      </c>
      <c r="Q284" s="46" t="str">
        <f t="shared" si="112"/>
        <v/>
      </c>
      <c r="R284" s="46" t="str">
        <f t="shared" si="113"/>
        <v/>
      </c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</row>
    <row r="285">
      <c r="A285" s="83"/>
      <c r="B285" s="28"/>
      <c r="C285" s="83"/>
      <c r="D285" s="37"/>
      <c r="E285" s="37"/>
      <c r="F285" s="84"/>
      <c r="G285" s="37"/>
      <c r="H285" s="59" t="str">
        <f t="shared" si="103"/>
        <v/>
      </c>
      <c r="I285" s="46" t="str">
        <f t="shared" si="104"/>
        <v/>
      </c>
      <c r="J285" s="46" t="str">
        <f t="shared" si="105"/>
        <v/>
      </c>
      <c r="K285" s="46" t="str">
        <f t="shared" si="106"/>
        <v/>
      </c>
      <c r="L285" s="46" t="str">
        <f t="shared" si="107"/>
        <v/>
      </c>
      <c r="M285" s="46" t="str">
        <f t="shared" si="108"/>
        <v/>
      </c>
      <c r="N285" s="46" t="str">
        <f t="shared" si="109"/>
        <v/>
      </c>
      <c r="O285" s="46" t="str">
        <f t="shared" si="110"/>
        <v/>
      </c>
      <c r="P285" s="46" t="str">
        <f t="shared" si="111"/>
        <v/>
      </c>
      <c r="Q285" s="46" t="str">
        <f t="shared" si="112"/>
        <v/>
      </c>
      <c r="R285" s="46" t="str">
        <f t="shared" si="113"/>
        <v/>
      </c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</row>
    <row r="286">
      <c r="A286" s="83"/>
      <c r="B286" s="28"/>
      <c r="C286" s="83"/>
      <c r="D286" s="37"/>
      <c r="E286" s="37"/>
      <c r="F286" s="84"/>
      <c r="G286" s="37"/>
      <c r="H286" s="59" t="str">
        <f t="shared" si="103"/>
        <v/>
      </c>
      <c r="I286" s="46" t="str">
        <f t="shared" si="104"/>
        <v/>
      </c>
      <c r="J286" s="46" t="str">
        <f t="shared" si="105"/>
        <v/>
      </c>
      <c r="K286" s="46" t="str">
        <f t="shared" si="106"/>
        <v/>
      </c>
      <c r="L286" s="46" t="str">
        <f t="shared" si="107"/>
        <v/>
      </c>
      <c r="M286" s="46" t="str">
        <f t="shared" si="108"/>
        <v/>
      </c>
      <c r="N286" s="46" t="str">
        <f t="shared" si="109"/>
        <v/>
      </c>
      <c r="O286" s="46" t="str">
        <f t="shared" si="110"/>
        <v/>
      </c>
      <c r="P286" s="46" t="str">
        <f t="shared" si="111"/>
        <v/>
      </c>
      <c r="Q286" s="46" t="str">
        <f t="shared" si="112"/>
        <v/>
      </c>
      <c r="R286" s="46" t="str">
        <f t="shared" si="113"/>
        <v/>
      </c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</row>
    <row r="287">
      <c r="A287" s="83"/>
      <c r="B287" s="28"/>
      <c r="C287" s="83"/>
      <c r="D287" s="37"/>
      <c r="E287" s="37"/>
      <c r="F287" s="84"/>
      <c r="G287" s="37"/>
      <c r="H287" s="59" t="str">
        <f t="shared" si="103"/>
        <v/>
      </c>
      <c r="I287" s="46" t="str">
        <f t="shared" si="104"/>
        <v/>
      </c>
      <c r="J287" s="46" t="str">
        <f t="shared" si="105"/>
        <v/>
      </c>
      <c r="K287" s="46" t="str">
        <f t="shared" si="106"/>
        <v/>
      </c>
      <c r="L287" s="46" t="str">
        <f t="shared" si="107"/>
        <v/>
      </c>
      <c r="M287" s="46" t="str">
        <f t="shared" si="108"/>
        <v/>
      </c>
      <c r="N287" s="46" t="str">
        <f t="shared" si="109"/>
        <v/>
      </c>
      <c r="O287" s="46" t="str">
        <f t="shared" si="110"/>
        <v/>
      </c>
      <c r="P287" s="46" t="str">
        <f t="shared" si="111"/>
        <v/>
      </c>
      <c r="Q287" s="46" t="str">
        <f t="shared" si="112"/>
        <v/>
      </c>
      <c r="R287" s="46" t="str">
        <f t="shared" si="113"/>
        <v/>
      </c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</row>
    <row r="288">
      <c r="A288" s="83"/>
      <c r="B288" s="28"/>
      <c r="C288" s="83"/>
      <c r="D288" s="37"/>
      <c r="E288" s="37"/>
      <c r="F288" s="84"/>
      <c r="G288" s="37"/>
      <c r="H288" s="59" t="str">
        <f t="shared" si="103"/>
        <v/>
      </c>
      <c r="I288" s="46" t="str">
        <f t="shared" si="104"/>
        <v/>
      </c>
      <c r="J288" s="46" t="str">
        <f t="shared" si="105"/>
        <v/>
      </c>
      <c r="K288" s="46" t="str">
        <f t="shared" si="106"/>
        <v/>
      </c>
      <c r="L288" s="46" t="str">
        <f t="shared" si="107"/>
        <v/>
      </c>
      <c r="M288" s="46" t="str">
        <f t="shared" si="108"/>
        <v/>
      </c>
      <c r="N288" s="46" t="str">
        <f t="shared" si="109"/>
        <v/>
      </c>
      <c r="O288" s="46" t="str">
        <f t="shared" si="110"/>
        <v/>
      </c>
      <c r="P288" s="46" t="str">
        <f t="shared" si="111"/>
        <v/>
      </c>
      <c r="Q288" s="46" t="str">
        <f t="shared" si="112"/>
        <v/>
      </c>
      <c r="R288" s="46" t="str">
        <f t="shared" si="113"/>
        <v/>
      </c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</row>
    <row r="289">
      <c r="A289" s="83"/>
      <c r="B289" s="28"/>
      <c r="C289" s="83"/>
      <c r="D289" s="37"/>
      <c r="E289" s="37"/>
      <c r="F289" s="84"/>
      <c r="G289" s="37"/>
      <c r="H289" s="59" t="str">
        <f t="shared" si="103"/>
        <v/>
      </c>
      <c r="I289" s="46" t="str">
        <f t="shared" si="104"/>
        <v/>
      </c>
      <c r="J289" s="46" t="str">
        <f t="shared" si="105"/>
        <v/>
      </c>
      <c r="K289" s="46" t="str">
        <f t="shared" si="106"/>
        <v/>
      </c>
      <c r="L289" s="46" t="str">
        <f t="shared" si="107"/>
        <v/>
      </c>
      <c r="M289" s="46" t="str">
        <f t="shared" si="108"/>
        <v/>
      </c>
      <c r="N289" s="46" t="str">
        <f t="shared" si="109"/>
        <v/>
      </c>
      <c r="O289" s="46" t="str">
        <f t="shared" si="110"/>
        <v/>
      </c>
      <c r="P289" s="46" t="str">
        <f t="shared" si="111"/>
        <v/>
      </c>
      <c r="Q289" s="46" t="str">
        <f t="shared" si="112"/>
        <v/>
      </c>
      <c r="R289" s="46" t="str">
        <f t="shared" si="113"/>
        <v/>
      </c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</row>
    <row r="290">
      <c r="A290" s="83"/>
      <c r="B290" s="28"/>
      <c r="C290" s="83"/>
      <c r="D290" s="37"/>
      <c r="E290" s="37"/>
      <c r="F290" s="84"/>
      <c r="G290" s="37"/>
      <c r="H290" s="59" t="str">
        <f t="shared" si="103"/>
        <v/>
      </c>
      <c r="I290" s="46" t="str">
        <f t="shared" si="104"/>
        <v/>
      </c>
      <c r="J290" s="46" t="str">
        <f t="shared" si="105"/>
        <v/>
      </c>
      <c r="K290" s="46" t="str">
        <f t="shared" si="106"/>
        <v/>
      </c>
      <c r="L290" s="46" t="str">
        <f t="shared" si="107"/>
        <v/>
      </c>
      <c r="M290" s="46" t="str">
        <f t="shared" si="108"/>
        <v/>
      </c>
      <c r="N290" s="46" t="str">
        <f t="shared" si="109"/>
        <v/>
      </c>
      <c r="O290" s="46" t="str">
        <f t="shared" si="110"/>
        <v/>
      </c>
      <c r="P290" s="46" t="str">
        <f t="shared" si="111"/>
        <v/>
      </c>
      <c r="Q290" s="46" t="str">
        <f t="shared" si="112"/>
        <v/>
      </c>
      <c r="R290" s="46" t="str">
        <f t="shared" si="113"/>
        <v/>
      </c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</row>
    <row r="291">
      <c r="A291" s="83"/>
      <c r="B291" s="28"/>
      <c r="C291" s="83"/>
      <c r="D291" s="37"/>
      <c r="E291" s="37"/>
      <c r="F291" s="84"/>
      <c r="G291" s="37"/>
      <c r="H291" s="59" t="str">
        <f t="shared" si="103"/>
        <v/>
      </c>
      <c r="I291" s="46" t="str">
        <f t="shared" si="104"/>
        <v/>
      </c>
      <c r="J291" s="46" t="str">
        <f t="shared" si="105"/>
        <v/>
      </c>
      <c r="K291" s="46" t="str">
        <f t="shared" si="106"/>
        <v/>
      </c>
      <c r="L291" s="46" t="str">
        <f t="shared" si="107"/>
        <v/>
      </c>
      <c r="M291" s="46" t="str">
        <f t="shared" si="108"/>
        <v/>
      </c>
      <c r="N291" s="46" t="str">
        <f t="shared" si="109"/>
        <v/>
      </c>
      <c r="O291" s="46" t="str">
        <f t="shared" si="110"/>
        <v/>
      </c>
      <c r="P291" s="46" t="str">
        <f t="shared" si="111"/>
        <v/>
      </c>
      <c r="Q291" s="46" t="str">
        <f t="shared" si="112"/>
        <v/>
      </c>
      <c r="R291" s="46" t="str">
        <f t="shared" si="113"/>
        <v/>
      </c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</row>
    <row r="292">
      <c r="A292" s="83"/>
      <c r="B292" s="28"/>
      <c r="C292" s="83"/>
      <c r="D292" s="37"/>
      <c r="E292" s="37"/>
      <c r="F292" s="84"/>
      <c r="G292" s="37"/>
      <c r="H292" s="59" t="str">
        <f t="shared" si="103"/>
        <v/>
      </c>
      <c r="I292" s="46" t="str">
        <f t="shared" si="104"/>
        <v/>
      </c>
      <c r="J292" s="46" t="str">
        <f t="shared" si="105"/>
        <v/>
      </c>
      <c r="K292" s="46" t="str">
        <f t="shared" si="106"/>
        <v/>
      </c>
      <c r="L292" s="46" t="str">
        <f t="shared" si="107"/>
        <v/>
      </c>
      <c r="M292" s="46" t="str">
        <f t="shared" si="108"/>
        <v/>
      </c>
      <c r="N292" s="46" t="str">
        <f t="shared" si="109"/>
        <v/>
      </c>
      <c r="O292" s="46" t="str">
        <f t="shared" si="110"/>
        <v/>
      </c>
      <c r="P292" s="46" t="str">
        <f t="shared" si="111"/>
        <v/>
      </c>
      <c r="Q292" s="46" t="str">
        <f t="shared" si="112"/>
        <v/>
      </c>
      <c r="R292" s="46" t="str">
        <f t="shared" si="113"/>
        <v/>
      </c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</row>
    <row r="293">
      <c r="A293" s="83"/>
      <c r="B293" s="28"/>
      <c r="C293" s="83"/>
      <c r="D293" s="37"/>
      <c r="E293" s="37"/>
      <c r="F293" s="84"/>
      <c r="G293" s="37"/>
      <c r="H293" s="59" t="str">
        <f t="shared" si="103"/>
        <v/>
      </c>
      <c r="I293" s="46" t="str">
        <f t="shared" si="104"/>
        <v/>
      </c>
      <c r="J293" s="46" t="str">
        <f t="shared" si="105"/>
        <v/>
      </c>
      <c r="K293" s="46" t="str">
        <f t="shared" si="106"/>
        <v/>
      </c>
      <c r="L293" s="46" t="str">
        <f t="shared" si="107"/>
        <v/>
      </c>
      <c r="M293" s="46" t="str">
        <f t="shared" si="108"/>
        <v/>
      </c>
      <c r="N293" s="46" t="str">
        <f t="shared" si="109"/>
        <v/>
      </c>
      <c r="O293" s="46" t="str">
        <f t="shared" si="110"/>
        <v/>
      </c>
      <c r="P293" s="46" t="str">
        <f t="shared" si="111"/>
        <v/>
      </c>
      <c r="Q293" s="46" t="str">
        <f t="shared" si="112"/>
        <v/>
      </c>
      <c r="R293" s="46" t="str">
        <f t="shared" si="113"/>
        <v/>
      </c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</row>
    <row r="294">
      <c r="A294" s="83"/>
      <c r="B294" s="28"/>
      <c r="C294" s="83"/>
      <c r="D294" s="37"/>
      <c r="E294" s="37"/>
      <c r="F294" s="84"/>
      <c r="G294" s="37"/>
      <c r="H294" s="59" t="str">
        <f t="shared" si="103"/>
        <v/>
      </c>
      <c r="I294" s="46" t="str">
        <f t="shared" si="104"/>
        <v/>
      </c>
      <c r="J294" s="46" t="str">
        <f t="shared" si="105"/>
        <v/>
      </c>
      <c r="K294" s="46" t="str">
        <f t="shared" si="106"/>
        <v/>
      </c>
      <c r="L294" s="46" t="str">
        <f t="shared" si="107"/>
        <v/>
      </c>
      <c r="M294" s="46" t="str">
        <f t="shared" si="108"/>
        <v/>
      </c>
      <c r="N294" s="46" t="str">
        <f t="shared" si="109"/>
        <v/>
      </c>
      <c r="O294" s="46" t="str">
        <f t="shared" si="110"/>
        <v/>
      </c>
      <c r="P294" s="46" t="str">
        <f t="shared" si="111"/>
        <v/>
      </c>
      <c r="Q294" s="46" t="str">
        <f t="shared" si="112"/>
        <v/>
      </c>
      <c r="R294" s="46" t="str">
        <f t="shared" si="113"/>
        <v/>
      </c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</row>
    <row r="295">
      <c r="A295" s="83"/>
      <c r="B295" s="28"/>
      <c r="C295" s="83"/>
      <c r="D295" s="37"/>
      <c r="E295" s="37"/>
      <c r="F295" s="84"/>
      <c r="G295" s="37"/>
      <c r="H295" s="59" t="str">
        <f t="shared" si="103"/>
        <v/>
      </c>
      <c r="I295" s="46" t="str">
        <f t="shared" si="104"/>
        <v/>
      </c>
      <c r="J295" s="46" t="str">
        <f t="shared" si="105"/>
        <v/>
      </c>
      <c r="K295" s="46" t="str">
        <f t="shared" si="106"/>
        <v/>
      </c>
      <c r="L295" s="46" t="str">
        <f t="shared" si="107"/>
        <v/>
      </c>
      <c r="M295" s="46" t="str">
        <f t="shared" si="108"/>
        <v/>
      </c>
      <c r="N295" s="46" t="str">
        <f t="shared" si="109"/>
        <v/>
      </c>
      <c r="O295" s="46" t="str">
        <f t="shared" si="110"/>
        <v/>
      </c>
      <c r="P295" s="46" t="str">
        <f t="shared" si="111"/>
        <v/>
      </c>
      <c r="Q295" s="46" t="str">
        <f t="shared" si="112"/>
        <v/>
      </c>
      <c r="R295" s="46" t="str">
        <f t="shared" si="113"/>
        <v/>
      </c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</row>
    <row r="296">
      <c r="A296" s="83"/>
      <c r="B296" s="28"/>
      <c r="C296" s="83"/>
      <c r="D296" s="37"/>
      <c r="E296" s="37"/>
      <c r="F296" s="84"/>
      <c r="G296" s="37"/>
      <c r="H296" s="59" t="str">
        <f t="shared" si="103"/>
        <v/>
      </c>
      <c r="I296" s="46" t="str">
        <f t="shared" si="104"/>
        <v/>
      </c>
      <c r="J296" s="46" t="str">
        <f t="shared" si="105"/>
        <v/>
      </c>
      <c r="K296" s="46" t="str">
        <f t="shared" si="106"/>
        <v/>
      </c>
      <c r="L296" s="46" t="str">
        <f t="shared" si="107"/>
        <v/>
      </c>
      <c r="M296" s="46" t="str">
        <f t="shared" si="108"/>
        <v/>
      </c>
      <c r="N296" s="46" t="str">
        <f t="shared" si="109"/>
        <v/>
      </c>
      <c r="O296" s="46" t="str">
        <f t="shared" si="110"/>
        <v/>
      </c>
      <c r="P296" s="46" t="str">
        <f t="shared" si="111"/>
        <v/>
      </c>
      <c r="Q296" s="46" t="str">
        <f t="shared" si="112"/>
        <v/>
      </c>
      <c r="R296" s="46" t="str">
        <f t="shared" si="113"/>
        <v/>
      </c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</row>
    <row r="297">
      <c r="A297" s="83"/>
      <c r="B297" s="28"/>
      <c r="C297" s="83"/>
      <c r="D297" s="37"/>
      <c r="E297" s="37"/>
      <c r="F297" s="84"/>
      <c r="G297" s="37"/>
      <c r="H297" s="59" t="str">
        <f t="shared" si="103"/>
        <v/>
      </c>
      <c r="I297" s="46" t="str">
        <f t="shared" si="104"/>
        <v/>
      </c>
      <c r="J297" s="46" t="str">
        <f t="shared" si="105"/>
        <v/>
      </c>
      <c r="K297" s="46" t="str">
        <f t="shared" si="106"/>
        <v/>
      </c>
      <c r="L297" s="46" t="str">
        <f t="shared" si="107"/>
        <v/>
      </c>
      <c r="M297" s="46" t="str">
        <f t="shared" si="108"/>
        <v/>
      </c>
      <c r="N297" s="46" t="str">
        <f t="shared" si="109"/>
        <v/>
      </c>
      <c r="O297" s="46" t="str">
        <f t="shared" si="110"/>
        <v/>
      </c>
      <c r="P297" s="46" t="str">
        <f t="shared" si="111"/>
        <v/>
      </c>
      <c r="Q297" s="46" t="str">
        <f t="shared" si="112"/>
        <v/>
      </c>
      <c r="R297" s="46" t="str">
        <f t="shared" si="113"/>
        <v/>
      </c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</row>
    <row r="298">
      <c r="A298" s="83"/>
      <c r="B298" s="28"/>
      <c r="C298" s="83"/>
      <c r="D298" s="37"/>
      <c r="E298" s="37"/>
      <c r="F298" s="84"/>
      <c r="G298" s="37"/>
      <c r="H298" s="59" t="str">
        <f t="shared" si="103"/>
        <v/>
      </c>
      <c r="I298" s="46" t="str">
        <f t="shared" si="104"/>
        <v/>
      </c>
      <c r="J298" s="46" t="str">
        <f t="shared" si="105"/>
        <v/>
      </c>
      <c r="K298" s="46" t="str">
        <f t="shared" si="106"/>
        <v/>
      </c>
      <c r="L298" s="46" t="str">
        <f t="shared" si="107"/>
        <v/>
      </c>
      <c r="M298" s="46" t="str">
        <f t="shared" si="108"/>
        <v/>
      </c>
      <c r="N298" s="46" t="str">
        <f t="shared" si="109"/>
        <v/>
      </c>
      <c r="O298" s="46" t="str">
        <f t="shared" si="110"/>
        <v/>
      </c>
      <c r="P298" s="46" t="str">
        <f t="shared" si="111"/>
        <v/>
      </c>
      <c r="Q298" s="46" t="str">
        <f t="shared" si="112"/>
        <v/>
      </c>
      <c r="R298" s="46" t="str">
        <f t="shared" si="113"/>
        <v/>
      </c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</row>
    <row r="299">
      <c r="A299" s="83"/>
      <c r="B299" s="28"/>
      <c r="C299" s="83"/>
      <c r="D299" s="37"/>
      <c r="E299" s="37"/>
      <c r="F299" s="84"/>
      <c r="G299" s="37"/>
      <c r="H299" s="59" t="str">
        <f t="shared" si="103"/>
        <v/>
      </c>
      <c r="I299" s="46" t="str">
        <f t="shared" si="104"/>
        <v/>
      </c>
      <c r="J299" s="46" t="str">
        <f t="shared" si="105"/>
        <v/>
      </c>
      <c r="K299" s="46" t="str">
        <f t="shared" si="106"/>
        <v/>
      </c>
      <c r="L299" s="46" t="str">
        <f t="shared" si="107"/>
        <v/>
      </c>
      <c r="M299" s="46" t="str">
        <f t="shared" si="108"/>
        <v/>
      </c>
      <c r="N299" s="46" t="str">
        <f t="shared" si="109"/>
        <v/>
      </c>
      <c r="O299" s="46" t="str">
        <f t="shared" si="110"/>
        <v/>
      </c>
      <c r="P299" s="46" t="str">
        <f t="shared" si="111"/>
        <v/>
      </c>
      <c r="Q299" s="46" t="str">
        <f t="shared" si="112"/>
        <v/>
      </c>
      <c r="R299" s="46" t="str">
        <f t="shared" si="113"/>
        <v/>
      </c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</row>
    <row r="300">
      <c r="A300" s="83"/>
      <c r="B300" s="28"/>
      <c r="C300" s="83"/>
      <c r="D300" s="37"/>
      <c r="E300" s="37"/>
      <c r="F300" s="84"/>
      <c r="G300" s="37"/>
      <c r="H300" s="59" t="str">
        <f t="shared" si="103"/>
        <v/>
      </c>
      <c r="I300" s="46" t="str">
        <f t="shared" si="104"/>
        <v/>
      </c>
      <c r="J300" s="46" t="str">
        <f t="shared" si="105"/>
        <v/>
      </c>
      <c r="K300" s="46" t="str">
        <f t="shared" si="106"/>
        <v/>
      </c>
      <c r="L300" s="46" t="str">
        <f t="shared" si="107"/>
        <v/>
      </c>
      <c r="M300" s="46" t="str">
        <f t="shared" si="108"/>
        <v/>
      </c>
      <c r="N300" s="46" t="str">
        <f t="shared" si="109"/>
        <v/>
      </c>
      <c r="O300" s="46" t="str">
        <f t="shared" si="110"/>
        <v/>
      </c>
      <c r="P300" s="46" t="str">
        <f t="shared" si="111"/>
        <v/>
      </c>
      <c r="Q300" s="46" t="str">
        <f t="shared" si="112"/>
        <v/>
      </c>
      <c r="R300" s="46" t="str">
        <f t="shared" si="113"/>
        <v/>
      </c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</row>
    <row r="301">
      <c r="A301" s="83"/>
      <c r="B301" s="28"/>
      <c r="C301" s="83"/>
      <c r="D301" s="37"/>
      <c r="E301" s="37"/>
      <c r="F301" s="84"/>
      <c r="G301" s="37"/>
      <c r="H301" s="59" t="str">
        <f t="shared" si="103"/>
        <v/>
      </c>
      <c r="I301" s="46" t="str">
        <f t="shared" si="104"/>
        <v/>
      </c>
      <c r="J301" s="46" t="str">
        <f t="shared" si="105"/>
        <v/>
      </c>
      <c r="K301" s="46" t="str">
        <f t="shared" si="106"/>
        <v/>
      </c>
      <c r="L301" s="46" t="str">
        <f t="shared" si="107"/>
        <v/>
      </c>
      <c r="M301" s="46" t="str">
        <f t="shared" si="108"/>
        <v/>
      </c>
      <c r="N301" s="46" t="str">
        <f t="shared" si="109"/>
        <v/>
      </c>
      <c r="O301" s="46" t="str">
        <f t="shared" si="110"/>
        <v/>
      </c>
      <c r="P301" s="46" t="str">
        <f t="shared" si="111"/>
        <v/>
      </c>
      <c r="Q301" s="46" t="str">
        <f t="shared" si="112"/>
        <v/>
      </c>
      <c r="R301" s="46" t="str">
        <f t="shared" si="113"/>
        <v/>
      </c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</row>
    <row r="302">
      <c r="A302" s="83"/>
      <c r="B302" s="28"/>
      <c r="C302" s="83"/>
      <c r="D302" s="37"/>
      <c r="E302" s="37"/>
      <c r="F302" s="84"/>
      <c r="G302" s="37"/>
      <c r="H302" s="59" t="str">
        <f t="shared" si="103"/>
        <v/>
      </c>
      <c r="I302" s="46" t="str">
        <f t="shared" si="104"/>
        <v/>
      </c>
      <c r="J302" s="46" t="str">
        <f t="shared" si="105"/>
        <v/>
      </c>
      <c r="K302" s="46" t="str">
        <f t="shared" si="106"/>
        <v/>
      </c>
      <c r="L302" s="46" t="str">
        <f t="shared" si="107"/>
        <v/>
      </c>
      <c r="M302" s="46" t="str">
        <f t="shared" si="108"/>
        <v/>
      </c>
      <c r="N302" s="46" t="str">
        <f t="shared" si="109"/>
        <v/>
      </c>
      <c r="O302" s="46" t="str">
        <f t="shared" si="110"/>
        <v/>
      </c>
      <c r="P302" s="46" t="str">
        <f t="shared" si="111"/>
        <v/>
      </c>
      <c r="Q302" s="46" t="str">
        <f t="shared" si="112"/>
        <v/>
      </c>
      <c r="R302" s="46" t="str">
        <f t="shared" si="113"/>
        <v/>
      </c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</row>
    <row r="303">
      <c r="A303" s="83"/>
      <c r="B303" s="28"/>
      <c r="C303" s="83"/>
      <c r="D303" s="37"/>
      <c r="E303" s="37"/>
      <c r="F303" s="84"/>
      <c r="G303" s="37"/>
      <c r="H303" s="59" t="str">
        <f t="shared" si="103"/>
        <v/>
      </c>
      <c r="I303" s="46" t="str">
        <f t="shared" si="104"/>
        <v/>
      </c>
      <c r="J303" s="46" t="str">
        <f t="shared" si="105"/>
        <v/>
      </c>
      <c r="K303" s="46" t="str">
        <f t="shared" si="106"/>
        <v/>
      </c>
      <c r="L303" s="46" t="str">
        <f t="shared" si="107"/>
        <v/>
      </c>
      <c r="M303" s="46" t="str">
        <f t="shared" si="108"/>
        <v/>
      </c>
      <c r="N303" s="46" t="str">
        <f t="shared" si="109"/>
        <v/>
      </c>
      <c r="O303" s="46" t="str">
        <f t="shared" si="110"/>
        <v/>
      </c>
      <c r="P303" s="46" t="str">
        <f t="shared" si="111"/>
        <v/>
      </c>
      <c r="Q303" s="46" t="str">
        <f t="shared" si="112"/>
        <v/>
      </c>
      <c r="R303" s="46" t="str">
        <f t="shared" si="113"/>
        <v/>
      </c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</row>
    <row r="304">
      <c r="A304" s="83"/>
      <c r="B304" s="28"/>
      <c r="C304" s="83"/>
      <c r="D304" s="37"/>
      <c r="E304" s="37"/>
      <c r="F304" s="84"/>
      <c r="G304" s="37"/>
      <c r="H304" s="59" t="str">
        <f t="shared" si="103"/>
        <v/>
      </c>
      <c r="I304" s="46" t="str">
        <f t="shared" si="104"/>
        <v/>
      </c>
      <c r="J304" s="46" t="str">
        <f t="shared" si="105"/>
        <v/>
      </c>
      <c r="K304" s="46" t="str">
        <f t="shared" si="106"/>
        <v/>
      </c>
      <c r="L304" s="46" t="str">
        <f t="shared" si="107"/>
        <v/>
      </c>
      <c r="M304" s="46" t="str">
        <f t="shared" si="108"/>
        <v/>
      </c>
      <c r="N304" s="46" t="str">
        <f t="shared" si="109"/>
        <v/>
      </c>
      <c r="O304" s="46" t="str">
        <f t="shared" si="110"/>
        <v/>
      </c>
      <c r="P304" s="46" t="str">
        <f t="shared" si="111"/>
        <v/>
      </c>
      <c r="Q304" s="46" t="str">
        <f t="shared" si="112"/>
        <v/>
      </c>
      <c r="R304" s="46" t="str">
        <f t="shared" si="113"/>
        <v/>
      </c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</row>
    <row r="305">
      <c r="A305" s="83"/>
      <c r="B305" s="28"/>
      <c r="C305" s="83"/>
      <c r="D305" s="37"/>
      <c r="E305" s="37"/>
      <c r="F305" s="84"/>
      <c r="G305" s="37"/>
      <c r="H305" s="59" t="str">
        <f t="shared" si="103"/>
        <v/>
      </c>
      <c r="I305" s="46" t="str">
        <f t="shared" si="104"/>
        <v/>
      </c>
      <c r="J305" s="46" t="str">
        <f t="shared" si="105"/>
        <v/>
      </c>
      <c r="K305" s="46" t="str">
        <f t="shared" si="106"/>
        <v/>
      </c>
      <c r="L305" s="46" t="str">
        <f t="shared" si="107"/>
        <v/>
      </c>
      <c r="M305" s="46" t="str">
        <f t="shared" si="108"/>
        <v/>
      </c>
      <c r="N305" s="46" t="str">
        <f t="shared" si="109"/>
        <v/>
      </c>
      <c r="O305" s="46" t="str">
        <f t="shared" si="110"/>
        <v/>
      </c>
      <c r="P305" s="46" t="str">
        <f t="shared" si="111"/>
        <v/>
      </c>
      <c r="Q305" s="46" t="str">
        <f t="shared" si="112"/>
        <v/>
      </c>
      <c r="R305" s="46" t="str">
        <f t="shared" si="113"/>
        <v/>
      </c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</row>
    <row r="306">
      <c r="A306" s="83"/>
      <c r="B306" s="28"/>
      <c r="C306" s="83"/>
      <c r="D306" s="37"/>
      <c r="E306" s="37"/>
      <c r="F306" s="84"/>
      <c r="G306" s="37"/>
      <c r="H306" s="59" t="str">
        <f t="shared" si="103"/>
        <v/>
      </c>
      <c r="I306" s="46" t="str">
        <f t="shared" si="104"/>
        <v/>
      </c>
      <c r="J306" s="46" t="str">
        <f t="shared" si="105"/>
        <v/>
      </c>
      <c r="K306" s="46" t="str">
        <f t="shared" si="106"/>
        <v/>
      </c>
      <c r="L306" s="46" t="str">
        <f t="shared" si="107"/>
        <v/>
      </c>
      <c r="M306" s="46" t="str">
        <f t="shared" si="108"/>
        <v/>
      </c>
      <c r="N306" s="46" t="str">
        <f t="shared" si="109"/>
        <v/>
      </c>
      <c r="O306" s="46" t="str">
        <f t="shared" si="110"/>
        <v/>
      </c>
      <c r="P306" s="46" t="str">
        <f t="shared" si="111"/>
        <v/>
      </c>
      <c r="Q306" s="46" t="str">
        <f t="shared" si="112"/>
        <v/>
      </c>
      <c r="R306" s="46" t="str">
        <f t="shared" si="113"/>
        <v/>
      </c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</row>
    <row r="307">
      <c r="A307" s="83"/>
      <c r="B307" s="28"/>
      <c r="C307" s="83"/>
      <c r="D307" s="37"/>
      <c r="E307" s="37"/>
      <c r="F307" s="84"/>
      <c r="G307" s="37"/>
      <c r="H307" s="59" t="str">
        <f t="shared" si="103"/>
        <v/>
      </c>
      <c r="I307" s="46" t="str">
        <f t="shared" si="104"/>
        <v/>
      </c>
      <c r="J307" s="46" t="str">
        <f t="shared" si="105"/>
        <v/>
      </c>
      <c r="K307" s="46" t="str">
        <f t="shared" si="106"/>
        <v/>
      </c>
      <c r="L307" s="46" t="str">
        <f t="shared" si="107"/>
        <v/>
      </c>
      <c r="M307" s="46" t="str">
        <f t="shared" si="108"/>
        <v/>
      </c>
      <c r="N307" s="46" t="str">
        <f t="shared" si="109"/>
        <v/>
      </c>
      <c r="O307" s="46" t="str">
        <f t="shared" si="110"/>
        <v/>
      </c>
      <c r="P307" s="46" t="str">
        <f t="shared" si="111"/>
        <v/>
      </c>
      <c r="Q307" s="46" t="str">
        <f t="shared" si="112"/>
        <v/>
      </c>
      <c r="R307" s="46" t="str">
        <f t="shared" si="113"/>
        <v/>
      </c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</row>
    <row r="308">
      <c r="A308" s="83"/>
      <c r="B308" s="28"/>
      <c r="C308" s="83"/>
      <c r="D308" s="37"/>
      <c r="E308" s="37"/>
      <c r="F308" s="84"/>
      <c r="G308" s="37"/>
      <c r="H308" s="59" t="str">
        <f t="shared" si="103"/>
        <v/>
      </c>
      <c r="I308" s="46" t="str">
        <f t="shared" si="104"/>
        <v/>
      </c>
      <c r="J308" s="46" t="str">
        <f t="shared" si="105"/>
        <v/>
      </c>
      <c r="K308" s="46" t="str">
        <f t="shared" si="106"/>
        <v/>
      </c>
      <c r="L308" s="46" t="str">
        <f t="shared" si="107"/>
        <v/>
      </c>
      <c r="M308" s="46" t="str">
        <f t="shared" si="108"/>
        <v/>
      </c>
      <c r="N308" s="46" t="str">
        <f t="shared" si="109"/>
        <v/>
      </c>
      <c r="O308" s="46" t="str">
        <f t="shared" si="110"/>
        <v/>
      </c>
      <c r="P308" s="46" t="str">
        <f t="shared" si="111"/>
        <v/>
      </c>
      <c r="Q308" s="46" t="str">
        <f t="shared" si="112"/>
        <v/>
      </c>
      <c r="R308" s="46" t="str">
        <f t="shared" si="113"/>
        <v/>
      </c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</row>
    <row r="309">
      <c r="A309" s="83"/>
      <c r="B309" s="28"/>
      <c r="C309" s="83"/>
      <c r="D309" s="37"/>
      <c r="E309" s="37"/>
      <c r="F309" s="84"/>
      <c r="G309" s="37"/>
      <c r="H309" s="59" t="str">
        <f t="shared" si="103"/>
        <v/>
      </c>
      <c r="I309" s="46" t="str">
        <f t="shared" si="104"/>
        <v/>
      </c>
      <c r="J309" s="46" t="str">
        <f t="shared" si="105"/>
        <v/>
      </c>
      <c r="K309" s="46" t="str">
        <f t="shared" si="106"/>
        <v/>
      </c>
      <c r="L309" s="46" t="str">
        <f t="shared" si="107"/>
        <v/>
      </c>
      <c r="M309" s="46" t="str">
        <f t="shared" si="108"/>
        <v/>
      </c>
      <c r="N309" s="46" t="str">
        <f t="shared" si="109"/>
        <v/>
      </c>
      <c r="O309" s="46" t="str">
        <f t="shared" si="110"/>
        <v/>
      </c>
      <c r="P309" s="46" t="str">
        <f t="shared" si="111"/>
        <v/>
      </c>
      <c r="Q309" s="46" t="str">
        <f t="shared" si="112"/>
        <v/>
      </c>
      <c r="R309" s="46" t="str">
        <f t="shared" si="113"/>
        <v/>
      </c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</row>
    <row r="310">
      <c r="A310" s="83"/>
      <c r="B310" s="28"/>
      <c r="C310" s="83"/>
      <c r="D310" s="37"/>
      <c r="E310" s="37"/>
      <c r="F310" s="84"/>
      <c r="G310" s="37"/>
      <c r="H310" s="59" t="str">
        <f t="shared" si="103"/>
        <v/>
      </c>
      <c r="I310" s="46" t="str">
        <f t="shared" si="104"/>
        <v/>
      </c>
      <c r="J310" s="46" t="str">
        <f t="shared" si="105"/>
        <v/>
      </c>
      <c r="K310" s="46" t="str">
        <f t="shared" si="106"/>
        <v/>
      </c>
      <c r="L310" s="46" t="str">
        <f t="shared" si="107"/>
        <v/>
      </c>
      <c r="M310" s="46" t="str">
        <f t="shared" si="108"/>
        <v/>
      </c>
      <c r="N310" s="46" t="str">
        <f t="shared" si="109"/>
        <v/>
      </c>
      <c r="O310" s="46" t="str">
        <f t="shared" si="110"/>
        <v/>
      </c>
      <c r="P310" s="46" t="str">
        <f t="shared" si="111"/>
        <v/>
      </c>
      <c r="Q310" s="46" t="str">
        <f t="shared" si="112"/>
        <v/>
      </c>
      <c r="R310" s="46" t="str">
        <f t="shared" si="113"/>
        <v/>
      </c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</row>
    <row r="311">
      <c r="A311" s="83"/>
      <c r="B311" s="28"/>
      <c r="C311" s="83"/>
      <c r="D311" s="37"/>
      <c r="E311" s="37"/>
      <c r="F311" s="84"/>
      <c r="G311" s="37"/>
      <c r="H311" s="59" t="str">
        <f t="shared" si="103"/>
        <v/>
      </c>
      <c r="I311" s="46" t="str">
        <f t="shared" si="104"/>
        <v/>
      </c>
      <c r="J311" s="46" t="str">
        <f t="shared" si="105"/>
        <v/>
      </c>
      <c r="K311" s="46" t="str">
        <f t="shared" si="106"/>
        <v/>
      </c>
      <c r="L311" s="46" t="str">
        <f t="shared" si="107"/>
        <v/>
      </c>
      <c r="M311" s="46" t="str">
        <f t="shared" si="108"/>
        <v/>
      </c>
      <c r="N311" s="46" t="str">
        <f t="shared" si="109"/>
        <v/>
      </c>
      <c r="O311" s="46" t="str">
        <f t="shared" si="110"/>
        <v/>
      </c>
      <c r="P311" s="46" t="str">
        <f t="shared" si="111"/>
        <v/>
      </c>
      <c r="Q311" s="46" t="str">
        <f t="shared" si="112"/>
        <v/>
      </c>
      <c r="R311" s="46" t="str">
        <f t="shared" si="113"/>
        <v/>
      </c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</row>
    <row r="312">
      <c r="A312" s="83"/>
      <c r="B312" s="28"/>
      <c r="C312" s="83"/>
      <c r="D312" s="37"/>
      <c r="E312" s="37"/>
      <c r="F312" s="84"/>
      <c r="G312" s="37"/>
      <c r="H312" s="59" t="str">
        <f t="shared" si="103"/>
        <v/>
      </c>
      <c r="I312" s="46" t="str">
        <f t="shared" si="104"/>
        <v/>
      </c>
      <c r="J312" s="46" t="str">
        <f t="shared" si="105"/>
        <v/>
      </c>
      <c r="K312" s="46" t="str">
        <f t="shared" si="106"/>
        <v/>
      </c>
      <c r="L312" s="46" t="str">
        <f t="shared" si="107"/>
        <v/>
      </c>
      <c r="M312" s="46" t="str">
        <f t="shared" si="108"/>
        <v/>
      </c>
      <c r="N312" s="46" t="str">
        <f t="shared" si="109"/>
        <v/>
      </c>
      <c r="O312" s="46" t="str">
        <f t="shared" si="110"/>
        <v/>
      </c>
      <c r="P312" s="46" t="str">
        <f t="shared" si="111"/>
        <v/>
      </c>
      <c r="Q312" s="46" t="str">
        <f t="shared" si="112"/>
        <v/>
      </c>
      <c r="R312" s="46" t="str">
        <f t="shared" si="113"/>
        <v/>
      </c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</row>
    <row r="313">
      <c r="A313" s="83"/>
      <c r="B313" s="28"/>
      <c r="C313" s="83"/>
      <c r="D313" s="37"/>
      <c r="E313" s="37"/>
      <c r="F313" s="84"/>
      <c r="G313" s="37"/>
      <c r="H313" s="59" t="str">
        <f t="shared" si="103"/>
        <v/>
      </c>
      <c r="I313" s="46" t="str">
        <f t="shared" si="104"/>
        <v/>
      </c>
      <c r="J313" s="46" t="str">
        <f t="shared" si="105"/>
        <v/>
      </c>
      <c r="K313" s="46" t="str">
        <f t="shared" si="106"/>
        <v/>
      </c>
      <c r="L313" s="46" t="str">
        <f t="shared" si="107"/>
        <v/>
      </c>
      <c r="M313" s="46" t="str">
        <f t="shared" si="108"/>
        <v/>
      </c>
      <c r="N313" s="46" t="str">
        <f t="shared" si="109"/>
        <v/>
      </c>
      <c r="O313" s="46" t="str">
        <f t="shared" si="110"/>
        <v/>
      </c>
      <c r="P313" s="46" t="str">
        <f t="shared" si="111"/>
        <v/>
      </c>
      <c r="Q313" s="46" t="str">
        <f t="shared" si="112"/>
        <v/>
      </c>
      <c r="R313" s="46" t="str">
        <f t="shared" si="113"/>
        <v/>
      </c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</row>
    <row r="314">
      <c r="A314" s="83"/>
      <c r="B314" s="28"/>
      <c r="C314" s="83"/>
      <c r="D314" s="37"/>
      <c r="E314" s="37"/>
      <c r="F314" s="84"/>
      <c r="G314" s="37"/>
      <c r="H314" s="59" t="str">
        <f t="shared" si="103"/>
        <v/>
      </c>
      <c r="I314" s="46" t="str">
        <f t="shared" si="104"/>
        <v/>
      </c>
      <c r="J314" s="46" t="str">
        <f t="shared" si="105"/>
        <v/>
      </c>
      <c r="K314" s="46" t="str">
        <f t="shared" si="106"/>
        <v/>
      </c>
      <c r="L314" s="46" t="str">
        <f t="shared" si="107"/>
        <v/>
      </c>
      <c r="M314" s="46" t="str">
        <f t="shared" si="108"/>
        <v/>
      </c>
      <c r="N314" s="46" t="str">
        <f t="shared" si="109"/>
        <v/>
      </c>
      <c r="O314" s="46" t="str">
        <f t="shared" si="110"/>
        <v/>
      </c>
      <c r="P314" s="46" t="str">
        <f t="shared" si="111"/>
        <v/>
      </c>
      <c r="Q314" s="46" t="str">
        <f t="shared" si="112"/>
        <v/>
      </c>
      <c r="R314" s="46" t="str">
        <f t="shared" si="113"/>
        <v/>
      </c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</row>
    <row r="315">
      <c r="A315" s="83"/>
      <c r="B315" s="28"/>
      <c r="C315" s="83"/>
      <c r="D315" s="37"/>
      <c r="E315" s="37"/>
      <c r="F315" s="84"/>
      <c r="G315" s="37"/>
      <c r="H315" s="59" t="str">
        <f t="shared" si="103"/>
        <v/>
      </c>
      <c r="I315" s="46" t="str">
        <f t="shared" si="104"/>
        <v/>
      </c>
      <c r="J315" s="46" t="str">
        <f t="shared" si="105"/>
        <v/>
      </c>
      <c r="K315" s="46" t="str">
        <f t="shared" si="106"/>
        <v/>
      </c>
      <c r="L315" s="46" t="str">
        <f t="shared" si="107"/>
        <v/>
      </c>
      <c r="M315" s="46" t="str">
        <f t="shared" si="108"/>
        <v/>
      </c>
      <c r="N315" s="46" t="str">
        <f t="shared" si="109"/>
        <v/>
      </c>
      <c r="O315" s="46" t="str">
        <f t="shared" si="110"/>
        <v/>
      </c>
      <c r="P315" s="46" t="str">
        <f t="shared" si="111"/>
        <v/>
      </c>
      <c r="Q315" s="46" t="str">
        <f t="shared" si="112"/>
        <v/>
      </c>
      <c r="R315" s="46" t="str">
        <f t="shared" si="113"/>
        <v/>
      </c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</row>
    <row r="316">
      <c r="A316" s="83"/>
      <c r="B316" s="28"/>
      <c r="C316" s="83"/>
      <c r="D316" s="37"/>
      <c r="E316" s="37"/>
      <c r="F316" s="84"/>
      <c r="G316" s="37"/>
      <c r="H316" s="59" t="str">
        <f t="shared" si="103"/>
        <v/>
      </c>
      <c r="I316" s="46" t="str">
        <f t="shared" si="104"/>
        <v/>
      </c>
      <c r="J316" s="46" t="str">
        <f t="shared" si="105"/>
        <v/>
      </c>
      <c r="K316" s="46" t="str">
        <f t="shared" si="106"/>
        <v/>
      </c>
      <c r="L316" s="46" t="str">
        <f t="shared" si="107"/>
        <v/>
      </c>
      <c r="M316" s="46" t="str">
        <f t="shared" si="108"/>
        <v/>
      </c>
      <c r="N316" s="46" t="str">
        <f t="shared" si="109"/>
        <v/>
      </c>
      <c r="O316" s="46" t="str">
        <f t="shared" si="110"/>
        <v/>
      </c>
      <c r="P316" s="46" t="str">
        <f t="shared" si="111"/>
        <v/>
      </c>
      <c r="Q316" s="46" t="str">
        <f t="shared" si="112"/>
        <v/>
      </c>
      <c r="R316" s="46" t="str">
        <f t="shared" si="113"/>
        <v/>
      </c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</row>
    <row r="317">
      <c r="A317" s="83"/>
      <c r="B317" s="28"/>
      <c r="C317" s="83"/>
      <c r="D317" s="37"/>
      <c r="E317" s="37"/>
      <c r="F317" s="84"/>
      <c r="G317" s="37"/>
      <c r="H317" s="59" t="str">
        <f t="shared" si="103"/>
        <v/>
      </c>
      <c r="I317" s="46" t="str">
        <f t="shared" si="104"/>
        <v/>
      </c>
      <c r="J317" s="46" t="str">
        <f t="shared" si="105"/>
        <v/>
      </c>
      <c r="K317" s="46" t="str">
        <f t="shared" si="106"/>
        <v/>
      </c>
      <c r="L317" s="46" t="str">
        <f t="shared" si="107"/>
        <v/>
      </c>
      <c r="M317" s="46" t="str">
        <f t="shared" si="108"/>
        <v/>
      </c>
      <c r="N317" s="46" t="str">
        <f t="shared" si="109"/>
        <v/>
      </c>
      <c r="O317" s="46" t="str">
        <f t="shared" si="110"/>
        <v/>
      </c>
      <c r="P317" s="46" t="str">
        <f t="shared" si="111"/>
        <v/>
      </c>
      <c r="Q317" s="46" t="str">
        <f t="shared" si="112"/>
        <v/>
      </c>
      <c r="R317" s="46" t="str">
        <f t="shared" si="113"/>
        <v/>
      </c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</row>
    <row r="318">
      <c r="A318" s="83"/>
      <c r="B318" s="28"/>
      <c r="C318" s="83"/>
      <c r="D318" s="37"/>
      <c r="E318" s="37"/>
      <c r="F318" s="84"/>
      <c r="G318" s="37"/>
      <c r="H318" s="59" t="str">
        <f t="shared" si="103"/>
        <v/>
      </c>
      <c r="I318" s="46" t="str">
        <f t="shared" si="104"/>
        <v/>
      </c>
      <c r="J318" s="46" t="str">
        <f t="shared" si="105"/>
        <v/>
      </c>
      <c r="K318" s="46" t="str">
        <f t="shared" si="106"/>
        <v/>
      </c>
      <c r="L318" s="46" t="str">
        <f t="shared" si="107"/>
        <v/>
      </c>
      <c r="M318" s="46" t="str">
        <f t="shared" si="108"/>
        <v/>
      </c>
      <c r="N318" s="46" t="str">
        <f t="shared" si="109"/>
        <v/>
      </c>
      <c r="O318" s="46" t="str">
        <f t="shared" si="110"/>
        <v/>
      </c>
      <c r="P318" s="46" t="str">
        <f t="shared" si="111"/>
        <v/>
      </c>
      <c r="Q318" s="46" t="str">
        <f t="shared" si="112"/>
        <v/>
      </c>
      <c r="R318" s="46" t="str">
        <f t="shared" si="113"/>
        <v/>
      </c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</row>
    <row r="319">
      <c r="A319" s="83"/>
      <c r="B319" s="28"/>
      <c r="C319" s="83"/>
      <c r="D319" s="37"/>
      <c r="E319" s="37"/>
      <c r="F319" s="84"/>
      <c r="G319" s="37"/>
      <c r="H319" s="59" t="str">
        <f t="shared" si="103"/>
        <v/>
      </c>
      <c r="I319" s="46" t="str">
        <f t="shared" si="104"/>
        <v/>
      </c>
      <c r="J319" s="46" t="str">
        <f t="shared" si="105"/>
        <v/>
      </c>
      <c r="K319" s="46" t="str">
        <f t="shared" si="106"/>
        <v/>
      </c>
      <c r="L319" s="46" t="str">
        <f t="shared" si="107"/>
        <v/>
      </c>
      <c r="M319" s="46" t="str">
        <f t="shared" si="108"/>
        <v/>
      </c>
      <c r="N319" s="46" t="str">
        <f t="shared" si="109"/>
        <v/>
      </c>
      <c r="O319" s="46" t="str">
        <f t="shared" si="110"/>
        <v/>
      </c>
      <c r="P319" s="46" t="str">
        <f t="shared" si="111"/>
        <v/>
      </c>
      <c r="Q319" s="46" t="str">
        <f t="shared" si="112"/>
        <v/>
      </c>
      <c r="R319" s="46" t="str">
        <f t="shared" si="113"/>
        <v/>
      </c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</row>
    <row r="320">
      <c r="A320" s="83"/>
      <c r="B320" s="28"/>
      <c r="C320" s="83"/>
      <c r="D320" s="37"/>
      <c r="E320" s="37"/>
      <c r="F320" s="84"/>
      <c r="G320" s="37"/>
      <c r="H320" s="59" t="str">
        <f t="shared" si="103"/>
        <v/>
      </c>
      <c r="I320" s="46" t="str">
        <f t="shared" si="104"/>
        <v/>
      </c>
      <c r="J320" s="46" t="str">
        <f t="shared" si="105"/>
        <v/>
      </c>
      <c r="K320" s="46" t="str">
        <f t="shared" si="106"/>
        <v/>
      </c>
      <c r="L320" s="46" t="str">
        <f t="shared" si="107"/>
        <v/>
      </c>
      <c r="M320" s="46" t="str">
        <f t="shared" si="108"/>
        <v/>
      </c>
      <c r="N320" s="46" t="str">
        <f t="shared" si="109"/>
        <v/>
      </c>
      <c r="O320" s="46" t="str">
        <f t="shared" si="110"/>
        <v/>
      </c>
      <c r="P320" s="46" t="str">
        <f t="shared" si="111"/>
        <v/>
      </c>
      <c r="Q320" s="46" t="str">
        <f t="shared" si="112"/>
        <v/>
      </c>
      <c r="R320" s="46" t="str">
        <f t="shared" si="113"/>
        <v/>
      </c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</row>
    <row r="321">
      <c r="A321" s="83"/>
      <c r="B321" s="28"/>
      <c r="C321" s="83"/>
      <c r="D321" s="37"/>
      <c r="E321" s="37"/>
      <c r="F321" s="84"/>
      <c r="G321" s="37"/>
      <c r="H321" s="59" t="str">
        <f t="shared" si="103"/>
        <v/>
      </c>
      <c r="I321" s="46" t="str">
        <f t="shared" si="104"/>
        <v/>
      </c>
      <c r="J321" s="46" t="str">
        <f t="shared" si="105"/>
        <v/>
      </c>
      <c r="K321" s="46" t="str">
        <f t="shared" si="106"/>
        <v/>
      </c>
      <c r="L321" s="46" t="str">
        <f t="shared" si="107"/>
        <v/>
      </c>
      <c r="M321" s="46" t="str">
        <f t="shared" si="108"/>
        <v/>
      </c>
      <c r="N321" s="46" t="str">
        <f t="shared" si="109"/>
        <v/>
      </c>
      <c r="O321" s="46" t="str">
        <f t="shared" si="110"/>
        <v/>
      </c>
      <c r="P321" s="46" t="str">
        <f t="shared" si="111"/>
        <v/>
      </c>
      <c r="Q321" s="46" t="str">
        <f t="shared" si="112"/>
        <v/>
      </c>
      <c r="R321" s="46" t="str">
        <f t="shared" si="113"/>
        <v/>
      </c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</row>
    <row r="322">
      <c r="A322" s="83"/>
      <c r="B322" s="28"/>
      <c r="C322" s="83"/>
      <c r="D322" s="37"/>
      <c r="E322" s="37"/>
      <c r="F322" s="84"/>
      <c r="G322" s="37"/>
      <c r="H322" s="59" t="str">
        <f t="shared" si="103"/>
        <v/>
      </c>
      <c r="I322" s="46" t="str">
        <f t="shared" si="104"/>
        <v/>
      </c>
      <c r="J322" s="46" t="str">
        <f t="shared" si="105"/>
        <v/>
      </c>
      <c r="K322" s="46" t="str">
        <f t="shared" si="106"/>
        <v/>
      </c>
      <c r="L322" s="46" t="str">
        <f t="shared" si="107"/>
        <v/>
      </c>
      <c r="M322" s="46" t="str">
        <f t="shared" si="108"/>
        <v/>
      </c>
      <c r="N322" s="46" t="str">
        <f t="shared" si="109"/>
        <v/>
      </c>
      <c r="O322" s="46" t="str">
        <f t="shared" si="110"/>
        <v/>
      </c>
      <c r="P322" s="46" t="str">
        <f t="shared" si="111"/>
        <v/>
      </c>
      <c r="Q322" s="46" t="str">
        <f t="shared" si="112"/>
        <v/>
      </c>
      <c r="R322" s="46" t="str">
        <f t="shared" si="113"/>
        <v/>
      </c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</row>
    <row r="323">
      <c r="A323" s="83"/>
      <c r="B323" s="28"/>
      <c r="C323" s="83"/>
      <c r="D323" s="37"/>
      <c r="E323" s="37"/>
      <c r="F323" s="84"/>
      <c r="G323" s="37"/>
      <c r="H323" s="59" t="str">
        <f t="shared" si="103"/>
        <v/>
      </c>
      <c r="I323" s="46" t="str">
        <f t="shared" si="104"/>
        <v/>
      </c>
      <c r="J323" s="46" t="str">
        <f t="shared" si="105"/>
        <v/>
      </c>
      <c r="K323" s="46" t="str">
        <f t="shared" si="106"/>
        <v/>
      </c>
      <c r="L323" s="46" t="str">
        <f t="shared" si="107"/>
        <v/>
      </c>
      <c r="M323" s="46" t="str">
        <f t="shared" si="108"/>
        <v/>
      </c>
      <c r="N323" s="46" t="str">
        <f t="shared" si="109"/>
        <v/>
      </c>
      <c r="O323" s="46" t="str">
        <f t="shared" si="110"/>
        <v/>
      </c>
      <c r="P323" s="46" t="str">
        <f t="shared" si="111"/>
        <v/>
      </c>
      <c r="Q323" s="46" t="str">
        <f t="shared" si="112"/>
        <v/>
      </c>
      <c r="R323" s="46" t="str">
        <f t="shared" si="113"/>
        <v/>
      </c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</row>
    <row r="324">
      <c r="A324" s="83"/>
      <c r="B324" s="28"/>
      <c r="C324" s="83"/>
      <c r="D324" s="37"/>
      <c r="E324" s="37"/>
      <c r="F324" s="84"/>
      <c r="G324" s="37"/>
      <c r="H324" s="59" t="str">
        <f t="shared" si="103"/>
        <v/>
      </c>
      <c r="I324" s="46" t="str">
        <f t="shared" si="104"/>
        <v/>
      </c>
      <c r="J324" s="46" t="str">
        <f t="shared" si="105"/>
        <v/>
      </c>
      <c r="K324" s="46" t="str">
        <f t="shared" si="106"/>
        <v/>
      </c>
      <c r="L324" s="46" t="str">
        <f t="shared" si="107"/>
        <v/>
      </c>
      <c r="M324" s="46" t="str">
        <f t="shared" si="108"/>
        <v/>
      </c>
      <c r="N324" s="46" t="str">
        <f t="shared" si="109"/>
        <v/>
      </c>
      <c r="O324" s="46" t="str">
        <f t="shared" si="110"/>
        <v/>
      </c>
      <c r="P324" s="46" t="str">
        <f t="shared" si="111"/>
        <v/>
      </c>
      <c r="Q324" s="46" t="str">
        <f t="shared" si="112"/>
        <v/>
      </c>
      <c r="R324" s="46" t="str">
        <f t="shared" si="113"/>
        <v/>
      </c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</row>
    <row r="325">
      <c r="A325" s="83"/>
      <c r="B325" s="28"/>
      <c r="C325" s="83"/>
      <c r="D325" s="37"/>
      <c r="E325" s="37"/>
      <c r="F325" s="84"/>
      <c r="G325" s="37"/>
      <c r="H325" s="59" t="str">
        <f t="shared" si="103"/>
        <v/>
      </c>
      <c r="I325" s="46" t="str">
        <f t="shared" si="104"/>
        <v/>
      </c>
      <c r="J325" s="46" t="str">
        <f t="shared" si="105"/>
        <v/>
      </c>
      <c r="K325" s="46" t="str">
        <f t="shared" si="106"/>
        <v/>
      </c>
      <c r="L325" s="46" t="str">
        <f t="shared" si="107"/>
        <v/>
      </c>
      <c r="M325" s="46" t="str">
        <f t="shared" si="108"/>
        <v/>
      </c>
      <c r="N325" s="46" t="str">
        <f t="shared" si="109"/>
        <v/>
      </c>
      <c r="O325" s="46" t="str">
        <f t="shared" si="110"/>
        <v/>
      </c>
      <c r="P325" s="46" t="str">
        <f t="shared" si="111"/>
        <v/>
      </c>
      <c r="Q325" s="46" t="str">
        <f t="shared" si="112"/>
        <v/>
      </c>
      <c r="R325" s="46" t="str">
        <f t="shared" si="113"/>
        <v/>
      </c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</row>
    <row r="326">
      <c r="A326" s="83"/>
      <c r="B326" s="28"/>
      <c r="C326" s="83"/>
      <c r="D326" s="37"/>
      <c r="E326" s="37"/>
      <c r="F326" s="84"/>
      <c r="G326" s="37"/>
      <c r="H326" s="59" t="str">
        <f t="shared" si="103"/>
        <v/>
      </c>
      <c r="I326" s="46" t="str">
        <f t="shared" si="104"/>
        <v/>
      </c>
      <c r="J326" s="46" t="str">
        <f t="shared" si="105"/>
        <v/>
      </c>
      <c r="K326" s="46" t="str">
        <f t="shared" si="106"/>
        <v/>
      </c>
      <c r="L326" s="46" t="str">
        <f t="shared" si="107"/>
        <v/>
      </c>
      <c r="M326" s="46" t="str">
        <f t="shared" si="108"/>
        <v/>
      </c>
      <c r="N326" s="46" t="str">
        <f t="shared" si="109"/>
        <v/>
      </c>
      <c r="O326" s="46" t="str">
        <f t="shared" si="110"/>
        <v/>
      </c>
      <c r="P326" s="46" t="str">
        <f t="shared" si="111"/>
        <v/>
      </c>
      <c r="Q326" s="46" t="str">
        <f t="shared" si="112"/>
        <v/>
      </c>
      <c r="R326" s="46" t="str">
        <f t="shared" si="113"/>
        <v/>
      </c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</row>
    <row r="327">
      <c r="A327" s="83"/>
      <c r="B327" s="28"/>
      <c r="C327" s="83"/>
      <c r="D327" s="37"/>
      <c r="E327" s="37"/>
      <c r="F327" s="84"/>
      <c r="G327" s="37"/>
      <c r="H327" s="59" t="str">
        <f t="shared" si="103"/>
        <v/>
      </c>
      <c r="I327" s="46" t="str">
        <f t="shared" si="104"/>
        <v/>
      </c>
      <c r="J327" s="46" t="str">
        <f t="shared" si="105"/>
        <v/>
      </c>
      <c r="K327" s="46" t="str">
        <f t="shared" si="106"/>
        <v/>
      </c>
      <c r="L327" s="46" t="str">
        <f t="shared" si="107"/>
        <v/>
      </c>
      <c r="M327" s="46" t="str">
        <f t="shared" si="108"/>
        <v/>
      </c>
      <c r="N327" s="46" t="str">
        <f t="shared" si="109"/>
        <v/>
      </c>
      <c r="O327" s="46" t="str">
        <f t="shared" si="110"/>
        <v/>
      </c>
      <c r="P327" s="46" t="str">
        <f t="shared" si="111"/>
        <v/>
      </c>
      <c r="Q327" s="46" t="str">
        <f t="shared" si="112"/>
        <v/>
      </c>
      <c r="R327" s="46" t="str">
        <f t="shared" si="113"/>
        <v/>
      </c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</row>
    <row r="328">
      <c r="A328" s="83"/>
      <c r="B328" s="28"/>
      <c r="C328" s="83"/>
      <c r="D328" s="37"/>
      <c r="E328" s="37"/>
      <c r="F328" s="84"/>
      <c r="G328" s="37"/>
      <c r="H328" s="59" t="str">
        <f t="shared" si="103"/>
        <v/>
      </c>
      <c r="I328" s="46" t="str">
        <f t="shared" si="104"/>
        <v/>
      </c>
      <c r="J328" s="46" t="str">
        <f t="shared" si="105"/>
        <v/>
      </c>
      <c r="K328" s="46" t="str">
        <f t="shared" si="106"/>
        <v/>
      </c>
      <c r="L328" s="46" t="str">
        <f t="shared" si="107"/>
        <v/>
      </c>
      <c r="M328" s="46" t="str">
        <f t="shared" si="108"/>
        <v/>
      </c>
      <c r="N328" s="46" t="str">
        <f t="shared" si="109"/>
        <v/>
      </c>
      <c r="O328" s="46" t="str">
        <f t="shared" si="110"/>
        <v/>
      </c>
      <c r="P328" s="46" t="str">
        <f t="shared" si="111"/>
        <v/>
      </c>
      <c r="Q328" s="46" t="str">
        <f t="shared" si="112"/>
        <v/>
      </c>
      <c r="R328" s="46" t="str">
        <f t="shared" si="113"/>
        <v/>
      </c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</row>
    <row r="329">
      <c r="A329" s="83"/>
      <c r="B329" s="28"/>
      <c r="C329" s="83"/>
      <c r="D329" s="37"/>
      <c r="E329" s="37"/>
      <c r="F329" s="84"/>
      <c r="G329" s="37"/>
      <c r="H329" s="59" t="str">
        <f t="shared" si="103"/>
        <v/>
      </c>
      <c r="I329" s="46" t="str">
        <f t="shared" si="104"/>
        <v/>
      </c>
      <c r="J329" s="46" t="str">
        <f t="shared" si="105"/>
        <v/>
      </c>
      <c r="K329" s="46" t="str">
        <f t="shared" si="106"/>
        <v/>
      </c>
      <c r="L329" s="46" t="str">
        <f t="shared" si="107"/>
        <v/>
      </c>
      <c r="M329" s="46" t="str">
        <f t="shared" si="108"/>
        <v/>
      </c>
      <c r="N329" s="46" t="str">
        <f t="shared" si="109"/>
        <v/>
      </c>
      <c r="O329" s="46" t="str">
        <f t="shared" si="110"/>
        <v/>
      </c>
      <c r="P329" s="46" t="str">
        <f t="shared" si="111"/>
        <v/>
      </c>
      <c r="Q329" s="46" t="str">
        <f t="shared" si="112"/>
        <v/>
      </c>
      <c r="R329" s="46" t="str">
        <f t="shared" si="113"/>
        <v/>
      </c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</row>
    <row r="330">
      <c r="A330" s="83"/>
      <c r="B330" s="28"/>
      <c r="C330" s="83"/>
      <c r="D330" s="37"/>
      <c r="E330" s="37"/>
      <c r="F330" s="84"/>
      <c r="G330" s="37"/>
      <c r="H330" s="59" t="str">
        <f t="shared" si="103"/>
        <v/>
      </c>
      <c r="I330" s="46" t="str">
        <f t="shared" si="104"/>
        <v/>
      </c>
      <c r="J330" s="46" t="str">
        <f t="shared" si="105"/>
        <v/>
      </c>
      <c r="K330" s="46" t="str">
        <f t="shared" si="106"/>
        <v/>
      </c>
      <c r="L330" s="46" t="str">
        <f t="shared" si="107"/>
        <v/>
      </c>
      <c r="M330" s="46" t="str">
        <f t="shared" si="108"/>
        <v/>
      </c>
      <c r="N330" s="46" t="str">
        <f t="shared" si="109"/>
        <v/>
      </c>
      <c r="O330" s="46" t="str">
        <f t="shared" si="110"/>
        <v/>
      </c>
      <c r="P330" s="46" t="str">
        <f t="shared" si="111"/>
        <v/>
      </c>
      <c r="Q330" s="46" t="str">
        <f t="shared" si="112"/>
        <v/>
      </c>
      <c r="R330" s="46" t="str">
        <f t="shared" si="113"/>
        <v/>
      </c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</row>
    <row r="331">
      <c r="A331" s="83"/>
      <c r="B331" s="28"/>
      <c r="C331" s="83"/>
      <c r="D331" s="37"/>
      <c r="E331" s="37"/>
      <c r="F331" s="84"/>
      <c r="G331" s="37"/>
      <c r="H331" s="59" t="str">
        <f t="shared" si="103"/>
        <v/>
      </c>
      <c r="I331" s="46" t="str">
        <f t="shared" si="104"/>
        <v/>
      </c>
      <c r="J331" s="46" t="str">
        <f t="shared" si="105"/>
        <v/>
      </c>
      <c r="K331" s="46" t="str">
        <f t="shared" si="106"/>
        <v/>
      </c>
      <c r="L331" s="46" t="str">
        <f t="shared" si="107"/>
        <v/>
      </c>
      <c r="M331" s="46" t="str">
        <f t="shared" si="108"/>
        <v/>
      </c>
      <c r="N331" s="46" t="str">
        <f t="shared" si="109"/>
        <v/>
      </c>
      <c r="O331" s="46" t="str">
        <f t="shared" si="110"/>
        <v/>
      </c>
      <c r="P331" s="46" t="str">
        <f t="shared" si="111"/>
        <v/>
      </c>
      <c r="Q331" s="46" t="str">
        <f t="shared" si="112"/>
        <v/>
      </c>
      <c r="R331" s="46" t="str">
        <f t="shared" si="113"/>
        <v/>
      </c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</row>
    <row r="332">
      <c r="A332" s="83"/>
      <c r="B332" s="28"/>
      <c r="C332" s="83"/>
      <c r="D332" s="37"/>
      <c r="E332" s="37"/>
      <c r="F332" s="84"/>
      <c r="G332" s="37"/>
      <c r="H332" s="59" t="str">
        <f t="shared" si="103"/>
        <v/>
      </c>
      <c r="I332" s="46" t="str">
        <f t="shared" si="104"/>
        <v/>
      </c>
      <c r="J332" s="46" t="str">
        <f t="shared" si="105"/>
        <v/>
      </c>
      <c r="K332" s="46" t="str">
        <f t="shared" si="106"/>
        <v/>
      </c>
      <c r="L332" s="46" t="str">
        <f t="shared" si="107"/>
        <v/>
      </c>
      <c r="M332" s="46" t="str">
        <f t="shared" si="108"/>
        <v/>
      </c>
      <c r="N332" s="46" t="str">
        <f t="shared" si="109"/>
        <v/>
      </c>
      <c r="O332" s="46" t="str">
        <f t="shared" si="110"/>
        <v/>
      </c>
      <c r="P332" s="46" t="str">
        <f t="shared" si="111"/>
        <v/>
      </c>
      <c r="Q332" s="46" t="str">
        <f t="shared" si="112"/>
        <v/>
      </c>
      <c r="R332" s="46" t="str">
        <f t="shared" si="113"/>
        <v/>
      </c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</row>
    <row r="333">
      <c r="A333" s="83"/>
      <c r="B333" s="28"/>
      <c r="C333" s="83"/>
      <c r="D333" s="37"/>
      <c r="E333" s="37"/>
      <c r="F333" s="84"/>
      <c r="G333" s="37"/>
      <c r="H333" s="59" t="str">
        <f t="shared" si="103"/>
        <v/>
      </c>
      <c r="I333" s="46" t="str">
        <f t="shared" si="104"/>
        <v/>
      </c>
      <c r="J333" s="46" t="str">
        <f t="shared" si="105"/>
        <v/>
      </c>
      <c r="K333" s="46" t="str">
        <f t="shared" si="106"/>
        <v/>
      </c>
      <c r="L333" s="46" t="str">
        <f t="shared" si="107"/>
        <v/>
      </c>
      <c r="M333" s="46" t="str">
        <f t="shared" si="108"/>
        <v/>
      </c>
      <c r="N333" s="46" t="str">
        <f t="shared" si="109"/>
        <v/>
      </c>
      <c r="O333" s="46" t="str">
        <f t="shared" si="110"/>
        <v/>
      </c>
      <c r="P333" s="46" t="str">
        <f t="shared" si="111"/>
        <v/>
      </c>
      <c r="Q333" s="46" t="str">
        <f t="shared" si="112"/>
        <v/>
      </c>
      <c r="R333" s="46" t="str">
        <f t="shared" si="113"/>
        <v/>
      </c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</row>
    <row r="334">
      <c r="A334" s="83"/>
      <c r="B334" s="28"/>
      <c r="C334" s="83"/>
      <c r="D334" s="37"/>
      <c r="E334" s="37"/>
      <c r="F334" s="84"/>
      <c r="G334" s="37"/>
      <c r="H334" s="59" t="str">
        <f t="shared" si="103"/>
        <v/>
      </c>
      <c r="I334" s="46" t="str">
        <f t="shared" si="104"/>
        <v/>
      </c>
      <c r="J334" s="46" t="str">
        <f t="shared" si="105"/>
        <v/>
      </c>
      <c r="K334" s="46" t="str">
        <f t="shared" si="106"/>
        <v/>
      </c>
      <c r="L334" s="46" t="str">
        <f t="shared" si="107"/>
        <v/>
      </c>
      <c r="M334" s="46" t="str">
        <f t="shared" si="108"/>
        <v/>
      </c>
      <c r="N334" s="46" t="str">
        <f t="shared" si="109"/>
        <v/>
      </c>
      <c r="O334" s="46" t="str">
        <f t="shared" si="110"/>
        <v/>
      </c>
      <c r="P334" s="46" t="str">
        <f t="shared" si="111"/>
        <v/>
      </c>
      <c r="Q334" s="46" t="str">
        <f t="shared" si="112"/>
        <v/>
      </c>
      <c r="R334" s="46" t="str">
        <f t="shared" si="113"/>
        <v/>
      </c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</row>
    <row r="335">
      <c r="A335" s="83"/>
      <c r="B335" s="28"/>
      <c r="C335" s="83"/>
      <c r="D335" s="37"/>
      <c r="E335" s="37"/>
      <c r="F335" s="84"/>
      <c r="G335" s="37"/>
      <c r="H335" s="59" t="str">
        <f t="shared" si="103"/>
        <v/>
      </c>
      <c r="I335" s="46" t="str">
        <f t="shared" si="104"/>
        <v/>
      </c>
      <c r="J335" s="46" t="str">
        <f t="shared" si="105"/>
        <v/>
      </c>
      <c r="K335" s="46" t="str">
        <f t="shared" si="106"/>
        <v/>
      </c>
      <c r="L335" s="46" t="str">
        <f t="shared" si="107"/>
        <v/>
      </c>
      <c r="M335" s="46" t="str">
        <f t="shared" si="108"/>
        <v/>
      </c>
      <c r="N335" s="46" t="str">
        <f t="shared" si="109"/>
        <v/>
      </c>
      <c r="O335" s="46" t="str">
        <f t="shared" si="110"/>
        <v/>
      </c>
      <c r="P335" s="46" t="str">
        <f t="shared" si="111"/>
        <v/>
      </c>
      <c r="Q335" s="46" t="str">
        <f t="shared" si="112"/>
        <v/>
      </c>
      <c r="R335" s="46" t="str">
        <f t="shared" si="113"/>
        <v/>
      </c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</row>
    <row r="336">
      <c r="A336" s="83"/>
      <c r="B336" s="28"/>
      <c r="C336" s="83"/>
      <c r="D336" s="37"/>
      <c r="E336" s="37"/>
      <c r="F336" s="84"/>
      <c r="G336" s="37"/>
      <c r="H336" s="59" t="str">
        <f t="shared" si="103"/>
        <v/>
      </c>
      <c r="I336" s="46" t="str">
        <f t="shared" si="104"/>
        <v/>
      </c>
      <c r="J336" s="46" t="str">
        <f t="shared" si="105"/>
        <v/>
      </c>
      <c r="K336" s="46" t="str">
        <f t="shared" si="106"/>
        <v/>
      </c>
      <c r="L336" s="46" t="str">
        <f t="shared" si="107"/>
        <v/>
      </c>
      <c r="M336" s="46" t="str">
        <f t="shared" si="108"/>
        <v/>
      </c>
      <c r="N336" s="46" t="str">
        <f t="shared" si="109"/>
        <v/>
      </c>
      <c r="O336" s="46" t="str">
        <f t="shared" si="110"/>
        <v/>
      </c>
      <c r="P336" s="46" t="str">
        <f t="shared" si="111"/>
        <v/>
      </c>
      <c r="Q336" s="46" t="str">
        <f t="shared" si="112"/>
        <v/>
      </c>
      <c r="R336" s="46" t="str">
        <f t="shared" si="113"/>
        <v/>
      </c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</row>
    <row r="337">
      <c r="A337" s="83"/>
      <c r="B337" s="28"/>
      <c r="C337" s="83"/>
      <c r="D337" s="37"/>
      <c r="E337" s="37"/>
      <c r="F337" s="84"/>
      <c r="G337" s="37"/>
      <c r="H337" s="59" t="str">
        <f t="shared" si="103"/>
        <v/>
      </c>
      <c r="I337" s="46" t="str">
        <f t="shared" si="104"/>
        <v/>
      </c>
      <c r="J337" s="46" t="str">
        <f t="shared" si="105"/>
        <v/>
      </c>
      <c r="K337" s="46" t="str">
        <f t="shared" si="106"/>
        <v/>
      </c>
      <c r="L337" s="46" t="str">
        <f t="shared" si="107"/>
        <v/>
      </c>
      <c r="M337" s="46" t="str">
        <f t="shared" si="108"/>
        <v/>
      </c>
      <c r="N337" s="46" t="str">
        <f t="shared" si="109"/>
        <v/>
      </c>
      <c r="O337" s="46" t="str">
        <f t="shared" si="110"/>
        <v/>
      </c>
      <c r="P337" s="46" t="str">
        <f t="shared" si="111"/>
        <v/>
      </c>
      <c r="Q337" s="46" t="str">
        <f t="shared" si="112"/>
        <v/>
      </c>
      <c r="R337" s="46" t="str">
        <f t="shared" si="113"/>
        <v/>
      </c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</row>
    <row r="338">
      <c r="A338" s="83"/>
      <c r="B338" s="28"/>
      <c r="C338" s="83"/>
      <c r="D338" s="37"/>
      <c r="E338" s="37"/>
      <c r="F338" s="84"/>
      <c r="G338" s="37"/>
      <c r="H338" s="59" t="str">
        <f t="shared" si="103"/>
        <v/>
      </c>
      <c r="I338" s="46" t="str">
        <f t="shared" si="104"/>
        <v/>
      </c>
      <c r="J338" s="46" t="str">
        <f t="shared" si="105"/>
        <v/>
      </c>
      <c r="K338" s="46" t="str">
        <f t="shared" si="106"/>
        <v/>
      </c>
      <c r="L338" s="46" t="str">
        <f t="shared" si="107"/>
        <v/>
      </c>
      <c r="M338" s="46" t="str">
        <f t="shared" si="108"/>
        <v/>
      </c>
      <c r="N338" s="46" t="str">
        <f t="shared" si="109"/>
        <v/>
      </c>
      <c r="O338" s="46" t="str">
        <f t="shared" si="110"/>
        <v/>
      </c>
      <c r="P338" s="46" t="str">
        <f t="shared" si="111"/>
        <v/>
      </c>
      <c r="Q338" s="46" t="str">
        <f t="shared" si="112"/>
        <v/>
      </c>
      <c r="R338" s="46" t="str">
        <f t="shared" si="113"/>
        <v/>
      </c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</row>
    <row r="339">
      <c r="A339" s="83"/>
      <c r="B339" s="28"/>
      <c r="C339" s="83"/>
      <c r="D339" s="37"/>
      <c r="E339" s="37"/>
      <c r="F339" s="84"/>
      <c r="G339" s="37"/>
      <c r="H339" s="59" t="str">
        <f t="shared" si="103"/>
        <v/>
      </c>
      <c r="I339" s="46" t="str">
        <f t="shared" si="104"/>
        <v/>
      </c>
      <c r="J339" s="46" t="str">
        <f t="shared" si="105"/>
        <v/>
      </c>
      <c r="K339" s="46" t="str">
        <f t="shared" si="106"/>
        <v/>
      </c>
      <c r="L339" s="46" t="str">
        <f t="shared" si="107"/>
        <v/>
      </c>
      <c r="M339" s="46" t="str">
        <f t="shared" si="108"/>
        <v/>
      </c>
      <c r="N339" s="46" t="str">
        <f t="shared" si="109"/>
        <v/>
      </c>
      <c r="O339" s="46" t="str">
        <f t="shared" si="110"/>
        <v/>
      </c>
      <c r="P339" s="46" t="str">
        <f t="shared" si="111"/>
        <v/>
      </c>
      <c r="Q339" s="46" t="str">
        <f t="shared" si="112"/>
        <v/>
      </c>
      <c r="R339" s="46" t="str">
        <f t="shared" si="113"/>
        <v/>
      </c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</row>
    <row r="340">
      <c r="A340" s="83"/>
      <c r="B340" s="28"/>
      <c r="C340" s="83"/>
      <c r="D340" s="37"/>
      <c r="E340" s="37"/>
      <c r="F340" s="84"/>
      <c r="G340" s="37"/>
      <c r="H340" s="59" t="str">
        <f t="shared" si="103"/>
        <v/>
      </c>
      <c r="I340" s="46" t="str">
        <f t="shared" si="104"/>
        <v/>
      </c>
      <c r="J340" s="46" t="str">
        <f t="shared" si="105"/>
        <v/>
      </c>
      <c r="K340" s="46" t="str">
        <f t="shared" si="106"/>
        <v/>
      </c>
      <c r="L340" s="46" t="str">
        <f t="shared" si="107"/>
        <v/>
      </c>
      <c r="M340" s="46" t="str">
        <f t="shared" si="108"/>
        <v/>
      </c>
      <c r="N340" s="46" t="str">
        <f t="shared" si="109"/>
        <v/>
      </c>
      <c r="O340" s="46" t="str">
        <f t="shared" si="110"/>
        <v/>
      </c>
      <c r="P340" s="46" t="str">
        <f t="shared" si="111"/>
        <v/>
      </c>
      <c r="Q340" s="46" t="str">
        <f t="shared" si="112"/>
        <v/>
      </c>
      <c r="R340" s="46" t="str">
        <f t="shared" si="113"/>
        <v/>
      </c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</row>
    <row r="341">
      <c r="A341" s="83"/>
      <c r="B341" s="28"/>
      <c r="C341" s="83"/>
      <c r="D341" s="37"/>
      <c r="E341" s="37"/>
      <c r="F341" s="84"/>
      <c r="G341" s="37"/>
      <c r="H341" s="59" t="str">
        <f t="shared" si="103"/>
        <v/>
      </c>
      <c r="I341" s="46" t="str">
        <f t="shared" si="104"/>
        <v/>
      </c>
      <c r="J341" s="46" t="str">
        <f t="shared" si="105"/>
        <v/>
      </c>
      <c r="K341" s="46" t="str">
        <f t="shared" si="106"/>
        <v/>
      </c>
      <c r="L341" s="46" t="str">
        <f t="shared" si="107"/>
        <v/>
      </c>
      <c r="M341" s="46" t="str">
        <f t="shared" si="108"/>
        <v/>
      </c>
      <c r="N341" s="46" t="str">
        <f t="shared" si="109"/>
        <v/>
      </c>
      <c r="O341" s="46" t="str">
        <f t="shared" si="110"/>
        <v/>
      </c>
      <c r="P341" s="46" t="str">
        <f t="shared" si="111"/>
        <v/>
      </c>
      <c r="Q341" s="46" t="str">
        <f t="shared" si="112"/>
        <v/>
      </c>
      <c r="R341" s="46" t="str">
        <f t="shared" si="113"/>
        <v/>
      </c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</row>
    <row r="342">
      <c r="A342" s="83"/>
      <c r="B342" s="28"/>
      <c r="C342" s="83"/>
      <c r="D342" s="37"/>
      <c r="E342" s="37"/>
      <c r="F342" s="84"/>
      <c r="G342" s="37"/>
      <c r="H342" s="59" t="str">
        <f t="shared" si="103"/>
        <v/>
      </c>
      <c r="I342" s="46" t="str">
        <f t="shared" si="104"/>
        <v/>
      </c>
      <c r="J342" s="46" t="str">
        <f t="shared" si="105"/>
        <v/>
      </c>
      <c r="K342" s="46" t="str">
        <f t="shared" si="106"/>
        <v/>
      </c>
      <c r="L342" s="46" t="str">
        <f t="shared" si="107"/>
        <v/>
      </c>
      <c r="M342" s="46" t="str">
        <f t="shared" si="108"/>
        <v/>
      </c>
      <c r="N342" s="46" t="str">
        <f t="shared" si="109"/>
        <v/>
      </c>
      <c r="O342" s="46" t="str">
        <f t="shared" si="110"/>
        <v/>
      </c>
      <c r="P342" s="46" t="str">
        <f t="shared" si="111"/>
        <v/>
      </c>
      <c r="Q342" s="46" t="str">
        <f t="shared" si="112"/>
        <v/>
      </c>
      <c r="R342" s="46" t="str">
        <f t="shared" si="113"/>
        <v/>
      </c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</row>
    <row r="343">
      <c r="A343" s="83"/>
      <c r="B343" s="28"/>
      <c r="C343" s="83"/>
      <c r="D343" s="37"/>
      <c r="E343" s="37"/>
      <c r="F343" s="84"/>
      <c r="G343" s="37"/>
      <c r="H343" s="59" t="str">
        <f t="shared" si="103"/>
        <v/>
      </c>
      <c r="I343" s="46" t="str">
        <f t="shared" si="104"/>
        <v/>
      </c>
      <c r="J343" s="46" t="str">
        <f t="shared" si="105"/>
        <v/>
      </c>
      <c r="K343" s="46" t="str">
        <f t="shared" si="106"/>
        <v/>
      </c>
      <c r="L343" s="46" t="str">
        <f t="shared" si="107"/>
        <v/>
      </c>
      <c r="M343" s="46" t="str">
        <f t="shared" si="108"/>
        <v/>
      </c>
      <c r="N343" s="46" t="str">
        <f t="shared" si="109"/>
        <v/>
      </c>
      <c r="O343" s="46" t="str">
        <f t="shared" si="110"/>
        <v/>
      </c>
      <c r="P343" s="46" t="str">
        <f t="shared" si="111"/>
        <v/>
      </c>
      <c r="Q343" s="46" t="str">
        <f t="shared" si="112"/>
        <v/>
      </c>
      <c r="R343" s="46" t="str">
        <f t="shared" si="113"/>
        <v/>
      </c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</row>
    <row r="344">
      <c r="A344" s="83"/>
      <c r="B344" s="28"/>
      <c r="C344" s="83"/>
      <c r="D344" s="37"/>
      <c r="E344" s="37"/>
      <c r="F344" s="84"/>
      <c r="G344" s="37"/>
      <c r="H344" s="59" t="str">
        <f t="shared" si="103"/>
        <v/>
      </c>
      <c r="I344" s="46" t="str">
        <f t="shared" si="104"/>
        <v/>
      </c>
      <c r="J344" s="46" t="str">
        <f t="shared" si="105"/>
        <v/>
      </c>
      <c r="K344" s="46" t="str">
        <f t="shared" si="106"/>
        <v/>
      </c>
      <c r="L344" s="46" t="str">
        <f t="shared" si="107"/>
        <v/>
      </c>
      <c r="M344" s="46" t="str">
        <f t="shared" si="108"/>
        <v/>
      </c>
      <c r="N344" s="46" t="str">
        <f t="shared" si="109"/>
        <v/>
      </c>
      <c r="O344" s="46" t="str">
        <f t="shared" si="110"/>
        <v/>
      </c>
      <c r="P344" s="46" t="str">
        <f t="shared" si="111"/>
        <v/>
      </c>
      <c r="Q344" s="46" t="str">
        <f t="shared" si="112"/>
        <v/>
      </c>
      <c r="R344" s="46" t="str">
        <f t="shared" si="113"/>
        <v/>
      </c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</row>
    <row r="345">
      <c r="A345" s="83"/>
      <c r="B345" s="28"/>
      <c r="C345" s="83"/>
      <c r="D345" s="37"/>
      <c r="E345" s="37"/>
      <c r="F345" s="84"/>
      <c r="G345" s="37"/>
      <c r="H345" s="59" t="str">
        <f t="shared" si="103"/>
        <v/>
      </c>
      <c r="I345" s="46" t="str">
        <f t="shared" si="104"/>
        <v/>
      </c>
      <c r="J345" s="46" t="str">
        <f t="shared" si="105"/>
        <v/>
      </c>
      <c r="K345" s="46" t="str">
        <f t="shared" si="106"/>
        <v/>
      </c>
      <c r="L345" s="46" t="str">
        <f t="shared" si="107"/>
        <v/>
      </c>
      <c r="M345" s="46" t="str">
        <f t="shared" si="108"/>
        <v/>
      </c>
      <c r="N345" s="46" t="str">
        <f t="shared" si="109"/>
        <v/>
      </c>
      <c r="O345" s="46" t="str">
        <f t="shared" si="110"/>
        <v/>
      </c>
      <c r="P345" s="46" t="str">
        <f t="shared" si="111"/>
        <v/>
      </c>
      <c r="Q345" s="46" t="str">
        <f t="shared" si="112"/>
        <v/>
      </c>
      <c r="R345" s="46" t="str">
        <f t="shared" si="113"/>
        <v/>
      </c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</row>
    <row r="346">
      <c r="A346" s="83"/>
      <c r="B346" s="28"/>
      <c r="C346" s="83"/>
      <c r="D346" s="37"/>
      <c r="E346" s="37"/>
      <c r="F346" s="84"/>
      <c r="G346" s="37"/>
      <c r="H346" s="59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</row>
    <row r="347">
      <c r="A347" s="83"/>
      <c r="B347" s="28"/>
      <c r="C347" s="83"/>
      <c r="D347" s="37"/>
      <c r="E347" s="37"/>
      <c r="F347" s="84"/>
      <c r="G347" s="37"/>
      <c r="H347" s="59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</row>
    <row r="348">
      <c r="A348" s="83"/>
      <c r="B348" s="28"/>
      <c r="C348" s="83"/>
      <c r="D348" s="37"/>
      <c r="E348" s="37"/>
      <c r="F348" s="84"/>
      <c r="G348" s="37"/>
      <c r="H348" s="59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</row>
    <row r="349">
      <c r="A349" s="83"/>
      <c r="B349" s="28"/>
      <c r="C349" s="83"/>
      <c r="D349" s="37"/>
      <c r="E349" s="37"/>
      <c r="F349" s="84"/>
      <c r="G349" s="37"/>
      <c r="H349" s="59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</row>
    <row r="350">
      <c r="A350" s="83"/>
      <c r="B350" s="28"/>
      <c r="C350" s="83"/>
      <c r="D350" s="37"/>
      <c r="E350" s="37"/>
      <c r="F350" s="84"/>
      <c r="G350" s="37"/>
      <c r="H350" s="59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</row>
    <row r="351">
      <c r="A351" s="83"/>
      <c r="B351" s="28"/>
      <c r="C351" s="83"/>
      <c r="D351" s="37"/>
      <c r="E351" s="37"/>
      <c r="F351" s="84"/>
      <c r="G351" s="37"/>
      <c r="H351" s="59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</row>
    <row r="352">
      <c r="A352" s="83"/>
      <c r="B352" s="28"/>
      <c r="C352" s="83"/>
      <c r="D352" s="37"/>
      <c r="E352" s="37"/>
      <c r="F352" s="84"/>
      <c r="G352" s="37"/>
      <c r="H352" s="59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</row>
    <row r="353">
      <c r="A353" s="83"/>
      <c r="B353" s="28"/>
      <c r="C353" s="83"/>
      <c r="D353" s="37"/>
      <c r="E353" s="37"/>
      <c r="F353" s="84"/>
      <c r="G353" s="37"/>
      <c r="H353" s="59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</row>
    <row r="354">
      <c r="A354" s="83"/>
      <c r="B354" s="28"/>
      <c r="C354" s="83"/>
      <c r="D354" s="37"/>
      <c r="E354" s="37"/>
      <c r="F354" s="84"/>
      <c r="G354" s="37"/>
      <c r="H354" s="59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</row>
    <row r="355">
      <c r="A355" s="83"/>
      <c r="B355" s="28"/>
      <c r="C355" s="83"/>
      <c r="D355" s="37"/>
      <c r="E355" s="37"/>
      <c r="F355" s="84"/>
      <c r="G355" s="37"/>
      <c r="H355" s="59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</row>
    <row r="356">
      <c r="A356" s="83"/>
      <c r="B356" s="28"/>
      <c r="C356" s="83"/>
      <c r="D356" s="37"/>
      <c r="E356" s="37"/>
      <c r="F356" s="84"/>
      <c r="G356" s="37"/>
      <c r="H356" s="59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</row>
    <row r="357">
      <c r="A357" s="83"/>
      <c r="B357" s="28"/>
      <c r="C357" s="83"/>
      <c r="D357" s="37"/>
      <c r="E357" s="37"/>
      <c r="F357" s="84"/>
      <c r="G357" s="37"/>
      <c r="H357" s="59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</row>
    <row r="358">
      <c r="A358" s="83"/>
      <c r="B358" s="28"/>
      <c r="C358" s="83"/>
      <c r="D358" s="37"/>
      <c r="E358" s="37"/>
      <c r="F358" s="84"/>
      <c r="G358" s="37"/>
      <c r="H358" s="59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</row>
    <row r="359">
      <c r="A359" s="83"/>
      <c r="B359" s="28"/>
      <c r="C359" s="83"/>
      <c r="D359" s="37"/>
      <c r="E359" s="37"/>
      <c r="F359" s="84"/>
      <c r="G359" s="37"/>
      <c r="H359" s="59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</row>
    <row r="360">
      <c r="A360" s="83"/>
      <c r="B360" s="28"/>
      <c r="C360" s="83"/>
      <c r="D360" s="37"/>
      <c r="E360" s="37"/>
      <c r="F360" s="84"/>
      <c r="G360" s="37"/>
      <c r="H360" s="59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</row>
    <row r="361">
      <c r="A361" s="83"/>
      <c r="B361" s="28"/>
      <c r="C361" s="83"/>
      <c r="D361" s="37"/>
      <c r="E361" s="37"/>
      <c r="F361" s="84"/>
      <c r="G361" s="37"/>
      <c r="H361" s="59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</row>
    <row r="362">
      <c r="A362" s="83"/>
      <c r="B362" s="28"/>
      <c r="C362" s="83"/>
      <c r="D362" s="37"/>
      <c r="E362" s="37"/>
      <c r="F362" s="84"/>
      <c r="G362" s="37"/>
      <c r="H362" s="59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</row>
    <row r="363">
      <c r="A363" s="83"/>
      <c r="B363" s="28"/>
      <c r="C363" s="83"/>
      <c r="D363" s="37"/>
      <c r="E363" s="37"/>
      <c r="F363" s="84"/>
      <c r="G363" s="37"/>
      <c r="H363" s="59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</row>
    <row r="364">
      <c r="A364" s="83"/>
      <c r="B364" s="28"/>
      <c r="C364" s="83"/>
      <c r="D364" s="37"/>
      <c r="E364" s="37"/>
      <c r="F364" s="84"/>
      <c r="G364" s="37"/>
      <c r="H364" s="59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</row>
    <row r="365">
      <c r="A365" s="83"/>
      <c r="B365" s="28"/>
      <c r="C365" s="83"/>
      <c r="D365" s="37"/>
      <c r="E365" s="37"/>
      <c r="F365" s="84"/>
      <c r="G365" s="37"/>
      <c r="H365" s="59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</row>
    <row r="366">
      <c r="A366" s="83"/>
      <c r="B366" s="28"/>
      <c r="C366" s="83"/>
      <c r="D366" s="37"/>
      <c r="E366" s="37"/>
      <c r="F366" s="84"/>
      <c r="G366" s="37"/>
      <c r="H366" s="59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</row>
    <row r="367">
      <c r="A367" s="83"/>
      <c r="B367" s="28"/>
      <c r="C367" s="83"/>
      <c r="D367" s="37"/>
      <c r="E367" s="37"/>
      <c r="F367" s="84"/>
      <c r="G367" s="37"/>
      <c r="H367" s="59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</row>
    <row r="368">
      <c r="A368" s="83"/>
      <c r="B368" s="28"/>
      <c r="C368" s="83"/>
      <c r="D368" s="37"/>
      <c r="E368" s="37"/>
      <c r="F368" s="84"/>
      <c r="G368" s="37"/>
      <c r="H368" s="59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</row>
    <row r="369">
      <c r="A369" s="83"/>
      <c r="B369" s="28"/>
      <c r="C369" s="83"/>
      <c r="D369" s="37"/>
      <c r="E369" s="37"/>
      <c r="F369" s="84"/>
      <c r="G369" s="37"/>
      <c r="H369" s="59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</row>
    <row r="370">
      <c r="A370" s="83"/>
      <c r="B370" s="28"/>
      <c r="C370" s="83"/>
      <c r="D370" s="37"/>
      <c r="E370" s="37"/>
      <c r="F370" s="84"/>
      <c r="G370" s="37"/>
      <c r="H370" s="59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</row>
    <row r="371">
      <c r="A371" s="83"/>
      <c r="B371" s="28"/>
      <c r="C371" s="83"/>
      <c r="D371" s="37"/>
      <c r="E371" s="37"/>
      <c r="F371" s="84"/>
      <c r="G371" s="37"/>
      <c r="H371" s="59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</row>
    <row r="372">
      <c r="A372" s="83"/>
      <c r="B372" s="28"/>
      <c r="C372" s="83"/>
      <c r="D372" s="37"/>
      <c r="E372" s="37"/>
      <c r="F372" s="84"/>
      <c r="G372" s="37"/>
      <c r="H372" s="59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</row>
    <row r="373">
      <c r="A373" s="83"/>
      <c r="B373" s="28"/>
      <c r="C373" s="83"/>
      <c r="D373" s="37"/>
      <c r="E373" s="37"/>
      <c r="F373" s="84"/>
      <c r="G373" s="37"/>
      <c r="H373" s="59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</row>
    <row r="374">
      <c r="A374" s="83"/>
      <c r="B374" s="28"/>
      <c r="C374" s="83"/>
      <c r="D374" s="37"/>
      <c r="E374" s="37"/>
      <c r="F374" s="84"/>
      <c r="G374" s="37"/>
      <c r="H374" s="59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</row>
    <row r="375">
      <c r="A375" s="83"/>
      <c r="B375" s="28"/>
      <c r="C375" s="83"/>
      <c r="D375" s="37"/>
      <c r="E375" s="37"/>
      <c r="F375" s="84"/>
      <c r="G375" s="37"/>
      <c r="H375" s="59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</row>
    <row r="376">
      <c r="A376" s="83"/>
      <c r="B376" s="28"/>
      <c r="C376" s="83"/>
      <c r="D376" s="37"/>
      <c r="E376" s="37"/>
      <c r="F376" s="84"/>
      <c r="G376" s="37"/>
      <c r="H376" s="59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</row>
    <row r="377">
      <c r="A377" s="83"/>
      <c r="B377" s="28"/>
      <c r="C377" s="83"/>
      <c r="D377" s="37"/>
      <c r="E377" s="37"/>
      <c r="F377" s="84"/>
      <c r="G377" s="37"/>
      <c r="H377" s="59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</row>
    <row r="378">
      <c r="A378" s="83"/>
      <c r="B378" s="28"/>
      <c r="C378" s="83"/>
      <c r="D378" s="37"/>
      <c r="E378" s="37"/>
      <c r="F378" s="84"/>
      <c r="G378" s="37"/>
      <c r="H378" s="59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</row>
    <row r="379">
      <c r="A379" s="83"/>
      <c r="B379" s="28"/>
      <c r="C379" s="83"/>
      <c r="D379" s="37"/>
      <c r="E379" s="37"/>
      <c r="F379" s="84"/>
      <c r="G379" s="37"/>
      <c r="H379" s="59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</row>
    <row r="380">
      <c r="A380" s="83"/>
      <c r="B380" s="28"/>
      <c r="C380" s="83"/>
      <c r="D380" s="37"/>
      <c r="E380" s="37"/>
      <c r="F380" s="84"/>
      <c r="G380" s="37"/>
      <c r="H380" s="59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</row>
    <row r="381">
      <c r="A381" s="83"/>
      <c r="B381" s="28"/>
      <c r="C381" s="83"/>
      <c r="D381" s="37"/>
      <c r="E381" s="37"/>
      <c r="F381" s="84"/>
      <c r="G381" s="37"/>
      <c r="H381" s="59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</row>
    <row r="382">
      <c r="A382" s="83"/>
      <c r="B382" s="28"/>
      <c r="C382" s="83"/>
      <c r="D382" s="37"/>
      <c r="E382" s="37"/>
      <c r="F382" s="84"/>
      <c r="G382" s="37"/>
      <c r="H382" s="59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</row>
    <row r="383">
      <c r="A383" s="83"/>
      <c r="B383" s="28"/>
      <c r="C383" s="83"/>
      <c r="D383" s="37"/>
      <c r="E383" s="37"/>
      <c r="F383" s="84"/>
      <c r="G383" s="37"/>
      <c r="H383" s="59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</row>
    <row r="384">
      <c r="A384" s="83"/>
      <c r="B384" s="28"/>
      <c r="C384" s="83"/>
      <c r="D384" s="37"/>
      <c r="E384" s="37"/>
      <c r="F384" s="84"/>
      <c r="G384" s="37"/>
      <c r="H384" s="59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</row>
    <row r="385">
      <c r="A385" s="83"/>
      <c r="B385" s="28"/>
      <c r="C385" s="83"/>
      <c r="D385" s="37"/>
      <c r="E385" s="37"/>
      <c r="F385" s="84"/>
      <c r="G385" s="37"/>
      <c r="H385" s="59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</row>
    <row r="386">
      <c r="A386" s="83"/>
      <c r="B386" s="28"/>
      <c r="C386" s="83"/>
      <c r="D386" s="37"/>
      <c r="E386" s="37"/>
      <c r="F386" s="84"/>
      <c r="G386" s="37"/>
      <c r="H386" s="59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</row>
    <row r="387">
      <c r="A387" s="83"/>
      <c r="B387" s="28"/>
      <c r="C387" s="83"/>
      <c r="D387" s="37"/>
      <c r="E387" s="37"/>
      <c r="F387" s="84"/>
      <c r="G387" s="37"/>
      <c r="H387" s="59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</row>
    <row r="388">
      <c r="A388" s="83"/>
      <c r="B388" s="28"/>
      <c r="C388" s="83"/>
      <c r="D388" s="37"/>
      <c r="E388" s="37"/>
      <c r="F388" s="84"/>
      <c r="G388" s="37"/>
      <c r="H388" s="59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</row>
    <row r="389">
      <c r="A389" s="83"/>
      <c r="B389" s="28"/>
      <c r="C389" s="83"/>
      <c r="D389" s="37"/>
      <c r="E389" s="37"/>
      <c r="F389" s="84"/>
      <c r="G389" s="37"/>
      <c r="H389" s="59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</row>
    <row r="390">
      <c r="A390" s="83"/>
      <c r="B390" s="28"/>
      <c r="C390" s="83"/>
      <c r="D390" s="37"/>
      <c r="E390" s="37"/>
      <c r="F390" s="84"/>
      <c r="G390" s="37"/>
      <c r="H390" s="59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</row>
    <row r="391">
      <c r="A391" s="83"/>
      <c r="B391" s="28"/>
      <c r="C391" s="83"/>
      <c r="D391" s="37"/>
      <c r="E391" s="37"/>
      <c r="F391" s="84"/>
      <c r="G391" s="37"/>
      <c r="H391" s="59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</row>
    <row r="392">
      <c r="A392" s="83"/>
      <c r="B392" s="28"/>
      <c r="C392" s="83"/>
      <c r="D392" s="37"/>
      <c r="E392" s="37"/>
      <c r="F392" s="84"/>
      <c r="G392" s="37"/>
      <c r="H392" s="59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</row>
    <row r="393">
      <c r="A393" s="83"/>
      <c r="B393" s="28"/>
      <c r="C393" s="83"/>
      <c r="D393" s="37"/>
      <c r="E393" s="37"/>
      <c r="F393" s="84"/>
      <c r="G393" s="37"/>
      <c r="H393" s="59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</row>
    <row r="394">
      <c r="A394" s="83"/>
      <c r="B394" s="28"/>
      <c r="C394" s="83"/>
      <c r="D394" s="37"/>
      <c r="E394" s="37"/>
      <c r="F394" s="84"/>
      <c r="G394" s="37"/>
      <c r="H394" s="59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</row>
    <row r="395">
      <c r="A395" s="83"/>
      <c r="B395" s="28"/>
      <c r="C395" s="83"/>
      <c r="D395" s="37"/>
      <c r="E395" s="37"/>
      <c r="F395" s="84"/>
      <c r="G395" s="37"/>
      <c r="H395" s="59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</row>
    <row r="396">
      <c r="A396" s="83"/>
      <c r="B396" s="28"/>
      <c r="C396" s="83"/>
      <c r="D396" s="37"/>
      <c r="E396" s="37"/>
      <c r="F396" s="84"/>
      <c r="G396" s="37"/>
      <c r="H396" s="59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</row>
    <row r="397">
      <c r="A397" s="83"/>
      <c r="B397" s="28"/>
      <c r="C397" s="83"/>
      <c r="D397" s="37"/>
      <c r="E397" s="37"/>
      <c r="F397" s="84"/>
      <c r="G397" s="37"/>
      <c r="H397" s="59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</row>
    <row r="398">
      <c r="A398" s="83"/>
      <c r="B398" s="28"/>
      <c r="C398" s="83"/>
      <c r="D398" s="37"/>
      <c r="E398" s="37"/>
      <c r="F398" s="84"/>
      <c r="G398" s="37"/>
      <c r="H398" s="59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</row>
    <row r="399">
      <c r="A399" s="83"/>
      <c r="B399" s="28"/>
      <c r="C399" s="83"/>
      <c r="D399" s="37"/>
      <c r="E399" s="37"/>
      <c r="F399" s="84"/>
      <c r="G399" s="37"/>
      <c r="H399" s="59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</row>
    <row r="400">
      <c r="A400" s="83"/>
      <c r="B400" s="28"/>
      <c r="C400" s="83"/>
      <c r="D400" s="37"/>
      <c r="E400" s="37"/>
      <c r="F400" s="84"/>
      <c r="G400" s="37"/>
      <c r="H400" s="59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</row>
    <row r="401">
      <c r="A401" s="83"/>
      <c r="B401" s="28"/>
      <c r="C401" s="83"/>
      <c r="D401" s="37"/>
      <c r="E401" s="37"/>
      <c r="F401" s="84"/>
      <c r="G401" s="37"/>
      <c r="H401" s="59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</row>
    <row r="402">
      <c r="A402" s="83"/>
      <c r="B402" s="28"/>
      <c r="C402" s="83"/>
      <c r="D402" s="37"/>
      <c r="E402" s="37"/>
      <c r="F402" s="84"/>
      <c r="G402" s="37"/>
      <c r="H402" s="59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</row>
    <row r="403">
      <c r="A403" s="83"/>
      <c r="B403" s="28"/>
      <c r="C403" s="83"/>
      <c r="D403" s="37"/>
      <c r="E403" s="37"/>
      <c r="F403" s="84"/>
      <c r="G403" s="37"/>
      <c r="H403" s="59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</row>
    <row r="404">
      <c r="A404" s="83"/>
      <c r="B404" s="28"/>
      <c r="C404" s="83"/>
      <c r="D404" s="37"/>
      <c r="E404" s="37"/>
      <c r="F404" s="84"/>
      <c r="G404" s="37"/>
      <c r="H404" s="59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</row>
    <row r="405">
      <c r="A405" s="83"/>
      <c r="B405" s="28"/>
      <c r="C405" s="83"/>
      <c r="D405" s="37"/>
      <c r="E405" s="37"/>
      <c r="F405" s="84"/>
      <c r="G405" s="37"/>
      <c r="H405" s="59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</row>
    <row r="406">
      <c r="A406" s="83"/>
      <c r="B406" s="28"/>
      <c r="C406" s="83"/>
      <c r="D406" s="37"/>
      <c r="E406" s="37"/>
      <c r="F406" s="84"/>
      <c r="G406" s="37"/>
      <c r="H406" s="59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</row>
    <row r="407">
      <c r="A407" s="83"/>
      <c r="B407" s="28"/>
      <c r="C407" s="83"/>
      <c r="D407" s="37"/>
      <c r="E407" s="37"/>
      <c r="F407" s="84"/>
      <c r="G407" s="37"/>
      <c r="H407" s="59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</row>
    <row r="408">
      <c r="A408" s="83"/>
      <c r="B408" s="28"/>
      <c r="C408" s="83"/>
      <c r="D408" s="37"/>
      <c r="E408" s="37"/>
      <c r="F408" s="84"/>
      <c r="G408" s="37"/>
      <c r="H408" s="59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</row>
    <row r="409">
      <c r="A409" s="83"/>
      <c r="B409" s="28"/>
      <c r="C409" s="83"/>
      <c r="D409" s="37"/>
      <c r="E409" s="37"/>
      <c r="F409" s="84"/>
      <c r="G409" s="37"/>
      <c r="H409" s="59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</row>
    <row r="410">
      <c r="A410" s="83"/>
      <c r="B410" s="28"/>
      <c r="C410" s="83"/>
      <c r="D410" s="37"/>
      <c r="E410" s="37"/>
      <c r="F410" s="84"/>
      <c r="G410" s="37"/>
      <c r="H410" s="59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</row>
    <row r="411">
      <c r="A411" s="83"/>
      <c r="B411" s="28"/>
      <c r="C411" s="83"/>
      <c r="D411" s="37"/>
      <c r="E411" s="37"/>
      <c r="F411" s="84"/>
      <c r="G411" s="37"/>
      <c r="H411" s="59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</row>
    <row r="412">
      <c r="A412" s="83"/>
      <c r="B412" s="28"/>
      <c r="C412" s="83"/>
      <c r="D412" s="37"/>
      <c r="E412" s="37"/>
      <c r="F412" s="84"/>
      <c r="G412" s="37"/>
      <c r="H412" s="59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</row>
    <row r="413">
      <c r="A413" s="83"/>
      <c r="B413" s="28"/>
      <c r="C413" s="83"/>
      <c r="D413" s="37"/>
      <c r="E413" s="37"/>
      <c r="F413" s="84"/>
      <c r="G413" s="37"/>
      <c r="H413" s="59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</row>
    <row r="414">
      <c r="A414" s="83"/>
      <c r="B414" s="28"/>
      <c r="C414" s="83"/>
      <c r="D414" s="37"/>
      <c r="E414" s="37"/>
      <c r="F414" s="84"/>
      <c r="G414" s="37"/>
      <c r="H414" s="59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</row>
    <row r="415">
      <c r="A415" s="83"/>
      <c r="B415" s="28"/>
      <c r="C415" s="83"/>
      <c r="D415" s="37"/>
      <c r="E415" s="37"/>
      <c r="F415" s="84"/>
      <c r="G415" s="37"/>
      <c r="H415" s="59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</row>
    <row r="416">
      <c r="A416" s="83"/>
      <c r="B416" s="28"/>
      <c r="C416" s="83"/>
      <c r="D416" s="37"/>
      <c r="E416" s="37"/>
      <c r="F416" s="84"/>
      <c r="G416" s="37"/>
      <c r="H416" s="59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</row>
    <row r="417">
      <c r="A417" s="83"/>
      <c r="B417" s="28"/>
      <c r="C417" s="83"/>
      <c r="D417" s="37"/>
      <c r="E417" s="37"/>
      <c r="F417" s="84"/>
      <c r="G417" s="37"/>
      <c r="H417" s="59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</row>
    <row r="418">
      <c r="A418" s="83"/>
      <c r="B418" s="28"/>
      <c r="C418" s="83"/>
      <c r="D418" s="37"/>
      <c r="E418" s="37"/>
      <c r="F418" s="84"/>
      <c r="G418" s="37"/>
      <c r="H418" s="59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</row>
    <row r="419">
      <c r="A419" s="83"/>
      <c r="B419" s="28"/>
      <c r="C419" s="83"/>
      <c r="D419" s="37"/>
      <c r="E419" s="37"/>
      <c r="F419" s="84"/>
      <c r="G419" s="37"/>
      <c r="H419" s="59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</row>
    <row r="420">
      <c r="A420" s="83"/>
      <c r="B420" s="28"/>
      <c r="C420" s="83"/>
      <c r="D420" s="37"/>
      <c r="E420" s="37"/>
      <c r="F420" s="84"/>
      <c r="G420" s="37"/>
      <c r="H420" s="59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</row>
    <row r="421">
      <c r="A421" s="83"/>
      <c r="B421" s="28"/>
      <c r="C421" s="83"/>
      <c r="D421" s="37"/>
      <c r="E421" s="37"/>
      <c r="F421" s="84"/>
      <c r="G421" s="37"/>
      <c r="H421" s="59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</row>
    <row r="422">
      <c r="A422" s="83"/>
      <c r="B422" s="28"/>
      <c r="C422" s="83"/>
      <c r="D422" s="37"/>
      <c r="E422" s="37"/>
      <c r="F422" s="84"/>
      <c r="G422" s="37"/>
      <c r="H422" s="59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</row>
    <row r="423">
      <c r="A423" s="83"/>
      <c r="B423" s="28"/>
      <c r="C423" s="83"/>
      <c r="D423" s="37"/>
      <c r="E423" s="37"/>
      <c r="F423" s="84"/>
      <c r="G423" s="37"/>
      <c r="H423" s="59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</row>
    <row r="424">
      <c r="A424" s="83"/>
      <c r="B424" s="28"/>
      <c r="C424" s="83"/>
      <c r="D424" s="37"/>
      <c r="E424" s="37"/>
      <c r="F424" s="84"/>
      <c r="G424" s="37"/>
      <c r="H424" s="59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</row>
    <row r="425">
      <c r="A425" s="83"/>
      <c r="B425" s="28"/>
      <c r="C425" s="83"/>
      <c r="D425" s="37"/>
      <c r="E425" s="37"/>
      <c r="F425" s="84"/>
      <c r="G425" s="37"/>
      <c r="H425" s="59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</row>
    <row r="426">
      <c r="A426" s="83"/>
      <c r="B426" s="28"/>
      <c r="C426" s="83"/>
      <c r="D426" s="37"/>
      <c r="E426" s="37"/>
      <c r="F426" s="84"/>
      <c r="G426" s="37"/>
      <c r="H426" s="59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</row>
    <row r="427">
      <c r="A427" s="83"/>
      <c r="B427" s="28"/>
      <c r="C427" s="83"/>
      <c r="D427" s="37"/>
      <c r="E427" s="37"/>
      <c r="F427" s="84"/>
      <c r="G427" s="37"/>
      <c r="H427" s="59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</row>
    <row r="428">
      <c r="A428" s="83"/>
      <c r="B428" s="28"/>
      <c r="C428" s="83"/>
      <c r="D428" s="37"/>
      <c r="E428" s="37"/>
      <c r="F428" s="84"/>
      <c r="G428" s="37"/>
      <c r="H428" s="59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</row>
    <row r="429">
      <c r="A429" s="83"/>
      <c r="B429" s="28"/>
      <c r="C429" s="83"/>
      <c r="D429" s="37"/>
      <c r="E429" s="37"/>
      <c r="F429" s="84"/>
      <c r="G429" s="37"/>
      <c r="H429" s="59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</row>
    <row r="430">
      <c r="A430" s="83"/>
      <c r="B430" s="28"/>
      <c r="C430" s="83"/>
      <c r="D430" s="37"/>
      <c r="E430" s="37"/>
      <c r="F430" s="84"/>
      <c r="G430" s="37"/>
      <c r="H430" s="59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</row>
    <row r="431">
      <c r="A431" s="83"/>
      <c r="B431" s="28"/>
      <c r="C431" s="83"/>
      <c r="D431" s="37"/>
      <c r="E431" s="37"/>
      <c r="F431" s="84"/>
      <c r="G431" s="37"/>
      <c r="H431" s="59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</row>
    <row r="432">
      <c r="A432" s="83"/>
      <c r="B432" s="28"/>
      <c r="C432" s="83"/>
      <c r="D432" s="37"/>
      <c r="E432" s="37"/>
      <c r="F432" s="84"/>
      <c r="G432" s="37"/>
      <c r="H432" s="59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</row>
    <row r="433">
      <c r="A433" s="83"/>
      <c r="B433" s="28"/>
      <c r="C433" s="83"/>
      <c r="D433" s="37"/>
      <c r="E433" s="37"/>
      <c r="F433" s="84"/>
      <c r="G433" s="37"/>
      <c r="H433" s="59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</row>
    <row r="434">
      <c r="A434" s="83"/>
      <c r="B434" s="28"/>
      <c r="C434" s="83"/>
      <c r="D434" s="37"/>
      <c r="E434" s="37"/>
      <c r="F434" s="84"/>
      <c r="G434" s="37"/>
      <c r="H434" s="59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</row>
    <row r="435">
      <c r="A435" s="83"/>
      <c r="B435" s="28"/>
      <c r="C435" s="83"/>
      <c r="D435" s="37"/>
      <c r="E435" s="37"/>
      <c r="F435" s="84"/>
      <c r="G435" s="37"/>
      <c r="H435" s="59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</row>
    <row r="436">
      <c r="A436" s="83"/>
      <c r="B436" s="28"/>
      <c r="C436" s="83"/>
      <c r="D436" s="37"/>
      <c r="E436" s="37"/>
      <c r="F436" s="84"/>
      <c r="G436" s="37"/>
      <c r="H436" s="59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</row>
    <row r="437">
      <c r="A437" s="83"/>
      <c r="B437" s="28"/>
      <c r="C437" s="83"/>
      <c r="D437" s="37"/>
      <c r="E437" s="37"/>
      <c r="F437" s="84"/>
      <c r="G437" s="37"/>
      <c r="H437" s="59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</row>
    <row r="438">
      <c r="A438" s="83"/>
      <c r="B438" s="28"/>
      <c r="C438" s="83"/>
      <c r="D438" s="37"/>
      <c r="E438" s="37"/>
      <c r="F438" s="84"/>
      <c r="G438" s="37"/>
      <c r="H438" s="59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</row>
    <row r="439">
      <c r="A439" s="83"/>
      <c r="B439" s="28"/>
      <c r="C439" s="83"/>
      <c r="D439" s="37"/>
      <c r="E439" s="37"/>
      <c r="F439" s="84"/>
      <c r="G439" s="37"/>
      <c r="H439" s="59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</row>
    <row r="440">
      <c r="A440" s="83"/>
      <c r="B440" s="28"/>
      <c r="C440" s="83"/>
      <c r="D440" s="37"/>
      <c r="E440" s="37"/>
      <c r="F440" s="84"/>
      <c r="G440" s="37"/>
      <c r="H440" s="59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</row>
    <row r="441">
      <c r="A441" s="83"/>
      <c r="B441" s="28"/>
      <c r="C441" s="83"/>
      <c r="D441" s="37"/>
      <c r="E441" s="37"/>
      <c r="F441" s="84"/>
      <c r="G441" s="37"/>
      <c r="H441" s="59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</row>
    <row r="442">
      <c r="A442" s="83"/>
      <c r="B442" s="28"/>
      <c r="C442" s="83"/>
      <c r="D442" s="37"/>
      <c r="E442" s="37"/>
      <c r="F442" s="84"/>
      <c r="G442" s="37"/>
      <c r="H442" s="59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</row>
    <row r="443">
      <c r="A443" s="83"/>
      <c r="B443" s="28"/>
      <c r="C443" s="83"/>
      <c r="D443" s="37"/>
      <c r="E443" s="37"/>
      <c r="F443" s="84"/>
      <c r="G443" s="37"/>
      <c r="H443" s="59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</row>
    <row r="444">
      <c r="A444" s="83"/>
      <c r="B444" s="28"/>
      <c r="C444" s="83"/>
      <c r="D444" s="37"/>
      <c r="E444" s="37"/>
      <c r="F444" s="84"/>
      <c r="G444" s="37"/>
      <c r="H444" s="59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</row>
    <row r="445">
      <c r="A445" s="83"/>
      <c r="B445" s="28"/>
      <c r="C445" s="83"/>
      <c r="D445" s="37"/>
      <c r="E445" s="37"/>
      <c r="F445" s="84"/>
      <c r="G445" s="37"/>
      <c r="H445" s="59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</row>
    <row r="446">
      <c r="A446" s="83"/>
      <c r="B446" s="28"/>
      <c r="C446" s="83"/>
      <c r="D446" s="37"/>
      <c r="E446" s="37"/>
      <c r="F446" s="84"/>
      <c r="G446" s="37"/>
      <c r="H446" s="59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</row>
    <row r="447">
      <c r="A447" s="83"/>
      <c r="B447" s="28"/>
      <c r="C447" s="83"/>
      <c r="D447" s="37"/>
      <c r="E447" s="37"/>
      <c r="F447" s="84"/>
      <c r="G447" s="37"/>
      <c r="H447" s="59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</row>
    <row r="448">
      <c r="A448" s="83"/>
      <c r="B448" s="28"/>
      <c r="C448" s="83"/>
      <c r="D448" s="37"/>
      <c r="E448" s="37"/>
      <c r="F448" s="84"/>
      <c r="G448" s="37"/>
      <c r="H448" s="59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</row>
    <row r="449">
      <c r="A449" s="83"/>
      <c r="B449" s="28"/>
      <c r="C449" s="83"/>
      <c r="D449" s="37"/>
      <c r="E449" s="37"/>
      <c r="F449" s="84"/>
      <c r="G449" s="37"/>
      <c r="H449" s="59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</row>
    <row r="450">
      <c r="A450" s="83"/>
      <c r="B450" s="28"/>
      <c r="C450" s="83"/>
      <c r="D450" s="37"/>
      <c r="E450" s="37"/>
      <c r="F450" s="84"/>
      <c r="G450" s="37"/>
      <c r="H450" s="59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</row>
    <row r="451">
      <c r="A451" s="83"/>
      <c r="B451" s="28"/>
      <c r="C451" s="83"/>
      <c r="D451" s="37"/>
      <c r="E451" s="37"/>
      <c r="F451" s="84"/>
      <c r="G451" s="37"/>
      <c r="H451" s="59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</row>
    <row r="452">
      <c r="A452" s="83"/>
      <c r="B452" s="28"/>
      <c r="C452" s="83"/>
      <c r="D452" s="37"/>
      <c r="E452" s="37"/>
      <c r="F452" s="84"/>
      <c r="G452" s="37"/>
      <c r="H452" s="59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</row>
    <row r="453">
      <c r="A453" s="83"/>
      <c r="B453" s="28"/>
      <c r="C453" s="83"/>
      <c r="D453" s="37"/>
      <c r="E453" s="37"/>
      <c r="F453" s="84"/>
      <c r="G453" s="37"/>
      <c r="H453" s="59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</row>
    <row r="454">
      <c r="A454" s="83"/>
      <c r="B454" s="28"/>
      <c r="C454" s="83"/>
      <c r="D454" s="37"/>
      <c r="E454" s="37"/>
      <c r="F454" s="84"/>
      <c r="G454" s="37"/>
      <c r="H454" s="59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</row>
    <row r="455">
      <c r="A455" s="83"/>
      <c r="B455" s="28"/>
      <c r="C455" s="83"/>
      <c r="D455" s="37"/>
      <c r="E455" s="37"/>
      <c r="F455" s="84"/>
      <c r="G455" s="37"/>
      <c r="H455" s="59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</row>
    <row r="456">
      <c r="A456" s="83"/>
      <c r="B456" s="28"/>
      <c r="C456" s="83"/>
      <c r="D456" s="37"/>
      <c r="E456" s="37"/>
      <c r="F456" s="84"/>
      <c r="G456" s="37"/>
      <c r="H456" s="59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</row>
    <row r="457">
      <c r="A457" s="83"/>
      <c r="B457" s="28"/>
      <c r="C457" s="83"/>
      <c r="D457" s="37"/>
      <c r="E457" s="37"/>
      <c r="F457" s="84"/>
      <c r="G457" s="37"/>
      <c r="H457" s="59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</row>
    <row r="458">
      <c r="A458" s="83"/>
      <c r="B458" s="28"/>
      <c r="C458" s="83"/>
      <c r="D458" s="37"/>
      <c r="E458" s="37"/>
      <c r="F458" s="84"/>
      <c r="G458" s="37"/>
      <c r="H458" s="59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</row>
    <row r="459">
      <c r="A459" s="83"/>
      <c r="B459" s="28"/>
      <c r="C459" s="83"/>
      <c r="D459" s="37"/>
      <c r="E459" s="37"/>
      <c r="F459" s="84"/>
      <c r="G459" s="37"/>
      <c r="H459" s="59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</row>
    <row r="460">
      <c r="A460" s="83"/>
      <c r="B460" s="28"/>
      <c r="C460" s="83"/>
      <c r="D460" s="37"/>
      <c r="E460" s="37"/>
      <c r="F460" s="84"/>
      <c r="G460" s="37"/>
      <c r="H460" s="59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</row>
    <row r="461">
      <c r="A461" s="83"/>
      <c r="B461" s="28"/>
      <c r="C461" s="83"/>
      <c r="D461" s="37"/>
      <c r="E461" s="37"/>
      <c r="F461" s="84"/>
      <c r="G461" s="37"/>
      <c r="H461" s="59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</row>
    <row r="462">
      <c r="A462" s="83"/>
      <c r="B462" s="28"/>
      <c r="C462" s="83"/>
      <c r="D462" s="37"/>
      <c r="E462" s="37"/>
      <c r="F462" s="84"/>
      <c r="G462" s="37"/>
      <c r="H462" s="59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</row>
    <row r="463">
      <c r="A463" s="83"/>
      <c r="B463" s="28"/>
      <c r="C463" s="83"/>
      <c r="D463" s="37"/>
      <c r="E463" s="37"/>
      <c r="F463" s="84"/>
      <c r="G463" s="37"/>
      <c r="H463" s="59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</row>
    <row r="464">
      <c r="A464" s="83"/>
      <c r="B464" s="28"/>
      <c r="C464" s="83"/>
      <c r="D464" s="37"/>
      <c r="E464" s="37"/>
      <c r="F464" s="84"/>
      <c r="G464" s="37"/>
      <c r="H464" s="59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</row>
    <row r="465">
      <c r="A465" s="83"/>
      <c r="B465" s="28"/>
      <c r="C465" s="83"/>
      <c r="D465" s="37"/>
      <c r="E465" s="37"/>
      <c r="F465" s="84"/>
      <c r="G465" s="37"/>
      <c r="H465" s="59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</row>
    <row r="466">
      <c r="A466" s="83"/>
      <c r="B466" s="28"/>
      <c r="C466" s="83"/>
      <c r="D466" s="37"/>
      <c r="E466" s="37"/>
      <c r="F466" s="84"/>
      <c r="G466" s="37"/>
      <c r="H466" s="59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</row>
    <row r="467">
      <c r="A467" s="83"/>
      <c r="B467" s="28"/>
      <c r="C467" s="83"/>
      <c r="D467" s="37"/>
      <c r="E467" s="37"/>
      <c r="F467" s="84"/>
      <c r="G467" s="37"/>
      <c r="H467" s="59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</row>
    <row r="468">
      <c r="A468" s="83"/>
      <c r="B468" s="28"/>
      <c r="C468" s="83"/>
      <c r="D468" s="37"/>
      <c r="E468" s="37"/>
      <c r="F468" s="84"/>
      <c r="G468" s="37"/>
      <c r="H468" s="59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</row>
    <row r="469">
      <c r="A469" s="83"/>
      <c r="B469" s="28"/>
      <c r="C469" s="83"/>
      <c r="D469" s="37"/>
      <c r="E469" s="37"/>
      <c r="F469" s="84"/>
      <c r="G469" s="37"/>
      <c r="H469" s="59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</row>
    <row r="470">
      <c r="A470" s="83"/>
      <c r="B470" s="28"/>
      <c r="C470" s="83"/>
      <c r="D470" s="37"/>
      <c r="E470" s="37"/>
      <c r="F470" s="84"/>
      <c r="G470" s="37"/>
      <c r="H470" s="59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</row>
    <row r="471">
      <c r="A471" s="83"/>
      <c r="B471" s="28"/>
      <c r="C471" s="83"/>
      <c r="D471" s="37"/>
      <c r="E471" s="37"/>
      <c r="F471" s="84"/>
      <c r="G471" s="37"/>
      <c r="H471" s="59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</row>
    <row r="472">
      <c r="A472" s="83"/>
      <c r="B472" s="28"/>
      <c r="C472" s="83"/>
      <c r="D472" s="37"/>
      <c r="E472" s="37"/>
      <c r="F472" s="84"/>
      <c r="G472" s="37"/>
      <c r="H472" s="59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</row>
    <row r="473">
      <c r="A473" s="83"/>
      <c r="B473" s="28"/>
      <c r="C473" s="83"/>
      <c r="D473" s="37"/>
      <c r="E473" s="37"/>
      <c r="F473" s="84"/>
      <c r="G473" s="37"/>
      <c r="H473" s="59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</row>
    <row r="474">
      <c r="A474" s="83"/>
      <c r="B474" s="28"/>
      <c r="C474" s="83"/>
      <c r="D474" s="37"/>
      <c r="E474" s="37"/>
      <c r="F474" s="84"/>
      <c r="G474" s="37"/>
      <c r="H474" s="59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</row>
    <row r="475">
      <c r="A475" s="83"/>
      <c r="B475" s="28"/>
      <c r="C475" s="83"/>
      <c r="D475" s="37"/>
      <c r="E475" s="37"/>
      <c r="F475" s="84"/>
      <c r="G475" s="37"/>
      <c r="H475" s="59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</row>
    <row r="476">
      <c r="A476" s="83"/>
      <c r="B476" s="28"/>
      <c r="C476" s="83"/>
      <c r="D476" s="37"/>
      <c r="E476" s="37"/>
      <c r="F476" s="84"/>
      <c r="G476" s="37"/>
      <c r="H476" s="59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</row>
    <row r="477">
      <c r="A477" s="83"/>
      <c r="B477" s="28"/>
      <c r="C477" s="83"/>
      <c r="D477" s="37"/>
      <c r="E477" s="37"/>
      <c r="F477" s="84"/>
      <c r="G477" s="37"/>
      <c r="H477" s="59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</row>
    <row r="478">
      <c r="A478" s="83"/>
      <c r="B478" s="28"/>
      <c r="C478" s="83"/>
      <c r="D478" s="37"/>
      <c r="E478" s="37"/>
      <c r="F478" s="84"/>
      <c r="G478" s="37"/>
      <c r="H478" s="59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</row>
    <row r="479">
      <c r="A479" s="83"/>
      <c r="B479" s="28"/>
      <c r="C479" s="83"/>
      <c r="D479" s="37"/>
      <c r="E479" s="37"/>
      <c r="F479" s="84"/>
      <c r="G479" s="37"/>
      <c r="H479" s="59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</row>
    <row r="480">
      <c r="A480" s="83"/>
      <c r="B480" s="28"/>
      <c r="C480" s="83"/>
      <c r="D480" s="37"/>
      <c r="E480" s="37"/>
      <c r="F480" s="84"/>
      <c r="G480" s="37"/>
      <c r="H480" s="59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</row>
    <row r="481">
      <c r="A481" s="83"/>
      <c r="B481" s="28"/>
      <c r="C481" s="83"/>
      <c r="D481" s="37"/>
      <c r="E481" s="37"/>
      <c r="F481" s="84"/>
      <c r="G481" s="37"/>
      <c r="H481" s="59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</row>
    <row r="482">
      <c r="A482" s="83"/>
      <c r="B482" s="28"/>
      <c r="C482" s="83"/>
      <c r="D482" s="37"/>
      <c r="E482" s="37"/>
      <c r="F482" s="84"/>
      <c r="G482" s="37"/>
      <c r="H482" s="59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</row>
    <row r="483">
      <c r="A483" s="83"/>
      <c r="B483" s="28"/>
      <c r="C483" s="83"/>
      <c r="D483" s="37"/>
      <c r="E483" s="37"/>
      <c r="F483" s="84"/>
      <c r="G483" s="37"/>
      <c r="H483" s="59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</row>
    <row r="484">
      <c r="A484" s="83"/>
      <c r="B484" s="28"/>
      <c r="C484" s="83"/>
      <c r="D484" s="37"/>
      <c r="E484" s="37"/>
      <c r="F484" s="84"/>
      <c r="G484" s="37"/>
      <c r="H484" s="59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</row>
    <row r="485">
      <c r="A485" s="83"/>
      <c r="B485" s="28"/>
      <c r="C485" s="83"/>
      <c r="D485" s="37"/>
      <c r="E485" s="37"/>
      <c r="F485" s="84"/>
      <c r="G485" s="37"/>
      <c r="H485" s="59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</row>
    <row r="486">
      <c r="A486" s="83"/>
      <c r="B486" s="28"/>
      <c r="C486" s="83"/>
      <c r="D486" s="37"/>
      <c r="E486" s="37"/>
      <c r="F486" s="84"/>
      <c r="G486" s="37"/>
      <c r="H486" s="59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</row>
    <row r="487">
      <c r="A487" s="83"/>
      <c r="B487" s="28"/>
      <c r="C487" s="83"/>
      <c r="D487" s="37"/>
      <c r="E487" s="37"/>
      <c r="F487" s="84"/>
      <c r="G487" s="37"/>
      <c r="H487" s="59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</row>
    <row r="488">
      <c r="A488" s="83"/>
      <c r="B488" s="28"/>
      <c r="C488" s="83"/>
      <c r="D488" s="37"/>
      <c r="E488" s="37"/>
      <c r="F488" s="84"/>
      <c r="G488" s="37"/>
      <c r="H488" s="59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</row>
    <row r="489">
      <c r="A489" s="83"/>
      <c r="B489" s="28"/>
      <c r="C489" s="83"/>
      <c r="D489" s="37"/>
      <c r="E489" s="37"/>
      <c r="F489" s="84"/>
      <c r="G489" s="37"/>
      <c r="H489" s="59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</row>
    <row r="490">
      <c r="A490" s="83"/>
      <c r="B490" s="28"/>
      <c r="C490" s="83"/>
      <c r="D490" s="37"/>
      <c r="E490" s="37"/>
      <c r="F490" s="84"/>
      <c r="G490" s="37"/>
      <c r="H490" s="59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</row>
    <row r="491">
      <c r="A491" s="83"/>
      <c r="B491" s="28"/>
      <c r="C491" s="83"/>
      <c r="D491" s="37"/>
      <c r="E491" s="37"/>
      <c r="F491" s="84"/>
      <c r="G491" s="37"/>
      <c r="H491" s="59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</row>
    <row r="492">
      <c r="A492" s="83"/>
      <c r="B492" s="28"/>
      <c r="C492" s="83"/>
      <c r="D492" s="37"/>
      <c r="E492" s="37"/>
      <c r="F492" s="84"/>
      <c r="G492" s="37"/>
      <c r="H492" s="59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</row>
    <row r="493">
      <c r="A493" s="83"/>
      <c r="B493" s="28"/>
      <c r="C493" s="83"/>
      <c r="D493" s="37"/>
      <c r="E493" s="37"/>
      <c r="F493" s="84"/>
      <c r="G493" s="37"/>
      <c r="H493" s="59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</row>
    <row r="494">
      <c r="A494" s="83"/>
      <c r="B494" s="28"/>
      <c r="C494" s="83"/>
      <c r="D494" s="37"/>
      <c r="E494" s="37"/>
      <c r="F494" s="84"/>
      <c r="G494" s="37"/>
      <c r="H494" s="59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</row>
    <row r="495">
      <c r="A495" s="83"/>
      <c r="B495" s="28"/>
      <c r="C495" s="83"/>
      <c r="D495" s="37"/>
      <c r="E495" s="37"/>
      <c r="F495" s="84"/>
      <c r="G495" s="37"/>
      <c r="H495" s="59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</row>
    <row r="496">
      <c r="A496" s="83"/>
      <c r="B496" s="28"/>
      <c r="C496" s="83"/>
      <c r="D496" s="37"/>
      <c r="E496" s="37"/>
      <c r="F496" s="84"/>
      <c r="G496" s="37"/>
      <c r="H496" s="59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</row>
    <row r="497">
      <c r="A497" s="83"/>
      <c r="B497" s="28"/>
      <c r="C497" s="83"/>
      <c r="D497" s="37"/>
      <c r="E497" s="37"/>
      <c r="F497" s="84"/>
      <c r="G497" s="37"/>
      <c r="H497" s="59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</row>
    <row r="498">
      <c r="A498" s="83"/>
      <c r="B498" s="28"/>
      <c r="C498" s="83"/>
      <c r="D498" s="37"/>
      <c r="E498" s="37"/>
      <c r="F498" s="84"/>
      <c r="G498" s="37"/>
      <c r="H498" s="59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</row>
    <row r="499">
      <c r="A499" s="83"/>
      <c r="B499" s="28"/>
      <c r="C499" s="83"/>
      <c r="D499" s="37"/>
      <c r="E499" s="37"/>
      <c r="F499" s="84"/>
      <c r="G499" s="37"/>
      <c r="H499" s="59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</row>
    <row r="500">
      <c r="A500" s="83"/>
      <c r="B500" s="28"/>
      <c r="C500" s="83"/>
      <c r="D500" s="37"/>
      <c r="E500" s="37"/>
      <c r="F500" s="84"/>
      <c r="G500" s="37"/>
      <c r="H500" s="59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</row>
    <row r="501">
      <c r="A501" s="83"/>
      <c r="B501" s="28"/>
      <c r="C501" s="83"/>
      <c r="D501" s="37"/>
      <c r="E501" s="37"/>
      <c r="F501" s="84"/>
      <c r="G501" s="37"/>
      <c r="H501" s="59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</row>
    <row r="502">
      <c r="A502" s="83"/>
      <c r="B502" s="28"/>
      <c r="C502" s="83"/>
      <c r="D502" s="37"/>
      <c r="E502" s="37"/>
      <c r="F502" s="84"/>
      <c r="G502" s="37"/>
      <c r="H502" s="59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</row>
    <row r="503">
      <c r="A503" s="83"/>
      <c r="B503" s="28"/>
      <c r="C503" s="83"/>
      <c r="D503" s="37"/>
      <c r="E503" s="37"/>
      <c r="F503" s="84"/>
      <c r="G503" s="37"/>
      <c r="H503" s="59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</row>
    <row r="504">
      <c r="A504" s="83"/>
      <c r="B504" s="28"/>
      <c r="C504" s="83"/>
      <c r="D504" s="37"/>
      <c r="E504" s="37"/>
      <c r="F504" s="84"/>
      <c r="G504" s="37"/>
      <c r="H504" s="59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</row>
    <row r="505">
      <c r="A505" s="83"/>
      <c r="B505" s="28"/>
      <c r="C505" s="83"/>
      <c r="D505" s="37"/>
      <c r="E505" s="37"/>
      <c r="F505" s="84"/>
      <c r="G505" s="37"/>
      <c r="H505" s="59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</row>
    <row r="506">
      <c r="A506" s="83"/>
      <c r="B506" s="28"/>
      <c r="C506" s="83"/>
      <c r="D506" s="37"/>
      <c r="E506" s="37"/>
      <c r="F506" s="84"/>
      <c r="G506" s="37"/>
      <c r="H506" s="59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</row>
    <row r="507">
      <c r="A507" s="83"/>
      <c r="B507" s="28"/>
      <c r="C507" s="83"/>
      <c r="D507" s="37"/>
      <c r="E507" s="37"/>
      <c r="F507" s="84"/>
      <c r="G507" s="37"/>
      <c r="H507" s="59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</row>
    <row r="508">
      <c r="A508" s="83"/>
      <c r="B508" s="28"/>
      <c r="C508" s="83"/>
      <c r="D508" s="37"/>
      <c r="E508" s="37"/>
      <c r="F508" s="84"/>
      <c r="G508" s="37"/>
      <c r="H508" s="59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</row>
    <row r="509">
      <c r="A509" s="83"/>
      <c r="B509" s="28"/>
      <c r="C509" s="83"/>
      <c r="D509" s="37"/>
      <c r="E509" s="37"/>
      <c r="F509" s="84"/>
      <c r="G509" s="37"/>
      <c r="H509" s="59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</row>
    <row r="510">
      <c r="A510" s="83"/>
      <c r="B510" s="28"/>
      <c r="C510" s="83"/>
      <c r="D510" s="37"/>
      <c r="E510" s="37"/>
      <c r="F510" s="84"/>
      <c r="G510" s="37"/>
      <c r="H510" s="59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</row>
    <row r="511">
      <c r="A511" s="83"/>
      <c r="B511" s="28"/>
      <c r="C511" s="83"/>
      <c r="D511" s="37"/>
      <c r="E511" s="37"/>
      <c r="F511" s="84"/>
      <c r="G511" s="37"/>
      <c r="H511" s="59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</row>
    <row r="512">
      <c r="A512" s="83"/>
      <c r="B512" s="28"/>
      <c r="C512" s="83"/>
      <c r="D512" s="37"/>
      <c r="E512" s="37"/>
      <c r="F512" s="84"/>
      <c r="G512" s="37"/>
      <c r="H512" s="59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</row>
    <row r="513">
      <c r="A513" s="83"/>
      <c r="B513" s="28"/>
      <c r="C513" s="83"/>
      <c r="D513" s="37"/>
      <c r="E513" s="37"/>
      <c r="F513" s="84"/>
      <c r="G513" s="37"/>
      <c r="H513" s="59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</row>
    <row r="514">
      <c r="A514" s="83"/>
      <c r="B514" s="28"/>
      <c r="C514" s="83"/>
      <c r="D514" s="37"/>
      <c r="E514" s="37"/>
      <c r="F514" s="84"/>
      <c r="G514" s="37"/>
      <c r="H514" s="59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</row>
    <row r="515">
      <c r="A515" s="83"/>
      <c r="B515" s="28"/>
      <c r="C515" s="83"/>
      <c r="D515" s="37"/>
      <c r="E515" s="37"/>
      <c r="F515" s="84"/>
      <c r="G515" s="37"/>
      <c r="H515" s="59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</row>
    <row r="516">
      <c r="A516" s="83"/>
      <c r="B516" s="28"/>
      <c r="C516" s="83"/>
      <c r="D516" s="37"/>
      <c r="E516" s="37"/>
      <c r="F516" s="84"/>
      <c r="G516" s="37"/>
      <c r="H516" s="59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</row>
    <row r="517">
      <c r="A517" s="83"/>
      <c r="B517" s="28"/>
      <c r="C517" s="83"/>
      <c r="D517" s="37"/>
      <c r="E517" s="37"/>
      <c r="F517" s="84"/>
      <c r="G517" s="37"/>
      <c r="H517" s="59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</row>
    <row r="518">
      <c r="A518" s="83"/>
      <c r="B518" s="28"/>
      <c r="C518" s="83"/>
      <c r="D518" s="37"/>
      <c r="E518" s="37"/>
      <c r="F518" s="84"/>
      <c r="G518" s="37"/>
      <c r="H518" s="59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</row>
    <row r="519">
      <c r="A519" s="83"/>
      <c r="B519" s="28"/>
      <c r="C519" s="83"/>
      <c r="D519" s="37"/>
      <c r="E519" s="37"/>
      <c r="F519" s="84"/>
      <c r="G519" s="37"/>
      <c r="H519" s="59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</row>
    <row r="520">
      <c r="A520" s="83"/>
      <c r="B520" s="28"/>
      <c r="C520" s="83"/>
      <c r="D520" s="37"/>
      <c r="E520" s="37"/>
      <c r="F520" s="84"/>
      <c r="G520" s="37"/>
      <c r="H520" s="59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</row>
    <row r="521">
      <c r="A521" s="83"/>
      <c r="B521" s="28"/>
      <c r="C521" s="83"/>
      <c r="D521" s="37"/>
      <c r="E521" s="37"/>
      <c r="F521" s="84"/>
      <c r="G521" s="37"/>
      <c r="H521" s="59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</row>
    <row r="522">
      <c r="A522" s="83"/>
      <c r="B522" s="28"/>
      <c r="C522" s="83"/>
      <c r="D522" s="37"/>
      <c r="E522" s="37"/>
      <c r="F522" s="84"/>
      <c r="G522" s="37"/>
      <c r="H522" s="59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</row>
    <row r="523">
      <c r="A523" s="83"/>
      <c r="B523" s="28"/>
      <c r="C523" s="83"/>
      <c r="D523" s="37"/>
      <c r="E523" s="37"/>
      <c r="F523" s="84"/>
      <c r="G523" s="37"/>
      <c r="H523" s="59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</row>
    <row r="524">
      <c r="A524" s="83"/>
      <c r="B524" s="28"/>
      <c r="C524" s="83"/>
      <c r="D524" s="37"/>
      <c r="E524" s="37"/>
      <c r="F524" s="84"/>
      <c r="G524" s="37"/>
      <c r="H524" s="59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</row>
    <row r="525">
      <c r="A525" s="83"/>
      <c r="B525" s="28"/>
      <c r="C525" s="83"/>
      <c r="D525" s="37"/>
      <c r="E525" s="37"/>
      <c r="F525" s="84"/>
      <c r="G525" s="37"/>
      <c r="H525" s="59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</row>
    <row r="526">
      <c r="A526" s="83"/>
      <c r="B526" s="28"/>
      <c r="C526" s="83"/>
      <c r="D526" s="37"/>
      <c r="E526" s="37"/>
      <c r="F526" s="84"/>
      <c r="G526" s="37"/>
      <c r="H526" s="59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</row>
    <row r="527">
      <c r="A527" s="83"/>
      <c r="B527" s="28"/>
      <c r="C527" s="83"/>
      <c r="D527" s="37"/>
      <c r="E527" s="37"/>
      <c r="F527" s="84"/>
      <c r="G527" s="37"/>
      <c r="H527" s="59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</row>
    <row r="528">
      <c r="A528" s="83"/>
      <c r="B528" s="28"/>
      <c r="C528" s="83"/>
      <c r="D528" s="37"/>
      <c r="E528" s="37"/>
      <c r="F528" s="84"/>
      <c r="G528" s="37"/>
      <c r="H528" s="59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</row>
    <row r="529">
      <c r="A529" s="83"/>
      <c r="B529" s="28"/>
      <c r="C529" s="83"/>
      <c r="D529" s="37"/>
      <c r="E529" s="37"/>
      <c r="F529" s="84"/>
      <c r="G529" s="37"/>
      <c r="H529" s="59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</row>
    <row r="530">
      <c r="A530" s="83"/>
      <c r="B530" s="28"/>
      <c r="C530" s="83"/>
      <c r="D530" s="37"/>
      <c r="E530" s="37"/>
      <c r="F530" s="84"/>
      <c r="G530" s="37"/>
      <c r="H530" s="59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</row>
    <row r="531">
      <c r="A531" s="83"/>
      <c r="B531" s="28"/>
      <c r="C531" s="83"/>
      <c r="D531" s="37"/>
      <c r="E531" s="37"/>
      <c r="F531" s="84"/>
      <c r="G531" s="37"/>
      <c r="H531" s="59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</row>
    <row r="532">
      <c r="A532" s="83"/>
      <c r="B532" s="28"/>
      <c r="C532" s="83"/>
      <c r="D532" s="37"/>
      <c r="E532" s="37"/>
      <c r="F532" s="84"/>
      <c r="G532" s="37"/>
      <c r="H532" s="59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</row>
    <row r="533">
      <c r="A533" s="83"/>
      <c r="B533" s="28"/>
      <c r="C533" s="83"/>
      <c r="D533" s="37"/>
      <c r="E533" s="37"/>
      <c r="F533" s="84"/>
      <c r="G533" s="37"/>
      <c r="H533" s="59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</row>
    <row r="534">
      <c r="A534" s="83"/>
      <c r="B534" s="28"/>
      <c r="C534" s="83"/>
      <c r="D534" s="37"/>
      <c r="E534" s="37"/>
      <c r="F534" s="84"/>
      <c r="G534" s="37"/>
      <c r="H534" s="59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</row>
    <row r="535">
      <c r="A535" s="83"/>
      <c r="B535" s="28"/>
      <c r="C535" s="83"/>
      <c r="D535" s="37"/>
      <c r="E535" s="37"/>
      <c r="F535" s="84"/>
      <c r="G535" s="37"/>
      <c r="H535" s="59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</row>
    <row r="536">
      <c r="A536" s="83"/>
      <c r="B536" s="28"/>
      <c r="C536" s="83"/>
      <c r="D536" s="37"/>
      <c r="E536" s="37"/>
      <c r="F536" s="84"/>
      <c r="G536" s="37"/>
      <c r="H536" s="59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</row>
    <row r="537">
      <c r="A537" s="83"/>
      <c r="B537" s="28"/>
      <c r="C537" s="83"/>
      <c r="D537" s="37"/>
      <c r="E537" s="37"/>
      <c r="F537" s="84"/>
      <c r="G537" s="37"/>
      <c r="H537" s="59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</row>
    <row r="538">
      <c r="A538" s="83"/>
      <c r="B538" s="28"/>
      <c r="C538" s="83"/>
      <c r="D538" s="37"/>
      <c r="E538" s="37"/>
      <c r="F538" s="84"/>
      <c r="G538" s="37"/>
      <c r="H538" s="59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</row>
    <row r="539">
      <c r="A539" s="83"/>
      <c r="B539" s="28"/>
      <c r="C539" s="83"/>
      <c r="D539" s="37"/>
      <c r="E539" s="37"/>
      <c r="F539" s="84"/>
      <c r="G539" s="37"/>
      <c r="H539" s="59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</row>
    <row r="540">
      <c r="A540" s="83"/>
      <c r="B540" s="28"/>
      <c r="C540" s="83"/>
      <c r="D540" s="37"/>
      <c r="E540" s="37"/>
      <c r="F540" s="84"/>
      <c r="G540" s="37"/>
      <c r="H540" s="59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</row>
    <row r="541">
      <c r="A541" s="83"/>
      <c r="B541" s="28"/>
      <c r="C541" s="83"/>
      <c r="D541" s="37"/>
      <c r="E541" s="37"/>
      <c r="F541" s="84"/>
      <c r="G541" s="37"/>
      <c r="H541" s="59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</row>
    <row r="542">
      <c r="A542" s="83"/>
      <c r="B542" s="28"/>
      <c r="C542" s="83"/>
      <c r="D542" s="37"/>
      <c r="E542" s="37"/>
      <c r="F542" s="84"/>
      <c r="G542" s="37"/>
      <c r="H542" s="59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</row>
    <row r="543">
      <c r="A543" s="83"/>
      <c r="B543" s="28"/>
      <c r="C543" s="83"/>
      <c r="D543" s="37"/>
      <c r="E543" s="37"/>
      <c r="F543" s="84"/>
      <c r="G543" s="37"/>
      <c r="H543" s="59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</row>
    <row r="544">
      <c r="A544" s="83"/>
      <c r="B544" s="28"/>
      <c r="C544" s="83"/>
      <c r="D544" s="37"/>
      <c r="E544" s="37"/>
      <c r="F544" s="84"/>
      <c r="G544" s="37"/>
      <c r="H544" s="59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</row>
    <row r="545">
      <c r="A545" s="83"/>
      <c r="B545" s="28"/>
      <c r="C545" s="83"/>
      <c r="D545" s="37"/>
      <c r="E545" s="37"/>
      <c r="F545" s="84"/>
      <c r="G545" s="37"/>
      <c r="H545" s="59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</row>
    <row r="546">
      <c r="A546" s="83"/>
      <c r="B546" s="28"/>
      <c r="C546" s="83"/>
      <c r="D546" s="37"/>
      <c r="E546" s="37"/>
      <c r="F546" s="84"/>
      <c r="G546" s="37"/>
      <c r="H546" s="59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</row>
    <row r="547">
      <c r="A547" s="83"/>
      <c r="B547" s="28"/>
      <c r="C547" s="83"/>
      <c r="D547" s="37"/>
      <c r="E547" s="37"/>
      <c r="F547" s="84"/>
      <c r="G547" s="37"/>
      <c r="H547" s="59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</row>
    <row r="548">
      <c r="A548" s="83"/>
      <c r="B548" s="28"/>
      <c r="C548" s="83"/>
      <c r="D548" s="37"/>
      <c r="E548" s="37"/>
      <c r="F548" s="84"/>
      <c r="G548" s="37"/>
      <c r="H548" s="59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</row>
    <row r="549">
      <c r="A549" s="83"/>
      <c r="B549" s="28"/>
      <c r="C549" s="83"/>
      <c r="D549" s="37"/>
      <c r="E549" s="37"/>
      <c r="F549" s="84"/>
      <c r="G549" s="37"/>
      <c r="H549" s="59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</row>
    <row r="550">
      <c r="A550" s="83"/>
      <c r="B550" s="28"/>
      <c r="C550" s="83"/>
      <c r="D550" s="37"/>
      <c r="E550" s="37"/>
      <c r="F550" s="84"/>
      <c r="G550" s="37"/>
      <c r="H550" s="59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</row>
    <row r="551">
      <c r="A551" s="83"/>
      <c r="B551" s="28"/>
      <c r="C551" s="83"/>
      <c r="D551" s="37"/>
      <c r="E551" s="37"/>
      <c r="F551" s="84"/>
      <c r="G551" s="37"/>
      <c r="H551" s="59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</row>
    <row r="552">
      <c r="A552" s="83"/>
      <c r="B552" s="28"/>
      <c r="C552" s="83"/>
      <c r="D552" s="37"/>
      <c r="E552" s="37"/>
      <c r="F552" s="84"/>
      <c r="G552" s="37"/>
      <c r="H552" s="59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</row>
    <row r="553">
      <c r="A553" s="83"/>
      <c r="B553" s="28"/>
      <c r="C553" s="83"/>
      <c r="D553" s="37"/>
      <c r="E553" s="37"/>
      <c r="F553" s="84"/>
      <c r="G553" s="37"/>
      <c r="H553" s="59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</row>
    <row r="554">
      <c r="A554" s="83"/>
      <c r="B554" s="28"/>
      <c r="C554" s="83"/>
      <c r="D554" s="37"/>
      <c r="E554" s="37"/>
      <c r="F554" s="84"/>
      <c r="G554" s="37"/>
      <c r="H554" s="59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</row>
    <row r="555">
      <c r="A555" s="83"/>
      <c r="B555" s="28"/>
      <c r="C555" s="83"/>
      <c r="D555" s="37"/>
      <c r="E555" s="37"/>
      <c r="F555" s="84"/>
      <c r="G555" s="37"/>
      <c r="H555" s="59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</row>
    <row r="556">
      <c r="A556" s="83"/>
      <c r="B556" s="28"/>
      <c r="C556" s="83"/>
      <c r="D556" s="37"/>
      <c r="E556" s="37"/>
      <c r="F556" s="84"/>
      <c r="G556" s="37"/>
      <c r="H556" s="59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</row>
    <row r="557">
      <c r="A557" s="83"/>
      <c r="B557" s="28"/>
      <c r="C557" s="83"/>
      <c r="D557" s="37"/>
      <c r="E557" s="37"/>
      <c r="F557" s="84"/>
      <c r="G557" s="37"/>
      <c r="H557" s="59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</row>
    <row r="558">
      <c r="A558" s="83"/>
      <c r="B558" s="28"/>
      <c r="C558" s="83"/>
      <c r="D558" s="37"/>
      <c r="E558" s="37"/>
      <c r="F558" s="84"/>
      <c r="G558" s="37"/>
      <c r="H558" s="59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</row>
    <row r="559">
      <c r="A559" s="83"/>
      <c r="B559" s="28"/>
      <c r="C559" s="83"/>
      <c r="D559" s="37"/>
      <c r="E559" s="37"/>
      <c r="F559" s="84"/>
      <c r="G559" s="37"/>
      <c r="H559" s="59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</row>
    <row r="560">
      <c r="A560" s="83"/>
      <c r="B560" s="28"/>
      <c r="C560" s="83"/>
      <c r="D560" s="37"/>
      <c r="E560" s="37"/>
      <c r="F560" s="84"/>
      <c r="G560" s="37"/>
      <c r="H560" s="59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</row>
    <row r="561">
      <c r="A561" s="83"/>
      <c r="B561" s="28"/>
      <c r="C561" s="83"/>
      <c r="D561" s="37"/>
      <c r="E561" s="37"/>
      <c r="F561" s="84"/>
      <c r="G561" s="37"/>
      <c r="H561" s="59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</row>
    <row r="562">
      <c r="A562" s="83"/>
      <c r="B562" s="28"/>
      <c r="C562" s="83"/>
      <c r="D562" s="37"/>
      <c r="E562" s="37"/>
      <c r="F562" s="84"/>
      <c r="G562" s="37"/>
      <c r="H562" s="59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</row>
    <row r="563">
      <c r="A563" s="83"/>
      <c r="B563" s="28"/>
      <c r="C563" s="83"/>
      <c r="D563" s="37"/>
      <c r="E563" s="37"/>
      <c r="F563" s="84"/>
      <c r="G563" s="37"/>
      <c r="H563" s="59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</row>
    <row r="564">
      <c r="A564" s="83"/>
      <c r="B564" s="28"/>
      <c r="C564" s="83"/>
      <c r="D564" s="37"/>
      <c r="E564" s="37"/>
      <c r="F564" s="84"/>
      <c r="G564" s="37"/>
      <c r="H564" s="59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</row>
    <row r="565">
      <c r="A565" s="83"/>
      <c r="B565" s="28"/>
      <c r="C565" s="83"/>
      <c r="D565" s="37"/>
      <c r="E565" s="37"/>
      <c r="F565" s="84"/>
      <c r="G565" s="37"/>
      <c r="H565" s="59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</row>
    <row r="566">
      <c r="A566" s="83"/>
      <c r="B566" s="28"/>
      <c r="C566" s="83"/>
      <c r="D566" s="37"/>
      <c r="E566" s="37"/>
      <c r="F566" s="84"/>
      <c r="G566" s="37"/>
      <c r="H566" s="59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</row>
    <row r="567">
      <c r="A567" s="83"/>
      <c r="B567" s="28"/>
      <c r="C567" s="83"/>
      <c r="D567" s="37"/>
      <c r="E567" s="37"/>
      <c r="F567" s="84"/>
      <c r="G567" s="37"/>
      <c r="H567" s="59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</row>
    <row r="568">
      <c r="A568" s="83"/>
      <c r="B568" s="28"/>
      <c r="C568" s="83"/>
      <c r="D568" s="37"/>
      <c r="E568" s="37"/>
      <c r="F568" s="84"/>
      <c r="G568" s="37"/>
      <c r="H568" s="59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</row>
    <row r="569">
      <c r="A569" s="83"/>
      <c r="B569" s="28"/>
      <c r="C569" s="83"/>
      <c r="D569" s="37"/>
      <c r="E569" s="37"/>
      <c r="F569" s="84"/>
      <c r="G569" s="37"/>
      <c r="H569" s="59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</row>
    <row r="570">
      <c r="A570" s="83"/>
      <c r="B570" s="28"/>
      <c r="C570" s="83"/>
      <c r="D570" s="37"/>
      <c r="E570" s="37"/>
      <c r="F570" s="84"/>
      <c r="G570" s="37"/>
      <c r="H570" s="59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</row>
    <row r="571">
      <c r="A571" s="83"/>
      <c r="B571" s="28"/>
      <c r="C571" s="83"/>
      <c r="D571" s="37"/>
      <c r="E571" s="37"/>
      <c r="F571" s="84"/>
      <c r="G571" s="37"/>
      <c r="H571" s="59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</row>
    <row r="572">
      <c r="A572" s="83"/>
      <c r="B572" s="28"/>
      <c r="C572" s="83"/>
      <c r="D572" s="37"/>
      <c r="E572" s="37"/>
      <c r="F572" s="84"/>
      <c r="G572" s="37"/>
      <c r="H572" s="59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</row>
    <row r="573">
      <c r="A573" s="83"/>
      <c r="B573" s="28"/>
      <c r="C573" s="83"/>
      <c r="D573" s="37"/>
      <c r="E573" s="37"/>
      <c r="F573" s="84"/>
      <c r="G573" s="37"/>
      <c r="H573" s="59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</row>
    <row r="574">
      <c r="A574" s="83"/>
      <c r="B574" s="28"/>
      <c r="C574" s="83"/>
      <c r="D574" s="37"/>
      <c r="E574" s="37"/>
      <c r="F574" s="84"/>
      <c r="G574" s="37"/>
      <c r="H574" s="59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</row>
    <row r="575">
      <c r="A575" s="83"/>
      <c r="B575" s="28"/>
      <c r="C575" s="83"/>
      <c r="D575" s="37"/>
      <c r="E575" s="37"/>
      <c r="F575" s="84"/>
      <c r="G575" s="37"/>
      <c r="H575" s="59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</row>
    <row r="576">
      <c r="A576" s="83"/>
      <c r="B576" s="28"/>
      <c r="C576" s="83"/>
      <c r="D576" s="37"/>
      <c r="E576" s="37"/>
      <c r="F576" s="84"/>
      <c r="G576" s="37"/>
      <c r="H576" s="59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</row>
    <row r="577">
      <c r="A577" s="83"/>
      <c r="B577" s="28"/>
      <c r="C577" s="83"/>
      <c r="D577" s="37"/>
      <c r="E577" s="37"/>
      <c r="F577" s="84"/>
      <c r="G577" s="37"/>
      <c r="H577" s="59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</row>
    <row r="578">
      <c r="A578" s="83"/>
      <c r="B578" s="28"/>
      <c r="C578" s="83"/>
      <c r="D578" s="37"/>
      <c r="E578" s="37"/>
      <c r="F578" s="84"/>
      <c r="G578" s="37"/>
      <c r="H578" s="59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</row>
    <row r="579">
      <c r="A579" s="83"/>
      <c r="B579" s="28"/>
      <c r="C579" s="83"/>
      <c r="D579" s="37"/>
      <c r="E579" s="37"/>
      <c r="F579" s="84"/>
      <c r="G579" s="37"/>
      <c r="H579" s="59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</row>
    <row r="580">
      <c r="A580" s="83"/>
      <c r="B580" s="28"/>
      <c r="C580" s="83"/>
      <c r="D580" s="37"/>
      <c r="E580" s="37"/>
      <c r="F580" s="84"/>
      <c r="G580" s="37"/>
      <c r="H580" s="59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</row>
    <row r="581">
      <c r="A581" s="83"/>
      <c r="B581" s="28"/>
      <c r="C581" s="83"/>
      <c r="D581" s="37"/>
      <c r="E581" s="37"/>
      <c r="F581" s="84"/>
      <c r="G581" s="37"/>
      <c r="H581" s="59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</row>
    <row r="582">
      <c r="A582" s="83"/>
      <c r="B582" s="28"/>
      <c r="C582" s="83"/>
      <c r="D582" s="37"/>
      <c r="E582" s="37"/>
      <c r="F582" s="84"/>
      <c r="G582" s="37"/>
      <c r="H582" s="59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</row>
    <row r="583">
      <c r="A583" s="83"/>
      <c r="B583" s="28"/>
      <c r="C583" s="83"/>
      <c r="D583" s="37"/>
      <c r="E583" s="37"/>
      <c r="F583" s="84"/>
      <c r="G583" s="37"/>
      <c r="H583" s="59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</row>
    <row r="584">
      <c r="A584" s="83"/>
      <c r="B584" s="28"/>
      <c r="C584" s="83"/>
      <c r="D584" s="37"/>
      <c r="E584" s="37"/>
      <c r="F584" s="84"/>
      <c r="G584" s="37"/>
      <c r="H584" s="59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</row>
    <row r="585">
      <c r="A585" s="83"/>
      <c r="B585" s="28"/>
      <c r="C585" s="83"/>
      <c r="D585" s="37"/>
      <c r="E585" s="37"/>
      <c r="F585" s="84"/>
      <c r="G585" s="37"/>
      <c r="H585" s="59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</row>
    <row r="586">
      <c r="A586" s="83"/>
      <c r="B586" s="28"/>
      <c r="C586" s="83"/>
      <c r="D586" s="37"/>
      <c r="E586" s="37"/>
      <c r="F586" s="84"/>
      <c r="G586" s="37"/>
      <c r="H586" s="59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</row>
    <row r="587">
      <c r="A587" s="83"/>
      <c r="B587" s="28"/>
      <c r="C587" s="83"/>
      <c r="D587" s="37"/>
      <c r="E587" s="37"/>
      <c r="F587" s="84"/>
      <c r="G587" s="37"/>
      <c r="H587" s="59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</row>
    <row r="588">
      <c r="A588" s="83"/>
      <c r="B588" s="28"/>
      <c r="C588" s="83"/>
      <c r="D588" s="37"/>
      <c r="E588" s="37"/>
      <c r="F588" s="84"/>
      <c r="G588" s="37"/>
      <c r="H588" s="59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</row>
    <row r="589">
      <c r="A589" s="83"/>
      <c r="B589" s="28"/>
      <c r="C589" s="83"/>
      <c r="D589" s="37"/>
      <c r="E589" s="37"/>
      <c r="F589" s="84"/>
      <c r="G589" s="37"/>
      <c r="H589" s="59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</row>
    <row r="590">
      <c r="A590" s="83"/>
      <c r="B590" s="28"/>
      <c r="C590" s="83"/>
      <c r="D590" s="37"/>
      <c r="E590" s="37"/>
      <c r="F590" s="84"/>
      <c r="G590" s="37"/>
      <c r="H590" s="59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</row>
    <row r="591">
      <c r="A591" s="83"/>
      <c r="B591" s="28"/>
      <c r="C591" s="83"/>
      <c r="D591" s="37"/>
      <c r="E591" s="37"/>
      <c r="F591" s="84"/>
      <c r="G591" s="37"/>
      <c r="H591" s="59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</row>
    <row r="592">
      <c r="A592" s="83"/>
      <c r="B592" s="28"/>
      <c r="C592" s="83"/>
      <c r="D592" s="37"/>
      <c r="E592" s="37"/>
      <c r="F592" s="84"/>
      <c r="G592" s="37"/>
      <c r="H592" s="59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</row>
    <row r="593">
      <c r="A593" s="83"/>
      <c r="B593" s="28"/>
      <c r="C593" s="83"/>
      <c r="D593" s="37"/>
      <c r="E593" s="37"/>
      <c r="F593" s="84"/>
      <c r="G593" s="37"/>
      <c r="H593" s="59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</row>
    <row r="594">
      <c r="A594" s="83"/>
      <c r="B594" s="28"/>
      <c r="C594" s="83"/>
      <c r="D594" s="37"/>
      <c r="E594" s="37"/>
      <c r="F594" s="84"/>
      <c r="G594" s="37"/>
      <c r="H594" s="59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</row>
    <row r="595">
      <c r="A595" s="83"/>
      <c r="B595" s="28"/>
      <c r="C595" s="83"/>
      <c r="D595" s="37"/>
      <c r="E595" s="37"/>
      <c r="F595" s="84"/>
      <c r="G595" s="37"/>
      <c r="H595" s="59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</row>
    <row r="596">
      <c r="A596" s="83"/>
      <c r="B596" s="28"/>
      <c r="C596" s="83"/>
      <c r="D596" s="37"/>
      <c r="E596" s="37"/>
      <c r="F596" s="84"/>
      <c r="G596" s="37"/>
      <c r="H596" s="59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</row>
    <row r="597">
      <c r="A597" s="83"/>
      <c r="B597" s="28"/>
      <c r="C597" s="83"/>
      <c r="D597" s="37"/>
      <c r="E597" s="37"/>
      <c r="F597" s="84"/>
      <c r="G597" s="37"/>
      <c r="H597" s="59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</row>
    <row r="598">
      <c r="A598" s="83"/>
      <c r="B598" s="28"/>
      <c r="C598" s="83"/>
      <c r="D598" s="37"/>
      <c r="E598" s="37"/>
      <c r="F598" s="84"/>
      <c r="G598" s="37"/>
      <c r="H598" s="59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</row>
    <row r="599">
      <c r="A599" s="83"/>
      <c r="B599" s="28"/>
      <c r="C599" s="83"/>
      <c r="D599" s="37"/>
      <c r="E599" s="37"/>
      <c r="F599" s="84"/>
      <c r="G599" s="37"/>
      <c r="H599" s="59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</row>
    <row r="600">
      <c r="A600" s="83"/>
      <c r="B600" s="28"/>
      <c r="C600" s="83"/>
      <c r="D600" s="37"/>
      <c r="E600" s="37"/>
      <c r="F600" s="84"/>
      <c r="G600" s="37"/>
      <c r="H600" s="59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</row>
    <row r="601">
      <c r="A601" s="83"/>
      <c r="B601" s="28"/>
      <c r="C601" s="83"/>
      <c r="D601" s="37"/>
      <c r="E601" s="37"/>
      <c r="F601" s="84"/>
      <c r="G601" s="37"/>
      <c r="H601" s="59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</row>
    <row r="602">
      <c r="A602" s="83"/>
      <c r="B602" s="28"/>
      <c r="C602" s="83"/>
      <c r="D602" s="37"/>
      <c r="E602" s="37"/>
      <c r="F602" s="84"/>
      <c r="G602" s="37"/>
      <c r="H602" s="59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</row>
    <row r="603">
      <c r="A603" s="83"/>
      <c r="B603" s="28"/>
      <c r="C603" s="83"/>
      <c r="D603" s="37"/>
      <c r="E603" s="37"/>
      <c r="F603" s="84"/>
      <c r="G603" s="37"/>
      <c r="H603" s="59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</row>
    <row r="604">
      <c r="A604" s="83"/>
      <c r="B604" s="28"/>
      <c r="C604" s="83"/>
      <c r="D604" s="37"/>
      <c r="E604" s="37"/>
      <c r="F604" s="84"/>
      <c r="G604" s="37"/>
      <c r="H604" s="59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</row>
    <row r="605">
      <c r="A605" s="83"/>
      <c r="B605" s="28"/>
      <c r="C605" s="83"/>
      <c r="D605" s="37"/>
      <c r="E605" s="37"/>
      <c r="F605" s="84"/>
      <c r="G605" s="37"/>
      <c r="H605" s="59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</row>
    <row r="606">
      <c r="A606" s="83"/>
      <c r="B606" s="28"/>
      <c r="C606" s="83"/>
      <c r="D606" s="37"/>
      <c r="E606" s="37"/>
      <c r="F606" s="84"/>
      <c r="G606" s="37"/>
      <c r="H606" s="59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</row>
    <row r="607">
      <c r="A607" s="83"/>
      <c r="B607" s="28"/>
      <c r="C607" s="83"/>
      <c r="D607" s="37"/>
      <c r="E607" s="37"/>
      <c r="F607" s="84"/>
      <c r="G607" s="37"/>
      <c r="H607" s="59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</row>
    <row r="608">
      <c r="A608" s="83"/>
      <c r="B608" s="28"/>
      <c r="C608" s="83"/>
      <c r="D608" s="37"/>
      <c r="E608" s="37"/>
      <c r="F608" s="84"/>
      <c r="G608" s="37"/>
      <c r="H608" s="59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</row>
    <row r="609">
      <c r="A609" s="83"/>
      <c r="B609" s="28"/>
      <c r="C609" s="83"/>
      <c r="D609" s="37"/>
      <c r="E609" s="37"/>
      <c r="F609" s="84"/>
      <c r="G609" s="37"/>
      <c r="H609" s="59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</row>
    <row r="610">
      <c r="A610" s="83"/>
      <c r="B610" s="28"/>
      <c r="C610" s="83"/>
      <c r="D610" s="37"/>
      <c r="E610" s="37"/>
      <c r="F610" s="84"/>
      <c r="G610" s="37"/>
      <c r="H610" s="59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</row>
    <row r="611">
      <c r="A611" s="83"/>
      <c r="B611" s="28"/>
      <c r="C611" s="83"/>
      <c r="D611" s="37"/>
      <c r="E611" s="37"/>
      <c r="F611" s="84"/>
      <c r="G611" s="37"/>
      <c r="H611" s="59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</row>
    <row r="612">
      <c r="A612" s="83"/>
      <c r="B612" s="28"/>
      <c r="C612" s="83"/>
      <c r="D612" s="37"/>
      <c r="E612" s="37"/>
      <c r="F612" s="84"/>
      <c r="G612" s="37"/>
      <c r="H612" s="59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</row>
    <row r="613">
      <c r="A613" s="83"/>
      <c r="B613" s="28"/>
      <c r="C613" s="83"/>
      <c r="D613" s="37"/>
      <c r="E613" s="37"/>
      <c r="F613" s="84"/>
      <c r="G613" s="37"/>
      <c r="H613" s="59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</row>
    <row r="614">
      <c r="A614" s="83"/>
      <c r="B614" s="28"/>
      <c r="C614" s="83"/>
      <c r="D614" s="37"/>
      <c r="E614" s="37"/>
      <c r="F614" s="84"/>
      <c r="G614" s="37"/>
      <c r="H614" s="59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</row>
    <row r="615">
      <c r="A615" s="83"/>
      <c r="B615" s="28"/>
      <c r="C615" s="83"/>
      <c r="D615" s="37"/>
      <c r="E615" s="37"/>
      <c r="F615" s="84"/>
      <c r="G615" s="37"/>
      <c r="H615" s="59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</row>
    <row r="616">
      <c r="A616" s="83"/>
      <c r="B616" s="28"/>
      <c r="C616" s="83"/>
      <c r="D616" s="37"/>
      <c r="E616" s="37"/>
      <c r="F616" s="84"/>
      <c r="G616" s="37"/>
      <c r="H616" s="59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</row>
    <row r="617">
      <c r="A617" s="83"/>
      <c r="B617" s="28"/>
      <c r="C617" s="83"/>
      <c r="D617" s="37"/>
      <c r="E617" s="37"/>
      <c r="F617" s="84"/>
      <c r="G617" s="37"/>
      <c r="H617" s="59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</row>
    <row r="618">
      <c r="A618" s="83"/>
      <c r="B618" s="28"/>
      <c r="C618" s="83"/>
      <c r="D618" s="37"/>
      <c r="E618" s="37"/>
      <c r="F618" s="84"/>
      <c r="G618" s="37"/>
      <c r="H618" s="59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</row>
    <row r="619">
      <c r="A619" s="83"/>
      <c r="B619" s="28"/>
      <c r="C619" s="83"/>
      <c r="D619" s="37"/>
      <c r="E619" s="37"/>
      <c r="F619" s="84"/>
      <c r="G619" s="37"/>
      <c r="H619" s="59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</row>
    <row r="620">
      <c r="A620" s="83"/>
      <c r="B620" s="28"/>
      <c r="C620" s="83"/>
      <c r="D620" s="37"/>
      <c r="E620" s="37"/>
      <c r="F620" s="84"/>
      <c r="G620" s="37"/>
      <c r="H620" s="59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</row>
    <row r="621">
      <c r="A621" s="83"/>
      <c r="B621" s="28"/>
      <c r="C621" s="83"/>
      <c r="D621" s="37"/>
      <c r="E621" s="37"/>
      <c r="F621" s="84"/>
      <c r="G621" s="37"/>
      <c r="H621" s="59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</row>
    <row r="622">
      <c r="A622" s="83"/>
      <c r="B622" s="28"/>
      <c r="C622" s="83"/>
      <c r="D622" s="37"/>
      <c r="E622" s="37"/>
      <c r="F622" s="84"/>
      <c r="G622" s="37"/>
      <c r="H622" s="59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</row>
    <row r="623">
      <c r="A623" s="83"/>
      <c r="B623" s="28"/>
      <c r="C623" s="83"/>
      <c r="D623" s="37"/>
      <c r="E623" s="37"/>
      <c r="F623" s="84"/>
      <c r="G623" s="37"/>
      <c r="H623" s="59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</row>
    <row r="624">
      <c r="A624" s="83"/>
      <c r="B624" s="28"/>
      <c r="C624" s="83"/>
      <c r="D624" s="37"/>
      <c r="E624" s="37"/>
      <c r="F624" s="84"/>
      <c r="G624" s="37"/>
      <c r="H624" s="59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</row>
    <row r="625">
      <c r="A625" s="83"/>
      <c r="B625" s="28"/>
      <c r="C625" s="83"/>
      <c r="D625" s="37"/>
      <c r="E625" s="37"/>
      <c r="F625" s="84"/>
      <c r="G625" s="37"/>
      <c r="H625" s="59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</row>
    <row r="626">
      <c r="A626" s="83"/>
      <c r="B626" s="28"/>
      <c r="C626" s="83"/>
      <c r="D626" s="37"/>
      <c r="E626" s="37"/>
      <c r="F626" s="84"/>
      <c r="G626" s="37"/>
      <c r="H626" s="59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</row>
    <row r="627">
      <c r="A627" s="83"/>
      <c r="B627" s="28"/>
      <c r="C627" s="83"/>
      <c r="D627" s="37"/>
      <c r="E627" s="37"/>
      <c r="F627" s="84"/>
      <c r="G627" s="37"/>
      <c r="H627" s="59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</row>
    <row r="628">
      <c r="A628" s="83"/>
      <c r="B628" s="28"/>
      <c r="C628" s="83"/>
      <c r="D628" s="37"/>
      <c r="E628" s="37"/>
      <c r="F628" s="84"/>
      <c r="G628" s="37"/>
      <c r="H628" s="59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>
      <c r="A629" s="83"/>
      <c r="B629" s="28"/>
      <c r="C629" s="83"/>
      <c r="D629" s="37"/>
      <c r="E629" s="37"/>
      <c r="F629" s="84"/>
      <c r="G629" s="37"/>
      <c r="H629" s="59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>
      <c r="A630" s="83"/>
      <c r="B630" s="28"/>
      <c r="C630" s="83"/>
      <c r="D630" s="37"/>
      <c r="E630" s="37"/>
      <c r="F630" s="84"/>
      <c r="G630" s="37"/>
      <c r="H630" s="59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>
      <c r="A631" s="83"/>
      <c r="B631" s="28"/>
      <c r="C631" s="83"/>
      <c r="D631" s="37"/>
      <c r="E631" s="37"/>
      <c r="F631" s="84"/>
      <c r="G631" s="37"/>
      <c r="H631" s="59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>
      <c r="A632" s="83"/>
      <c r="B632" s="28"/>
      <c r="C632" s="83"/>
      <c r="D632" s="37"/>
      <c r="E632" s="37"/>
      <c r="F632" s="84"/>
      <c r="G632" s="37"/>
      <c r="H632" s="59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>
      <c r="A633" s="83"/>
      <c r="B633" s="28"/>
      <c r="C633" s="83"/>
      <c r="D633" s="37"/>
      <c r="E633" s="37"/>
      <c r="F633" s="84"/>
      <c r="G633" s="37"/>
      <c r="H633" s="59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>
      <c r="A634" s="83"/>
      <c r="B634" s="28"/>
      <c r="C634" s="83"/>
      <c r="D634" s="37"/>
      <c r="E634" s="37"/>
      <c r="F634" s="84"/>
      <c r="G634" s="37"/>
      <c r="H634" s="59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>
      <c r="A635" s="83"/>
      <c r="B635" s="28"/>
      <c r="C635" s="83"/>
      <c r="D635" s="37"/>
      <c r="E635" s="37"/>
      <c r="F635" s="84"/>
      <c r="G635" s="37"/>
      <c r="H635" s="59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>
      <c r="A636" s="83"/>
      <c r="B636" s="28"/>
      <c r="C636" s="83"/>
      <c r="D636" s="37"/>
      <c r="E636" s="37"/>
      <c r="F636" s="84"/>
      <c r="G636" s="37"/>
      <c r="H636" s="59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</row>
    <row r="637">
      <c r="A637" s="83"/>
      <c r="B637" s="28"/>
      <c r="C637" s="83"/>
      <c r="D637" s="37"/>
      <c r="E637" s="37"/>
      <c r="F637" s="84"/>
      <c r="G637" s="37"/>
      <c r="H637" s="59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</row>
    <row r="638">
      <c r="A638" s="83"/>
      <c r="B638" s="28"/>
      <c r="C638" s="83"/>
      <c r="D638" s="37"/>
      <c r="E638" s="37"/>
      <c r="F638" s="84"/>
      <c r="G638" s="37"/>
      <c r="H638" s="59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</row>
    <row r="639">
      <c r="A639" s="83"/>
      <c r="B639" s="28"/>
      <c r="C639" s="83"/>
      <c r="D639" s="37"/>
      <c r="E639" s="37"/>
      <c r="F639" s="84"/>
      <c r="G639" s="37"/>
      <c r="H639" s="59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</row>
    <row r="640">
      <c r="A640" s="83"/>
      <c r="B640" s="28"/>
      <c r="C640" s="83"/>
      <c r="D640" s="37"/>
      <c r="E640" s="37"/>
      <c r="F640" s="84"/>
      <c r="G640" s="37"/>
      <c r="H640" s="59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</row>
    <row r="641">
      <c r="A641" s="83"/>
      <c r="B641" s="28"/>
      <c r="C641" s="83"/>
      <c r="D641" s="37"/>
      <c r="E641" s="37"/>
      <c r="F641" s="84"/>
      <c r="G641" s="37"/>
      <c r="H641" s="59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</row>
    <row r="642">
      <c r="A642" s="83"/>
      <c r="B642" s="28"/>
      <c r="C642" s="83"/>
      <c r="D642" s="37"/>
      <c r="E642" s="37"/>
      <c r="F642" s="84"/>
      <c r="G642" s="37"/>
      <c r="H642" s="59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</row>
    <row r="643">
      <c r="A643" s="83"/>
      <c r="B643" s="28"/>
      <c r="C643" s="83"/>
      <c r="D643" s="37"/>
      <c r="E643" s="37"/>
      <c r="F643" s="84"/>
      <c r="G643" s="37"/>
      <c r="H643" s="59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</row>
    <row r="644">
      <c r="A644" s="83"/>
      <c r="B644" s="28"/>
      <c r="C644" s="83"/>
      <c r="D644" s="37"/>
      <c r="E644" s="37"/>
      <c r="F644" s="84"/>
      <c r="G644" s="37"/>
      <c r="H644" s="59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</row>
    <row r="645">
      <c r="A645" s="83"/>
      <c r="B645" s="28"/>
      <c r="C645" s="83"/>
      <c r="D645" s="37"/>
      <c r="E645" s="37"/>
      <c r="F645" s="84"/>
      <c r="G645" s="37"/>
      <c r="H645" s="59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</row>
    <row r="646">
      <c r="A646" s="83"/>
      <c r="B646" s="28"/>
      <c r="C646" s="83"/>
      <c r="D646" s="37"/>
      <c r="E646" s="37"/>
      <c r="F646" s="84"/>
      <c r="G646" s="37"/>
      <c r="H646" s="59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</row>
    <row r="647">
      <c r="A647" s="83"/>
      <c r="B647" s="28"/>
      <c r="C647" s="83"/>
      <c r="D647" s="37"/>
      <c r="E647" s="37"/>
      <c r="F647" s="84"/>
      <c r="G647" s="37"/>
      <c r="H647" s="59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</row>
    <row r="648">
      <c r="A648" s="83"/>
      <c r="B648" s="28"/>
      <c r="C648" s="83"/>
      <c r="D648" s="37"/>
      <c r="E648" s="37"/>
      <c r="F648" s="84"/>
      <c r="G648" s="37"/>
      <c r="H648" s="59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</row>
    <row r="649">
      <c r="A649" s="83"/>
      <c r="B649" s="28"/>
      <c r="C649" s="83"/>
      <c r="D649" s="37"/>
      <c r="E649" s="37"/>
      <c r="F649" s="84"/>
      <c r="G649" s="37"/>
      <c r="H649" s="59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</row>
    <row r="650">
      <c r="A650" s="83"/>
      <c r="B650" s="28"/>
      <c r="C650" s="83"/>
      <c r="D650" s="37"/>
      <c r="E650" s="37"/>
      <c r="F650" s="84"/>
      <c r="G650" s="37"/>
      <c r="H650" s="59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</row>
    <row r="651">
      <c r="A651" s="83"/>
      <c r="B651" s="28"/>
      <c r="C651" s="83"/>
      <c r="D651" s="37"/>
      <c r="E651" s="37"/>
      <c r="F651" s="84"/>
      <c r="G651" s="37"/>
      <c r="H651" s="59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</row>
    <row r="652">
      <c r="A652" s="83"/>
      <c r="B652" s="28"/>
      <c r="C652" s="83"/>
      <c r="D652" s="37"/>
      <c r="E652" s="37"/>
      <c r="F652" s="84"/>
      <c r="G652" s="37"/>
      <c r="H652" s="59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</row>
    <row r="653">
      <c r="A653" s="83"/>
      <c r="B653" s="28"/>
      <c r="C653" s="83"/>
      <c r="D653" s="37"/>
      <c r="E653" s="37"/>
      <c r="F653" s="84"/>
      <c r="G653" s="37"/>
      <c r="H653" s="59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</row>
    <row r="654">
      <c r="A654" s="83"/>
      <c r="B654" s="28"/>
      <c r="C654" s="83"/>
      <c r="D654" s="37"/>
      <c r="E654" s="37"/>
      <c r="F654" s="84"/>
      <c r="G654" s="37"/>
      <c r="H654" s="59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</row>
    <row r="655">
      <c r="A655" s="83"/>
      <c r="B655" s="28"/>
      <c r="C655" s="83"/>
      <c r="D655" s="37"/>
      <c r="E655" s="37"/>
      <c r="F655" s="84"/>
      <c r="G655" s="37"/>
      <c r="H655" s="59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</row>
    <row r="656">
      <c r="A656" s="83"/>
      <c r="B656" s="28"/>
      <c r="C656" s="83"/>
      <c r="D656" s="37"/>
      <c r="E656" s="37"/>
      <c r="F656" s="84"/>
      <c r="G656" s="37"/>
      <c r="H656" s="59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</row>
    <row r="657">
      <c r="A657" s="83"/>
      <c r="B657" s="28"/>
      <c r="C657" s="83"/>
      <c r="D657" s="37"/>
      <c r="E657" s="37"/>
      <c r="F657" s="84"/>
      <c r="G657" s="37"/>
      <c r="H657" s="59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</row>
    <row r="658">
      <c r="A658" s="83"/>
      <c r="B658" s="28"/>
      <c r="C658" s="83"/>
      <c r="D658" s="37"/>
      <c r="E658" s="37"/>
      <c r="F658" s="84"/>
      <c r="G658" s="37"/>
      <c r="H658" s="59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</row>
    <row r="659">
      <c r="A659" s="83"/>
      <c r="B659" s="28"/>
      <c r="C659" s="83"/>
      <c r="D659" s="37"/>
      <c r="E659" s="37"/>
      <c r="F659" s="84"/>
      <c r="G659" s="37"/>
      <c r="H659" s="59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</row>
    <row r="660">
      <c r="A660" s="83"/>
      <c r="B660" s="28"/>
      <c r="C660" s="83"/>
      <c r="D660" s="37"/>
      <c r="E660" s="37"/>
      <c r="F660" s="84"/>
      <c r="G660" s="37"/>
      <c r="H660" s="59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</row>
    <row r="661">
      <c r="A661" s="83"/>
      <c r="B661" s="28"/>
      <c r="C661" s="83"/>
      <c r="D661" s="37"/>
      <c r="E661" s="37"/>
      <c r="F661" s="84"/>
      <c r="G661" s="37"/>
      <c r="H661" s="59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</row>
    <row r="662">
      <c r="A662" s="83"/>
      <c r="B662" s="28"/>
      <c r="C662" s="83"/>
      <c r="D662" s="37"/>
      <c r="E662" s="37"/>
      <c r="F662" s="84"/>
      <c r="G662" s="37"/>
      <c r="H662" s="59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</row>
    <row r="663">
      <c r="A663" s="83"/>
      <c r="B663" s="28"/>
      <c r="C663" s="83"/>
      <c r="D663" s="37"/>
      <c r="E663" s="37"/>
      <c r="F663" s="84"/>
      <c r="G663" s="37"/>
      <c r="H663" s="59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</row>
    <row r="664">
      <c r="A664" s="83"/>
      <c r="B664" s="28"/>
      <c r="C664" s="83"/>
      <c r="D664" s="37"/>
      <c r="E664" s="37"/>
      <c r="F664" s="84"/>
      <c r="G664" s="37"/>
      <c r="H664" s="59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</row>
    <row r="665">
      <c r="A665" s="83"/>
      <c r="B665" s="28"/>
      <c r="C665" s="83"/>
      <c r="D665" s="37"/>
      <c r="E665" s="37"/>
      <c r="F665" s="84"/>
      <c r="G665" s="37"/>
      <c r="H665" s="59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</row>
    <row r="666">
      <c r="A666" s="83"/>
      <c r="B666" s="28"/>
      <c r="C666" s="83"/>
      <c r="D666" s="37"/>
      <c r="E666" s="37"/>
      <c r="F666" s="84"/>
      <c r="G666" s="37"/>
      <c r="H666" s="59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</row>
    <row r="667">
      <c r="A667" s="83"/>
      <c r="B667" s="28"/>
      <c r="C667" s="83"/>
      <c r="D667" s="37"/>
      <c r="E667" s="37"/>
      <c r="F667" s="84"/>
      <c r="G667" s="37"/>
      <c r="H667" s="59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</row>
    <row r="668">
      <c r="A668" s="83"/>
      <c r="B668" s="28"/>
      <c r="C668" s="83"/>
      <c r="D668" s="37"/>
      <c r="E668" s="37"/>
      <c r="F668" s="84"/>
      <c r="G668" s="37"/>
      <c r="H668" s="59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</row>
    <row r="669">
      <c r="A669" s="83"/>
      <c r="B669" s="28"/>
      <c r="C669" s="83"/>
      <c r="D669" s="37"/>
      <c r="E669" s="37"/>
      <c r="F669" s="84"/>
      <c r="G669" s="37"/>
      <c r="H669" s="59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</row>
    <row r="670">
      <c r="A670" s="83"/>
      <c r="B670" s="28"/>
      <c r="C670" s="83"/>
      <c r="D670" s="37"/>
      <c r="E670" s="37"/>
      <c r="F670" s="84"/>
      <c r="G670" s="37"/>
      <c r="H670" s="59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</row>
    <row r="671">
      <c r="A671" s="83"/>
      <c r="B671" s="28"/>
      <c r="C671" s="83"/>
      <c r="D671" s="37"/>
      <c r="E671" s="37"/>
      <c r="F671" s="84"/>
      <c r="G671" s="37"/>
      <c r="H671" s="59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</row>
    <row r="672">
      <c r="A672" s="83"/>
      <c r="B672" s="28"/>
      <c r="C672" s="83"/>
      <c r="D672" s="37"/>
      <c r="E672" s="37"/>
      <c r="F672" s="84"/>
      <c r="G672" s="37"/>
      <c r="H672" s="59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</row>
    <row r="673">
      <c r="A673" s="83"/>
      <c r="B673" s="28"/>
      <c r="C673" s="83"/>
      <c r="D673" s="37"/>
      <c r="E673" s="37"/>
      <c r="F673" s="84"/>
      <c r="G673" s="37"/>
      <c r="H673" s="59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</row>
    <row r="674">
      <c r="A674" s="83"/>
      <c r="B674" s="28"/>
      <c r="C674" s="83"/>
      <c r="D674" s="37"/>
      <c r="E674" s="37"/>
      <c r="F674" s="84"/>
      <c r="G674" s="37"/>
      <c r="H674" s="59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</row>
    <row r="675">
      <c r="A675" s="83"/>
      <c r="B675" s="28"/>
      <c r="C675" s="83"/>
      <c r="D675" s="37"/>
      <c r="E675" s="37"/>
      <c r="F675" s="84"/>
      <c r="G675" s="37"/>
      <c r="H675" s="59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</row>
    <row r="676">
      <c r="A676" s="83"/>
      <c r="B676" s="28"/>
      <c r="C676" s="83"/>
      <c r="D676" s="37"/>
      <c r="E676" s="37"/>
      <c r="F676" s="84"/>
      <c r="G676" s="37"/>
      <c r="H676" s="59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>
      <c r="A677" s="83"/>
      <c r="B677" s="28"/>
      <c r="C677" s="83"/>
      <c r="D677" s="37"/>
      <c r="E677" s="37"/>
      <c r="F677" s="84"/>
      <c r="G677" s="37"/>
      <c r="H677" s="59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>
      <c r="A678" s="83"/>
      <c r="B678" s="28"/>
      <c r="C678" s="83"/>
      <c r="D678" s="37"/>
      <c r="E678" s="37"/>
      <c r="F678" s="84"/>
      <c r="G678" s="37"/>
      <c r="H678" s="59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>
      <c r="A679" s="83"/>
      <c r="B679" s="28"/>
      <c r="C679" s="83"/>
      <c r="D679" s="37"/>
      <c r="E679" s="37"/>
      <c r="F679" s="84"/>
      <c r="G679" s="37"/>
      <c r="H679" s="59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</row>
    <row r="680">
      <c r="A680" s="83"/>
      <c r="B680" s="28"/>
      <c r="C680" s="83"/>
      <c r="D680" s="37"/>
      <c r="E680" s="37"/>
      <c r="F680" s="84"/>
      <c r="G680" s="37"/>
      <c r="H680" s="59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</row>
    <row r="681">
      <c r="A681" s="83"/>
      <c r="B681" s="28"/>
      <c r="C681" s="83"/>
      <c r="D681" s="37"/>
      <c r="E681" s="37"/>
      <c r="F681" s="84"/>
      <c r="G681" s="37"/>
      <c r="H681" s="59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</row>
    <row r="682">
      <c r="A682" s="83"/>
      <c r="B682" s="28"/>
      <c r="C682" s="83"/>
      <c r="D682" s="37"/>
      <c r="E682" s="37"/>
      <c r="F682" s="84"/>
      <c r="G682" s="37"/>
      <c r="H682" s="59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</row>
    <row r="683">
      <c r="A683" s="83"/>
      <c r="B683" s="28"/>
      <c r="C683" s="83"/>
      <c r="D683" s="37"/>
      <c r="E683" s="37"/>
      <c r="F683" s="84"/>
      <c r="G683" s="37"/>
      <c r="H683" s="59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</row>
    <row r="684">
      <c r="A684" s="83"/>
      <c r="B684" s="28"/>
      <c r="C684" s="83"/>
      <c r="D684" s="37"/>
      <c r="E684" s="37"/>
      <c r="F684" s="84"/>
      <c r="G684" s="37"/>
      <c r="H684" s="59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</row>
    <row r="685">
      <c r="A685" s="83"/>
      <c r="B685" s="28"/>
      <c r="C685" s="83"/>
      <c r="D685" s="37"/>
      <c r="E685" s="37"/>
      <c r="F685" s="84"/>
      <c r="G685" s="37"/>
      <c r="H685" s="59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</row>
    <row r="686">
      <c r="A686" s="83"/>
      <c r="B686" s="28"/>
      <c r="C686" s="83"/>
      <c r="D686" s="37"/>
      <c r="E686" s="37"/>
      <c r="F686" s="84"/>
      <c r="G686" s="37"/>
      <c r="H686" s="59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</row>
    <row r="687">
      <c r="A687" s="83"/>
      <c r="B687" s="28"/>
      <c r="C687" s="83"/>
      <c r="D687" s="37"/>
      <c r="E687" s="37"/>
      <c r="F687" s="84"/>
      <c r="G687" s="37"/>
      <c r="H687" s="59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</row>
    <row r="688">
      <c r="A688" s="83"/>
      <c r="B688" s="28"/>
      <c r="C688" s="83"/>
      <c r="D688" s="37"/>
      <c r="E688" s="37"/>
      <c r="F688" s="84"/>
      <c r="G688" s="37"/>
      <c r="H688" s="59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</row>
    <row r="689">
      <c r="A689" s="83"/>
      <c r="B689" s="28"/>
      <c r="C689" s="83"/>
      <c r="D689" s="37"/>
      <c r="E689" s="37"/>
      <c r="F689" s="84"/>
      <c r="G689" s="37"/>
      <c r="H689" s="59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</row>
    <row r="690">
      <c r="A690" s="83"/>
      <c r="B690" s="28"/>
      <c r="C690" s="83"/>
      <c r="D690" s="37"/>
      <c r="E690" s="37"/>
      <c r="F690" s="84"/>
      <c r="G690" s="37"/>
      <c r="H690" s="59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</row>
    <row r="691">
      <c r="A691" s="83"/>
      <c r="B691" s="28"/>
      <c r="C691" s="83"/>
      <c r="D691" s="37"/>
      <c r="E691" s="37"/>
      <c r="F691" s="84"/>
      <c r="G691" s="37"/>
      <c r="H691" s="59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</row>
    <row r="692">
      <c r="A692" s="83"/>
      <c r="B692" s="28"/>
      <c r="C692" s="83"/>
      <c r="D692" s="37"/>
      <c r="E692" s="37"/>
      <c r="F692" s="84"/>
      <c r="G692" s="37"/>
      <c r="H692" s="59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</row>
    <row r="693">
      <c r="A693" s="83"/>
      <c r="B693" s="28"/>
      <c r="C693" s="83"/>
      <c r="D693" s="37"/>
      <c r="E693" s="37"/>
      <c r="F693" s="84"/>
      <c r="G693" s="37"/>
      <c r="H693" s="59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</row>
    <row r="694">
      <c r="A694" s="83"/>
      <c r="B694" s="28"/>
      <c r="C694" s="83"/>
      <c r="D694" s="37"/>
      <c r="E694" s="37"/>
      <c r="F694" s="84"/>
      <c r="G694" s="37"/>
      <c r="H694" s="59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</row>
    <row r="695">
      <c r="A695" s="83"/>
      <c r="B695" s="28"/>
      <c r="C695" s="83"/>
      <c r="D695" s="37"/>
      <c r="E695" s="37"/>
      <c r="F695" s="84"/>
      <c r="G695" s="37"/>
      <c r="H695" s="59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</row>
    <row r="696">
      <c r="A696" s="83"/>
      <c r="B696" s="28"/>
      <c r="C696" s="83"/>
      <c r="D696" s="37"/>
      <c r="E696" s="37"/>
      <c r="F696" s="84"/>
      <c r="G696" s="37"/>
      <c r="H696" s="59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</row>
    <row r="697">
      <c r="A697" s="83"/>
      <c r="B697" s="28"/>
      <c r="C697" s="83"/>
      <c r="D697" s="37"/>
      <c r="E697" s="37"/>
      <c r="F697" s="84"/>
      <c r="G697" s="37"/>
      <c r="H697" s="59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</row>
    <row r="698">
      <c r="A698" s="83"/>
      <c r="B698" s="28"/>
      <c r="C698" s="83"/>
      <c r="D698" s="37"/>
      <c r="E698" s="37"/>
      <c r="F698" s="84"/>
      <c r="G698" s="37"/>
      <c r="H698" s="59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</row>
    <row r="699">
      <c r="A699" s="83"/>
      <c r="B699" s="28"/>
      <c r="C699" s="83"/>
      <c r="D699" s="37"/>
      <c r="E699" s="37"/>
      <c r="F699" s="84"/>
      <c r="G699" s="37"/>
      <c r="H699" s="59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</row>
    <row r="700">
      <c r="A700" s="83"/>
      <c r="B700" s="28"/>
      <c r="C700" s="83"/>
      <c r="D700" s="37"/>
      <c r="E700" s="37"/>
      <c r="F700" s="84"/>
      <c r="G700" s="37"/>
      <c r="H700" s="59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</row>
    <row r="701">
      <c r="A701" s="83"/>
      <c r="B701" s="28"/>
      <c r="C701" s="83"/>
      <c r="D701" s="37"/>
      <c r="E701" s="37"/>
      <c r="F701" s="84"/>
      <c r="G701" s="37"/>
      <c r="H701" s="59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</row>
    <row r="702">
      <c r="A702" s="83"/>
      <c r="B702" s="28"/>
      <c r="C702" s="83"/>
      <c r="D702" s="37"/>
      <c r="E702" s="37"/>
      <c r="F702" s="84"/>
      <c r="G702" s="37"/>
      <c r="H702" s="59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</row>
    <row r="703">
      <c r="A703" s="83"/>
      <c r="B703" s="28"/>
      <c r="C703" s="83"/>
      <c r="D703" s="37"/>
      <c r="E703" s="37"/>
      <c r="F703" s="84"/>
      <c r="G703" s="37"/>
      <c r="H703" s="59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</row>
    <row r="704">
      <c r="A704" s="83"/>
      <c r="B704" s="28"/>
      <c r="C704" s="83"/>
      <c r="D704" s="37"/>
      <c r="E704" s="37"/>
      <c r="F704" s="84"/>
      <c r="G704" s="37"/>
      <c r="H704" s="59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</row>
    <row r="705">
      <c r="A705" s="83"/>
      <c r="B705" s="28"/>
      <c r="C705" s="83"/>
      <c r="D705" s="37"/>
      <c r="E705" s="37"/>
      <c r="F705" s="84"/>
      <c r="G705" s="37"/>
      <c r="H705" s="59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</row>
    <row r="706">
      <c r="A706" s="83"/>
      <c r="B706" s="28"/>
      <c r="C706" s="83"/>
      <c r="D706" s="37"/>
      <c r="E706" s="37"/>
      <c r="F706" s="84"/>
      <c r="G706" s="37"/>
      <c r="H706" s="59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</row>
    <row r="707">
      <c r="A707" s="83"/>
      <c r="B707" s="28"/>
      <c r="C707" s="83"/>
      <c r="D707" s="37"/>
      <c r="E707" s="37"/>
      <c r="F707" s="84"/>
      <c r="G707" s="37"/>
      <c r="H707" s="59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</row>
    <row r="708">
      <c r="A708" s="83"/>
      <c r="B708" s="28"/>
      <c r="C708" s="83"/>
      <c r="D708" s="37"/>
      <c r="E708" s="37"/>
      <c r="F708" s="84"/>
      <c r="G708" s="37"/>
      <c r="H708" s="59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</row>
    <row r="709">
      <c r="A709" s="83"/>
      <c r="B709" s="28"/>
      <c r="C709" s="83"/>
      <c r="D709" s="37"/>
      <c r="E709" s="37"/>
      <c r="F709" s="84"/>
      <c r="G709" s="37"/>
      <c r="H709" s="59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</row>
    <row r="710">
      <c r="A710" s="83"/>
      <c r="B710" s="28"/>
      <c r="C710" s="83"/>
      <c r="D710" s="37"/>
      <c r="E710" s="37"/>
      <c r="F710" s="84"/>
      <c r="G710" s="37"/>
      <c r="H710" s="59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</row>
    <row r="711">
      <c r="A711" s="83"/>
      <c r="B711" s="28"/>
      <c r="C711" s="83"/>
      <c r="D711" s="37"/>
      <c r="E711" s="37"/>
      <c r="F711" s="84"/>
      <c r="G711" s="37"/>
      <c r="H711" s="59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</row>
    <row r="712">
      <c r="A712" s="83"/>
      <c r="B712" s="28"/>
      <c r="C712" s="83"/>
      <c r="D712" s="37"/>
      <c r="E712" s="37"/>
      <c r="F712" s="84"/>
      <c r="G712" s="37"/>
      <c r="H712" s="59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</row>
    <row r="713">
      <c r="A713" s="83"/>
      <c r="B713" s="28"/>
      <c r="C713" s="83"/>
      <c r="D713" s="37"/>
      <c r="E713" s="37"/>
      <c r="F713" s="84"/>
      <c r="G713" s="37"/>
      <c r="H713" s="59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</row>
    <row r="714">
      <c r="A714" s="83"/>
      <c r="B714" s="28"/>
      <c r="C714" s="83"/>
      <c r="D714" s="37"/>
      <c r="E714" s="37"/>
      <c r="F714" s="84"/>
      <c r="G714" s="37"/>
      <c r="H714" s="59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</row>
    <row r="715">
      <c r="A715" s="83"/>
      <c r="B715" s="28"/>
      <c r="C715" s="83"/>
      <c r="D715" s="37"/>
      <c r="E715" s="37"/>
      <c r="F715" s="84"/>
      <c r="G715" s="37"/>
      <c r="H715" s="59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</row>
    <row r="716">
      <c r="A716" s="83"/>
      <c r="B716" s="28"/>
      <c r="C716" s="83"/>
      <c r="D716" s="37"/>
      <c r="E716" s="37"/>
      <c r="F716" s="84"/>
      <c r="G716" s="37"/>
      <c r="H716" s="59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</row>
    <row r="717">
      <c r="A717" s="83"/>
      <c r="B717" s="28"/>
      <c r="C717" s="83"/>
      <c r="D717" s="37"/>
      <c r="E717" s="37"/>
      <c r="F717" s="84"/>
      <c r="G717" s="37"/>
      <c r="H717" s="59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</row>
    <row r="718">
      <c r="A718" s="83"/>
      <c r="B718" s="28"/>
      <c r="C718" s="83"/>
      <c r="D718" s="37"/>
      <c r="E718" s="37"/>
      <c r="F718" s="84"/>
      <c r="G718" s="37"/>
      <c r="H718" s="59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</row>
    <row r="719">
      <c r="A719" s="83"/>
      <c r="B719" s="28"/>
      <c r="C719" s="83"/>
      <c r="D719" s="37"/>
      <c r="E719" s="37"/>
      <c r="F719" s="84"/>
      <c r="G719" s="37"/>
      <c r="H719" s="59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</row>
    <row r="720">
      <c r="A720" s="83"/>
      <c r="B720" s="28"/>
      <c r="C720" s="83"/>
      <c r="D720" s="37"/>
      <c r="E720" s="37"/>
      <c r="F720" s="84"/>
      <c r="G720" s="37"/>
      <c r="H720" s="59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</row>
    <row r="721">
      <c r="A721" s="83"/>
      <c r="B721" s="28"/>
      <c r="C721" s="83"/>
      <c r="D721" s="37"/>
      <c r="E721" s="37"/>
      <c r="F721" s="84"/>
      <c r="G721" s="37"/>
      <c r="H721" s="59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</row>
    <row r="722">
      <c r="A722" s="83"/>
      <c r="B722" s="28"/>
      <c r="C722" s="83"/>
      <c r="D722" s="37"/>
      <c r="E722" s="37"/>
      <c r="F722" s="84"/>
      <c r="G722" s="37"/>
      <c r="H722" s="59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</row>
    <row r="723">
      <c r="A723" s="83"/>
      <c r="B723" s="28"/>
      <c r="C723" s="83"/>
      <c r="D723" s="37"/>
      <c r="E723" s="37"/>
      <c r="F723" s="84"/>
      <c r="G723" s="37"/>
      <c r="H723" s="59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</row>
    <row r="724">
      <c r="A724" s="83"/>
      <c r="B724" s="28"/>
      <c r="C724" s="83"/>
      <c r="D724" s="37"/>
      <c r="E724" s="37"/>
      <c r="F724" s="84"/>
      <c r="G724" s="37"/>
      <c r="H724" s="59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</row>
    <row r="725">
      <c r="A725" s="83"/>
      <c r="B725" s="28"/>
      <c r="C725" s="83"/>
      <c r="D725" s="37"/>
      <c r="E725" s="37"/>
      <c r="F725" s="84"/>
      <c r="G725" s="37"/>
      <c r="H725" s="59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</row>
    <row r="726">
      <c r="A726" s="83"/>
      <c r="B726" s="28"/>
      <c r="C726" s="83"/>
      <c r="D726" s="37"/>
      <c r="E726" s="37"/>
      <c r="F726" s="84"/>
      <c r="G726" s="37"/>
      <c r="H726" s="59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</row>
    <row r="727">
      <c r="A727" s="83"/>
      <c r="B727" s="28"/>
      <c r="C727" s="83"/>
      <c r="D727" s="37"/>
      <c r="E727" s="37"/>
      <c r="F727" s="84"/>
      <c r="G727" s="37"/>
      <c r="H727" s="59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</row>
    <row r="728">
      <c r="A728" s="83"/>
      <c r="B728" s="28"/>
      <c r="C728" s="83"/>
      <c r="D728" s="37"/>
      <c r="E728" s="37"/>
      <c r="F728" s="84"/>
      <c r="G728" s="37"/>
      <c r="H728" s="59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</row>
    <row r="729">
      <c r="A729" s="83"/>
      <c r="B729" s="28"/>
      <c r="C729" s="83"/>
      <c r="D729" s="37"/>
      <c r="E729" s="37"/>
      <c r="F729" s="84"/>
      <c r="G729" s="37"/>
      <c r="H729" s="59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</row>
    <row r="730">
      <c r="A730" s="83"/>
      <c r="B730" s="28"/>
      <c r="C730" s="83"/>
      <c r="D730" s="37"/>
      <c r="E730" s="37"/>
      <c r="F730" s="84"/>
      <c r="G730" s="37"/>
      <c r="H730" s="59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</row>
    <row r="731">
      <c r="A731" s="83"/>
      <c r="B731" s="28"/>
      <c r="C731" s="83"/>
      <c r="D731" s="37"/>
      <c r="E731" s="37"/>
      <c r="F731" s="84"/>
      <c r="G731" s="37"/>
      <c r="H731" s="59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</row>
    <row r="732">
      <c r="A732" s="83"/>
      <c r="B732" s="28"/>
      <c r="C732" s="83"/>
      <c r="D732" s="37"/>
      <c r="E732" s="37"/>
      <c r="F732" s="84"/>
      <c r="G732" s="37"/>
      <c r="H732" s="59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</row>
    <row r="733">
      <c r="A733" s="83"/>
      <c r="B733" s="28"/>
      <c r="C733" s="83"/>
      <c r="D733" s="37"/>
      <c r="E733" s="37"/>
      <c r="F733" s="84"/>
      <c r="G733" s="37"/>
      <c r="H733" s="59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</row>
    <row r="734">
      <c r="A734" s="83"/>
      <c r="B734" s="28"/>
      <c r="C734" s="83"/>
      <c r="D734" s="37"/>
      <c r="E734" s="37"/>
      <c r="F734" s="84"/>
      <c r="G734" s="37"/>
      <c r="H734" s="59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</row>
    <row r="735">
      <c r="A735" s="83"/>
      <c r="B735" s="28"/>
      <c r="C735" s="83"/>
      <c r="D735" s="37"/>
      <c r="E735" s="37"/>
      <c r="F735" s="84"/>
      <c r="G735" s="37"/>
      <c r="H735" s="59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</row>
    <row r="736">
      <c r="A736" s="83"/>
      <c r="B736" s="28"/>
      <c r="C736" s="83"/>
      <c r="D736" s="37"/>
      <c r="E736" s="37"/>
      <c r="F736" s="84"/>
      <c r="G736" s="37"/>
      <c r="H736" s="59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</row>
    <row r="737">
      <c r="A737" s="83"/>
      <c r="B737" s="28"/>
      <c r="C737" s="83"/>
      <c r="D737" s="37"/>
      <c r="E737" s="37"/>
      <c r="F737" s="84"/>
      <c r="G737" s="37"/>
      <c r="H737" s="59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</row>
    <row r="738">
      <c r="A738" s="83"/>
      <c r="B738" s="28"/>
      <c r="C738" s="83"/>
      <c r="D738" s="37"/>
      <c r="E738" s="37"/>
      <c r="F738" s="84"/>
      <c r="G738" s="37"/>
      <c r="H738" s="59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</row>
    <row r="739">
      <c r="A739" s="83"/>
      <c r="B739" s="28"/>
      <c r="C739" s="83"/>
      <c r="D739" s="37"/>
      <c r="E739" s="37"/>
      <c r="F739" s="84"/>
      <c r="G739" s="37"/>
      <c r="H739" s="59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</row>
    <row r="740">
      <c r="A740" s="83"/>
      <c r="B740" s="28"/>
      <c r="C740" s="83"/>
      <c r="D740" s="37"/>
      <c r="E740" s="37"/>
      <c r="F740" s="84"/>
      <c r="G740" s="37"/>
      <c r="H740" s="59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</row>
    <row r="741">
      <c r="A741" s="83"/>
      <c r="B741" s="28"/>
      <c r="C741" s="83"/>
      <c r="D741" s="37"/>
      <c r="E741" s="37"/>
      <c r="F741" s="84"/>
      <c r="G741" s="37"/>
      <c r="H741" s="59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</row>
    <row r="742">
      <c r="A742" s="83"/>
      <c r="B742" s="28"/>
      <c r="C742" s="83"/>
      <c r="D742" s="37"/>
      <c r="E742" s="37"/>
      <c r="F742" s="84"/>
      <c r="G742" s="37"/>
      <c r="H742" s="59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</row>
    <row r="743">
      <c r="A743" s="83"/>
      <c r="B743" s="28"/>
      <c r="C743" s="83"/>
      <c r="D743" s="37"/>
      <c r="E743" s="37"/>
      <c r="F743" s="84"/>
      <c r="G743" s="37"/>
      <c r="H743" s="59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</row>
    <row r="744">
      <c r="A744" s="83"/>
      <c r="B744" s="28"/>
      <c r="C744" s="83"/>
      <c r="D744" s="37"/>
      <c r="E744" s="37"/>
      <c r="F744" s="84"/>
      <c r="G744" s="37"/>
      <c r="H744" s="59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</row>
    <row r="745">
      <c r="A745" s="83"/>
      <c r="B745" s="28"/>
      <c r="C745" s="83"/>
      <c r="D745" s="37"/>
      <c r="E745" s="37"/>
      <c r="F745" s="84"/>
      <c r="G745" s="37"/>
      <c r="H745" s="59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</row>
    <row r="746">
      <c r="A746" s="83"/>
      <c r="B746" s="28"/>
      <c r="C746" s="83"/>
      <c r="D746" s="37"/>
      <c r="E746" s="37"/>
      <c r="F746" s="84"/>
      <c r="G746" s="37"/>
      <c r="H746" s="59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</row>
    <row r="747">
      <c r="A747" s="83"/>
      <c r="B747" s="28"/>
      <c r="C747" s="83"/>
      <c r="D747" s="37"/>
      <c r="E747" s="37"/>
      <c r="F747" s="84"/>
      <c r="G747" s="37"/>
      <c r="H747" s="59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</row>
    <row r="748">
      <c r="A748" s="83"/>
      <c r="B748" s="28"/>
      <c r="C748" s="83"/>
      <c r="D748" s="37"/>
      <c r="E748" s="37"/>
      <c r="F748" s="84"/>
      <c r="G748" s="37"/>
      <c r="H748" s="59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</row>
    <row r="749">
      <c r="A749" s="83"/>
      <c r="B749" s="28"/>
      <c r="C749" s="83"/>
      <c r="D749" s="37"/>
      <c r="E749" s="37"/>
      <c r="F749" s="84"/>
      <c r="G749" s="37"/>
      <c r="H749" s="59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</row>
    <row r="750">
      <c r="A750" s="83"/>
      <c r="B750" s="28"/>
      <c r="C750" s="83"/>
      <c r="D750" s="37"/>
      <c r="E750" s="37"/>
      <c r="F750" s="84"/>
      <c r="G750" s="37"/>
      <c r="H750" s="59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</row>
    <row r="751">
      <c r="A751" s="83"/>
      <c r="B751" s="28"/>
      <c r="C751" s="83"/>
      <c r="D751" s="37"/>
      <c r="E751" s="37"/>
      <c r="F751" s="84"/>
      <c r="G751" s="37"/>
      <c r="H751" s="59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</row>
    <row r="752">
      <c r="A752" s="83"/>
      <c r="B752" s="28"/>
      <c r="C752" s="83"/>
      <c r="D752" s="37"/>
      <c r="E752" s="37"/>
      <c r="F752" s="84"/>
      <c r="G752" s="37"/>
      <c r="H752" s="59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</row>
    <row r="753">
      <c r="A753" s="83"/>
      <c r="B753" s="28"/>
      <c r="C753" s="83"/>
      <c r="D753" s="37"/>
      <c r="E753" s="37"/>
      <c r="F753" s="84"/>
      <c r="G753" s="37"/>
      <c r="H753" s="59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</row>
    <row r="754">
      <c r="A754" s="83"/>
      <c r="B754" s="28"/>
      <c r="C754" s="83"/>
      <c r="D754" s="37"/>
      <c r="E754" s="37"/>
      <c r="F754" s="84"/>
      <c r="G754" s="37"/>
      <c r="H754" s="59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</row>
    <row r="755">
      <c r="A755" s="83"/>
      <c r="B755" s="28"/>
      <c r="C755" s="83"/>
      <c r="D755" s="37"/>
      <c r="E755" s="37"/>
      <c r="F755" s="84"/>
      <c r="G755" s="37"/>
      <c r="H755" s="59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</row>
    <row r="756">
      <c r="A756" s="83"/>
      <c r="B756" s="28"/>
      <c r="C756" s="83"/>
      <c r="D756" s="37"/>
      <c r="E756" s="37"/>
      <c r="F756" s="84"/>
      <c r="G756" s="37"/>
      <c r="H756" s="59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</row>
    <row r="757">
      <c r="A757" s="83"/>
      <c r="B757" s="28"/>
      <c r="C757" s="83"/>
      <c r="D757" s="37"/>
      <c r="E757" s="37"/>
      <c r="F757" s="84"/>
      <c r="G757" s="37"/>
      <c r="H757" s="59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</row>
    <row r="758">
      <c r="A758" s="83"/>
      <c r="B758" s="28"/>
      <c r="C758" s="83"/>
      <c r="D758" s="37"/>
      <c r="E758" s="37"/>
      <c r="F758" s="84"/>
      <c r="G758" s="37"/>
      <c r="H758" s="59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</row>
    <row r="759">
      <c r="A759" s="83"/>
      <c r="B759" s="28"/>
      <c r="C759" s="83"/>
      <c r="D759" s="37"/>
      <c r="E759" s="37"/>
      <c r="F759" s="84"/>
      <c r="G759" s="37"/>
      <c r="H759" s="59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</row>
    <row r="760">
      <c r="A760" s="83"/>
      <c r="B760" s="28"/>
      <c r="C760" s="83"/>
      <c r="D760" s="37"/>
      <c r="E760" s="37"/>
      <c r="F760" s="84"/>
      <c r="G760" s="37"/>
      <c r="H760" s="59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</row>
    <row r="761">
      <c r="A761" s="83"/>
      <c r="B761" s="28"/>
      <c r="C761" s="83"/>
      <c r="D761" s="37"/>
      <c r="E761" s="37"/>
      <c r="F761" s="84"/>
      <c r="G761" s="37"/>
      <c r="H761" s="59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</row>
    <row r="762">
      <c r="A762" s="83"/>
      <c r="B762" s="28"/>
      <c r="C762" s="83"/>
      <c r="D762" s="37"/>
      <c r="E762" s="37"/>
      <c r="F762" s="84"/>
      <c r="G762" s="37"/>
      <c r="H762" s="59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</row>
    <row r="763">
      <c r="A763" s="83"/>
      <c r="B763" s="28"/>
      <c r="C763" s="83"/>
      <c r="D763" s="37"/>
      <c r="E763" s="37"/>
      <c r="F763" s="84"/>
      <c r="G763" s="37"/>
      <c r="H763" s="59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</row>
    <row r="764">
      <c r="A764" s="83"/>
      <c r="B764" s="28"/>
      <c r="C764" s="83"/>
      <c r="D764" s="37"/>
      <c r="E764" s="37"/>
      <c r="F764" s="84"/>
      <c r="G764" s="37"/>
      <c r="H764" s="59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</row>
    <row r="765">
      <c r="A765" s="83"/>
      <c r="B765" s="28"/>
      <c r="C765" s="83"/>
      <c r="D765" s="37"/>
      <c r="E765" s="37"/>
      <c r="F765" s="84"/>
      <c r="G765" s="37"/>
      <c r="H765" s="59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</row>
    <row r="766">
      <c r="A766" s="83"/>
      <c r="B766" s="28"/>
      <c r="C766" s="83"/>
      <c r="D766" s="37"/>
      <c r="E766" s="37"/>
      <c r="F766" s="84"/>
      <c r="G766" s="37"/>
      <c r="H766" s="59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</row>
    <row r="767">
      <c r="A767" s="83"/>
      <c r="B767" s="28"/>
      <c r="C767" s="83"/>
      <c r="D767" s="37"/>
      <c r="E767" s="37"/>
      <c r="F767" s="84"/>
      <c r="G767" s="37"/>
      <c r="H767" s="59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</row>
    <row r="768">
      <c r="A768" s="83"/>
      <c r="B768" s="28"/>
      <c r="C768" s="83"/>
      <c r="D768" s="37"/>
      <c r="E768" s="37"/>
      <c r="F768" s="84"/>
      <c r="G768" s="37"/>
      <c r="H768" s="59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</row>
    <row r="769">
      <c r="A769" s="83"/>
      <c r="B769" s="28"/>
      <c r="C769" s="83"/>
      <c r="D769" s="37"/>
      <c r="E769" s="37"/>
      <c r="F769" s="84"/>
      <c r="G769" s="37"/>
      <c r="H769" s="59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</row>
    <row r="770">
      <c r="A770" s="83"/>
      <c r="B770" s="28"/>
      <c r="C770" s="83"/>
      <c r="D770" s="37"/>
      <c r="E770" s="37"/>
      <c r="F770" s="84"/>
      <c r="G770" s="37"/>
      <c r="H770" s="59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</row>
    <row r="771">
      <c r="A771" s="83"/>
      <c r="B771" s="28"/>
      <c r="C771" s="83"/>
      <c r="D771" s="37"/>
      <c r="E771" s="37"/>
      <c r="F771" s="84"/>
      <c r="G771" s="37"/>
      <c r="H771" s="59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</row>
    <row r="772">
      <c r="A772" s="83"/>
      <c r="B772" s="28"/>
      <c r="C772" s="83"/>
      <c r="D772" s="37"/>
      <c r="E772" s="37"/>
      <c r="F772" s="84"/>
      <c r="G772" s="37"/>
      <c r="H772" s="59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</row>
    <row r="773">
      <c r="A773" s="83"/>
      <c r="B773" s="28"/>
      <c r="C773" s="83"/>
      <c r="D773" s="37"/>
      <c r="E773" s="37"/>
      <c r="F773" s="84"/>
      <c r="G773" s="37"/>
      <c r="H773" s="59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</row>
    <row r="774">
      <c r="A774" s="83"/>
      <c r="B774" s="28"/>
      <c r="C774" s="83"/>
      <c r="D774" s="37"/>
      <c r="E774" s="37"/>
      <c r="F774" s="84"/>
      <c r="G774" s="37"/>
      <c r="H774" s="59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</row>
    <row r="775">
      <c r="A775" s="83"/>
      <c r="B775" s="28"/>
      <c r="C775" s="83"/>
      <c r="D775" s="37"/>
      <c r="E775" s="37"/>
      <c r="F775" s="84"/>
      <c r="G775" s="37"/>
      <c r="H775" s="59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</row>
    <row r="776">
      <c r="A776" s="83"/>
      <c r="B776" s="28"/>
      <c r="C776" s="83"/>
      <c r="D776" s="37"/>
      <c r="E776" s="37"/>
      <c r="F776" s="84"/>
      <c r="G776" s="37"/>
      <c r="H776" s="59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</row>
    <row r="777">
      <c r="A777" s="83"/>
      <c r="B777" s="28"/>
      <c r="C777" s="83"/>
      <c r="D777" s="37"/>
      <c r="E777" s="37"/>
      <c r="F777" s="84"/>
      <c r="G777" s="37"/>
      <c r="H777" s="59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</row>
    <row r="778">
      <c r="A778" s="83"/>
      <c r="B778" s="28"/>
      <c r="C778" s="83"/>
      <c r="D778" s="37"/>
      <c r="E778" s="37"/>
      <c r="F778" s="84"/>
      <c r="G778" s="37"/>
      <c r="H778" s="59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</row>
    <row r="779">
      <c r="A779" s="83"/>
      <c r="B779" s="28"/>
      <c r="C779" s="83"/>
      <c r="D779" s="37"/>
      <c r="E779" s="37"/>
      <c r="F779" s="84"/>
      <c r="G779" s="37"/>
      <c r="H779" s="59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</row>
    <row r="780">
      <c r="A780" s="83"/>
      <c r="B780" s="28"/>
      <c r="C780" s="83"/>
      <c r="D780" s="37"/>
      <c r="E780" s="37"/>
      <c r="F780" s="84"/>
      <c r="G780" s="37"/>
      <c r="H780" s="59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</row>
    <row r="781">
      <c r="A781" s="83"/>
      <c r="B781" s="28"/>
      <c r="C781" s="83"/>
      <c r="D781" s="37"/>
      <c r="E781" s="37"/>
      <c r="F781" s="84"/>
      <c r="G781" s="37"/>
      <c r="H781" s="59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</row>
    <row r="782">
      <c r="A782" s="83"/>
      <c r="B782" s="28"/>
      <c r="C782" s="83"/>
      <c r="D782" s="37"/>
      <c r="E782" s="37"/>
      <c r="F782" s="84"/>
      <c r="G782" s="37"/>
      <c r="H782" s="59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</row>
    <row r="783">
      <c r="A783" s="83"/>
      <c r="B783" s="28"/>
      <c r="C783" s="83"/>
      <c r="D783" s="37"/>
      <c r="E783" s="37"/>
      <c r="F783" s="84"/>
      <c r="G783" s="37"/>
      <c r="H783" s="59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</row>
    <row r="784">
      <c r="A784" s="83"/>
      <c r="B784" s="28"/>
      <c r="C784" s="83"/>
      <c r="D784" s="37"/>
      <c r="E784" s="37"/>
      <c r="F784" s="84"/>
      <c r="G784" s="37"/>
      <c r="H784" s="59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</row>
    <row r="785">
      <c r="A785" s="83"/>
      <c r="B785" s="28"/>
      <c r="C785" s="83"/>
      <c r="D785" s="37"/>
      <c r="E785" s="37"/>
      <c r="F785" s="84"/>
      <c r="G785" s="37"/>
      <c r="H785" s="59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</row>
    <row r="786">
      <c r="A786" s="83"/>
      <c r="B786" s="28"/>
      <c r="C786" s="83"/>
      <c r="D786" s="37"/>
      <c r="E786" s="37"/>
      <c r="F786" s="84"/>
      <c r="G786" s="37"/>
      <c r="H786" s="59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</row>
    <row r="787">
      <c r="A787" s="83"/>
      <c r="B787" s="28"/>
      <c r="C787" s="83"/>
      <c r="D787" s="37"/>
      <c r="E787" s="37"/>
      <c r="F787" s="84"/>
      <c r="G787" s="37"/>
      <c r="H787" s="59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</row>
    <row r="788">
      <c r="A788" s="83"/>
      <c r="B788" s="28"/>
      <c r="C788" s="83"/>
      <c r="D788" s="37"/>
      <c r="E788" s="37"/>
      <c r="F788" s="84"/>
      <c r="G788" s="37"/>
      <c r="H788" s="59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</row>
    <row r="789">
      <c r="A789" s="83"/>
      <c r="B789" s="28"/>
      <c r="C789" s="83"/>
      <c r="D789" s="37"/>
      <c r="E789" s="37"/>
      <c r="F789" s="84"/>
      <c r="G789" s="37"/>
      <c r="H789" s="59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</row>
    <row r="790">
      <c r="A790" s="83"/>
      <c r="B790" s="28"/>
      <c r="C790" s="83"/>
      <c r="D790" s="37"/>
      <c r="E790" s="37"/>
      <c r="F790" s="84"/>
      <c r="G790" s="37"/>
      <c r="H790" s="59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</row>
    <row r="791">
      <c r="A791" s="83"/>
      <c r="B791" s="28"/>
      <c r="C791" s="83"/>
      <c r="D791" s="37"/>
      <c r="E791" s="37"/>
      <c r="F791" s="84"/>
      <c r="G791" s="37"/>
      <c r="H791" s="59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</row>
    <row r="792">
      <c r="A792" s="83"/>
      <c r="B792" s="28"/>
      <c r="C792" s="83"/>
      <c r="D792" s="37"/>
      <c r="E792" s="37"/>
      <c r="F792" s="84"/>
      <c r="G792" s="37"/>
      <c r="H792" s="59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</row>
    <row r="793">
      <c r="A793" s="83"/>
      <c r="B793" s="28"/>
      <c r="C793" s="83"/>
      <c r="D793" s="37"/>
      <c r="E793" s="37"/>
      <c r="F793" s="84"/>
      <c r="G793" s="37"/>
      <c r="H793" s="59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</row>
    <row r="794">
      <c r="A794" s="83"/>
      <c r="B794" s="28"/>
      <c r="C794" s="83"/>
      <c r="D794" s="37"/>
      <c r="E794" s="37"/>
      <c r="F794" s="84"/>
      <c r="G794" s="37"/>
      <c r="H794" s="59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</row>
    <row r="795">
      <c r="A795" s="83"/>
      <c r="B795" s="28"/>
      <c r="C795" s="83"/>
      <c r="D795" s="37"/>
      <c r="E795" s="37"/>
      <c r="F795" s="84"/>
      <c r="G795" s="37"/>
      <c r="H795" s="59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</row>
    <row r="796">
      <c r="A796" s="83"/>
      <c r="B796" s="28"/>
      <c r="C796" s="83"/>
      <c r="D796" s="37"/>
      <c r="E796" s="37"/>
      <c r="F796" s="84"/>
      <c r="G796" s="37"/>
      <c r="H796" s="59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</row>
    <row r="797">
      <c r="A797" s="83"/>
      <c r="B797" s="28"/>
      <c r="C797" s="83"/>
      <c r="D797" s="37"/>
      <c r="E797" s="37"/>
      <c r="F797" s="84"/>
      <c r="G797" s="37"/>
      <c r="H797" s="59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</row>
    <row r="798">
      <c r="A798" s="83"/>
      <c r="B798" s="28"/>
      <c r="C798" s="83"/>
      <c r="D798" s="37"/>
      <c r="E798" s="37"/>
      <c r="F798" s="84"/>
      <c r="G798" s="37"/>
      <c r="H798" s="59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</row>
    <row r="799">
      <c r="A799" s="83"/>
      <c r="B799" s="28"/>
      <c r="C799" s="83"/>
      <c r="D799" s="37"/>
      <c r="E799" s="37"/>
      <c r="F799" s="84"/>
      <c r="G799" s="37"/>
      <c r="H799" s="59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</row>
    <row r="800">
      <c r="A800" s="83"/>
      <c r="B800" s="28"/>
      <c r="C800" s="83"/>
      <c r="D800" s="37"/>
      <c r="E800" s="37"/>
      <c r="F800" s="84"/>
      <c r="G800" s="37"/>
      <c r="H800" s="59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</row>
    <row r="801">
      <c r="A801" s="83"/>
      <c r="B801" s="28"/>
      <c r="C801" s="83"/>
      <c r="D801" s="37"/>
      <c r="E801" s="37"/>
      <c r="F801" s="84"/>
      <c r="G801" s="37"/>
      <c r="H801" s="59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</row>
    <row r="802">
      <c r="A802" s="83"/>
      <c r="B802" s="28"/>
      <c r="C802" s="83"/>
      <c r="D802" s="37"/>
      <c r="E802" s="37"/>
      <c r="F802" s="84"/>
      <c r="G802" s="37"/>
      <c r="H802" s="59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</row>
    <row r="803">
      <c r="A803" s="83"/>
      <c r="B803" s="28"/>
      <c r="C803" s="83"/>
      <c r="D803" s="37"/>
      <c r="E803" s="37"/>
      <c r="F803" s="84"/>
      <c r="G803" s="37"/>
      <c r="H803" s="59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</row>
    <row r="804">
      <c r="A804" s="83"/>
      <c r="B804" s="28"/>
      <c r="C804" s="83"/>
      <c r="D804" s="37"/>
      <c r="E804" s="37"/>
      <c r="F804" s="84"/>
      <c r="G804" s="37"/>
      <c r="H804" s="59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</row>
    <row r="805">
      <c r="A805" s="83"/>
      <c r="B805" s="28"/>
      <c r="C805" s="83"/>
      <c r="D805" s="37"/>
      <c r="E805" s="37"/>
      <c r="F805" s="84"/>
      <c r="G805" s="37"/>
      <c r="H805" s="59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</row>
    <row r="806">
      <c r="A806" s="83"/>
      <c r="B806" s="28"/>
      <c r="C806" s="83"/>
      <c r="D806" s="37"/>
      <c r="E806" s="37"/>
      <c r="F806" s="84"/>
      <c r="G806" s="37"/>
      <c r="H806" s="59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</row>
    <row r="807">
      <c r="A807" s="83"/>
      <c r="B807" s="28"/>
      <c r="C807" s="83"/>
      <c r="D807" s="37"/>
      <c r="E807" s="37"/>
      <c r="F807" s="84"/>
      <c r="G807" s="37"/>
      <c r="H807" s="59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</row>
    <row r="808">
      <c r="A808" s="83"/>
      <c r="B808" s="28"/>
      <c r="C808" s="83"/>
      <c r="D808" s="37"/>
      <c r="E808" s="37"/>
      <c r="F808" s="84"/>
      <c r="G808" s="37"/>
      <c r="H808" s="59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</row>
    <row r="809">
      <c r="A809" s="83"/>
      <c r="B809" s="28"/>
      <c r="C809" s="83"/>
      <c r="D809" s="37"/>
      <c r="E809" s="37"/>
      <c r="F809" s="84"/>
      <c r="G809" s="37"/>
      <c r="H809" s="59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</row>
    <row r="810">
      <c r="A810" s="83"/>
      <c r="B810" s="28"/>
      <c r="C810" s="83"/>
      <c r="D810" s="37"/>
      <c r="E810" s="37"/>
      <c r="F810" s="84"/>
      <c r="G810" s="37"/>
      <c r="H810" s="59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</row>
    <row r="811">
      <c r="A811" s="83"/>
      <c r="B811" s="28"/>
      <c r="C811" s="83"/>
      <c r="D811" s="37"/>
      <c r="E811" s="37"/>
      <c r="F811" s="84"/>
      <c r="G811" s="37"/>
      <c r="H811" s="59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</row>
    <row r="812">
      <c r="A812" s="83"/>
      <c r="B812" s="28"/>
      <c r="C812" s="83"/>
      <c r="D812" s="37"/>
      <c r="E812" s="37"/>
      <c r="F812" s="84"/>
      <c r="G812" s="37"/>
      <c r="H812" s="59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</row>
    <row r="813">
      <c r="A813" s="83"/>
      <c r="B813" s="28"/>
      <c r="C813" s="83"/>
      <c r="D813" s="37"/>
      <c r="E813" s="37"/>
      <c r="F813" s="84"/>
      <c r="G813" s="37"/>
      <c r="H813" s="59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</row>
    <row r="814">
      <c r="A814" s="83"/>
      <c r="B814" s="28"/>
      <c r="C814" s="83"/>
      <c r="D814" s="37"/>
      <c r="E814" s="37"/>
      <c r="F814" s="84"/>
      <c r="G814" s="37"/>
      <c r="H814" s="59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</row>
    <row r="815">
      <c r="A815" s="83"/>
      <c r="B815" s="28"/>
      <c r="C815" s="83"/>
      <c r="D815" s="37"/>
      <c r="E815" s="37"/>
      <c r="F815" s="84"/>
      <c r="G815" s="37"/>
      <c r="H815" s="59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</row>
    <row r="816">
      <c r="A816" s="83"/>
      <c r="B816" s="28"/>
      <c r="C816" s="83"/>
      <c r="D816" s="37"/>
      <c r="E816" s="37"/>
      <c r="F816" s="84"/>
      <c r="G816" s="37"/>
      <c r="H816" s="59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</row>
    <row r="817">
      <c r="A817" s="83"/>
      <c r="B817" s="28"/>
      <c r="C817" s="83"/>
      <c r="D817" s="37"/>
      <c r="E817" s="37"/>
      <c r="F817" s="84"/>
      <c r="G817" s="37"/>
      <c r="H817" s="59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</row>
    <row r="818">
      <c r="A818" s="83"/>
      <c r="B818" s="28"/>
      <c r="C818" s="83"/>
      <c r="D818" s="37"/>
      <c r="E818" s="37"/>
      <c r="F818" s="84"/>
      <c r="G818" s="37"/>
      <c r="H818" s="59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</row>
    <row r="819">
      <c r="A819" s="83"/>
      <c r="B819" s="28"/>
      <c r="C819" s="83"/>
      <c r="D819" s="37"/>
      <c r="E819" s="37"/>
      <c r="F819" s="84"/>
      <c r="G819" s="37"/>
      <c r="H819" s="59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</row>
    <row r="820">
      <c r="A820" s="83"/>
      <c r="B820" s="28"/>
      <c r="C820" s="83"/>
      <c r="D820" s="37"/>
      <c r="E820" s="37"/>
      <c r="F820" s="84"/>
      <c r="G820" s="37"/>
      <c r="H820" s="59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</row>
    <row r="821">
      <c r="A821" s="83"/>
      <c r="B821" s="28"/>
      <c r="C821" s="83"/>
      <c r="D821" s="37"/>
      <c r="E821" s="37"/>
      <c r="F821" s="84"/>
      <c r="G821" s="37"/>
      <c r="H821" s="59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</row>
    <row r="822">
      <c r="A822" s="83"/>
      <c r="B822" s="28"/>
      <c r="C822" s="83"/>
      <c r="D822" s="37"/>
      <c r="E822" s="37"/>
      <c r="F822" s="84"/>
      <c r="G822" s="37"/>
      <c r="H822" s="59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</row>
    <row r="823">
      <c r="A823" s="83"/>
      <c r="B823" s="28"/>
      <c r="C823" s="83"/>
      <c r="D823" s="37"/>
      <c r="E823" s="37"/>
      <c r="F823" s="84"/>
      <c r="G823" s="37"/>
      <c r="H823" s="59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</row>
    <row r="824">
      <c r="A824" s="83"/>
      <c r="B824" s="28"/>
      <c r="C824" s="83"/>
      <c r="D824" s="37"/>
      <c r="E824" s="37"/>
      <c r="F824" s="84"/>
      <c r="G824" s="37"/>
      <c r="H824" s="59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</row>
    <row r="825">
      <c r="A825" s="83"/>
      <c r="B825" s="28"/>
      <c r="C825" s="83"/>
      <c r="D825" s="37"/>
      <c r="E825" s="37"/>
      <c r="F825" s="84"/>
      <c r="G825" s="37"/>
      <c r="H825" s="59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</row>
    <row r="826">
      <c r="A826" s="83"/>
      <c r="B826" s="28"/>
      <c r="C826" s="83"/>
      <c r="D826" s="37"/>
      <c r="E826" s="37"/>
      <c r="F826" s="84"/>
      <c r="G826" s="37"/>
      <c r="H826" s="59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</row>
    <row r="827">
      <c r="A827" s="83"/>
      <c r="B827" s="28"/>
      <c r="C827" s="83"/>
      <c r="D827" s="37"/>
      <c r="E827" s="37"/>
      <c r="F827" s="84"/>
      <c r="G827" s="37"/>
      <c r="H827" s="59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</row>
    <row r="828">
      <c r="A828" s="83"/>
      <c r="B828" s="28"/>
      <c r="C828" s="83"/>
      <c r="D828" s="37"/>
      <c r="E828" s="37"/>
      <c r="F828" s="84"/>
      <c r="G828" s="37"/>
      <c r="H828" s="59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</row>
    <row r="829">
      <c r="A829" s="83"/>
      <c r="B829" s="28"/>
      <c r="C829" s="83"/>
      <c r="D829" s="37"/>
      <c r="E829" s="37"/>
      <c r="F829" s="84"/>
      <c r="G829" s="37"/>
      <c r="H829" s="59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</row>
    <row r="830">
      <c r="A830" s="83"/>
      <c r="B830" s="28"/>
      <c r="C830" s="83"/>
      <c r="D830" s="37"/>
      <c r="E830" s="37"/>
      <c r="F830" s="84"/>
      <c r="G830" s="37"/>
      <c r="H830" s="59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</row>
    <row r="831">
      <c r="A831" s="83"/>
      <c r="B831" s="28"/>
      <c r="C831" s="83"/>
      <c r="D831" s="37"/>
      <c r="E831" s="37"/>
      <c r="F831" s="84"/>
      <c r="G831" s="37"/>
      <c r="H831" s="59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</row>
    <row r="832">
      <c r="A832" s="83"/>
      <c r="B832" s="28"/>
      <c r="C832" s="83"/>
      <c r="D832" s="37"/>
      <c r="E832" s="37"/>
      <c r="F832" s="84"/>
      <c r="G832" s="37"/>
      <c r="H832" s="59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</row>
    <row r="833">
      <c r="A833" s="83"/>
      <c r="B833" s="28"/>
      <c r="C833" s="83"/>
      <c r="D833" s="37"/>
      <c r="E833" s="37"/>
      <c r="F833" s="84"/>
      <c r="G833" s="37"/>
      <c r="H833" s="59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</row>
    <row r="834">
      <c r="A834" s="83"/>
      <c r="B834" s="28"/>
      <c r="C834" s="83"/>
      <c r="D834" s="37"/>
      <c r="E834" s="37"/>
      <c r="F834" s="84"/>
      <c r="G834" s="37"/>
      <c r="H834" s="59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</row>
    <row r="835">
      <c r="A835" s="83"/>
      <c r="B835" s="28"/>
      <c r="C835" s="83"/>
      <c r="D835" s="37"/>
      <c r="E835" s="37"/>
      <c r="F835" s="84"/>
      <c r="G835" s="37"/>
      <c r="H835" s="59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</row>
    <row r="836">
      <c r="A836" s="83"/>
      <c r="B836" s="28"/>
      <c r="C836" s="83"/>
      <c r="D836" s="37"/>
      <c r="E836" s="37"/>
      <c r="F836" s="84"/>
      <c r="G836" s="37"/>
      <c r="H836" s="59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</row>
    <row r="837">
      <c r="A837" s="83"/>
      <c r="B837" s="28"/>
      <c r="C837" s="83"/>
      <c r="D837" s="37"/>
      <c r="E837" s="37"/>
      <c r="F837" s="84"/>
      <c r="G837" s="37"/>
      <c r="H837" s="59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</row>
    <row r="838">
      <c r="A838" s="83"/>
      <c r="B838" s="28"/>
      <c r="C838" s="83"/>
      <c r="D838" s="37"/>
      <c r="E838" s="37"/>
      <c r="F838" s="84"/>
      <c r="G838" s="37"/>
      <c r="H838" s="59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</row>
    <row r="839">
      <c r="A839" s="83"/>
      <c r="B839" s="28"/>
      <c r="C839" s="83"/>
      <c r="D839" s="37"/>
      <c r="E839" s="37"/>
      <c r="F839" s="84"/>
      <c r="G839" s="37"/>
      <c r="H839" s="59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</row>
    <row r="840">
      <c r="A840" s="83"/>
      <c r="B840" s="28"/>
      <c r="C840" s="83"/>
      <c r="D840" s="37"/>
      <c r="E840" s="37"/>
      <c r="F840" s="84"/>
      <c r="G840" s="37"/>
      <c r="H840" s="59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</row>
    <row r="841">
      <c r="A841" s="83"/>
      <c r="B841" s="28"/>
      <c r="C841" s="83"/>
      <c r="D841" s="37"/>
      <c r="E841" s="37"/>
      <c r="F841" s="84"/>
      <c r="G841" s="37"/>
      <c r="H841" s="59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</row>
    <row r="842">
      <c r="A842" s="83"/>
      <c r="B842" s="28"/>
      <c r="C842" s="83"/>
      <c r="D842" s="37"/>
      <c r="E842" s="37"/>
      <c r="F842" s="84"/>
      <c r="G842" s="37"/>
      <c r="H842" s="59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</row>
    <row r="843">
      <c r="A843" s="83"/>
      <c r="B843" s="28"/>
      <c r="C843" s="83"/>
      <c r="D843" s="37"/>
      <c r="E843" s="37"/>
      <c r="F843" s="84"/>
      <c r="G843" s="37"/>
      <c r="H843" s="59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</row>
    <row r="844">
      <c r="A844" s="83"/>
      <c r="B844" s="28"/>
      <c r="C844" s="83"/>
      <c r="D844" s="37"/>
      <c r="E844" s="37"/>
      <c r="F844" s="84"/>
      <c r="G844" s="37"/>
      <c r="H844" s="59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</row>
    <row r="845">
      <c r="A845" s="83"/>
      <c r="B845" s="28"/>
      <c r="C845" s="83"/>
      <c r="D845" s="37"/>
      <c r="E845" s="37"/>
      <c r="F845" s="84"/>
      <c r="G845" s="37"/>
      <c r="H845" s="59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</row>
    <row r="846">
      <c r="A846" s="83"/>
      <c r="B846" s="28"/>
      <c r="C846" s="83"/>
      <c r="D846" s="37"/>
      <c r="E846" s="37"/>
      <c r="F846" s="84"/>
      <c r="G846" s="37"/>
      <c r="H846" s="59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</row>
    <row r="847">
      <c r="A847" s="83"/>
      <c r="B847" s="28"/>
      <c r="C847" s="83"/>
      <c r="D847" s="37"/>
      <c r="E847" s="37"/>
      <c r="F847" s="84"/>
      <c r="G847" s="37"/>
      <c r="H847" s="59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</row>
    <row r="848">
      <c r="A848" s="83"/>
      <c r="B848" s="28"/>
      <c r="C848" s="83"/>
      <c r="D848" s="37"/>
      <c r="E848" s="37"/>
      <c r="F848" s="84"/>
      <c r="G848" s="37"/>
      <c r="H848" s="59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</row>
    <row r="849">
      <c r="A849" s="83"/>
      <c r="B849" s="28"/>
      <c r="C849" s="83"/>
      <c r="D849" s="37"/>
      <c r="E849" s="37"/>
      <c r="F849" s="84"/>
      <c r="G849" s="37"/>
      <c r="H849" s="59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</row>
    <row r="850">
      <c r="A850" s="83"/>
      <c r="B850" s="28"/>
      <c r="C850" s="83"/>
      <c r="D850" s="37"/>
      <c r="E850" s="37"/>
      <c r="F850" s="84"/>
      <c r="G850" s="37"/>
      <c r="H850" s="59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</row>
    <row r="851">
      <c r="A851" s="83"/>
      <c r="B851" s="28"/>
      <c r="C851" s="83"/>
      <c r="D851" s="37"/>
      <c r="E851" s="37"/>
      <c r="F851" s="84"/>
      <c r="G851" s="37"/>
      <c r="H851" s="59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</row>
    <row r="852">
      <c r="A852" s="83"/>
      <c r="B852" s="28"/>
      <c r="C852" s="83"/>
      <c r="D852" s="37"/>
      <c r="E852" s="37"/>
      <c r="F852" s="84"/>
      <c r="G852" s="37"/>
      <c r="H852" s="59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</row>
    <row r="853">
      <c r="A853" s="83"/>
      <c r="B853" s="28"/>
      <c r="C853" s="83"/>
      <c r="D853" s="37"/>
      <c r="E853" s="37"/>
      <c r="F853" s="84"/>
      <c r="G853" s="37"/>
      <c r="H853" s="59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</row>
    <row r="854">
      <c r="A854" s="83"/>
      <c r="B854" s="28"/>
      <c r="C854" s="83"/>
      <c r="D854" s="37"/>
      <c r="E854" s="37"/>
      <c r="F854" s="84"/>
      <c r="G854" s="37"/>
      <c r="H854" s="59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</row>
    <row r="855">
      <c r="A855" s="83"/>
      <c r="B855" s="28"/>
      <c r="C855" s="83"/>
      <c r="D855" s="37"/>
      <c r="E855" s="37"/>
      <c r="F855" s="84"/>
      <c r="G855" s="37"/>
      <c r="H855" s="59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</row>
    <row r="856">
      <c r="A856" s="83"/>
      <c r="B856" s="28"/>
      <c r="C856" s="83"/>
      <c r="D856" s="37"/>
      <c r="E856" s="37"/>
      <c r="F856" s="84"/>
      <c r="G856" s="37"/>
      <c r="H856" s="59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</row>
    <row r="857">
      <c r="A857" s="83"/>
      <c r="B857" s="28"/>
      <c r="C857" s="83"/>
      <c r="D857" s="37"/>
      <c r="E857" s="37"/>
      <c r="F857" s="84"/>
      <c r="G857" s="37"/>
      <c r="H857" s="59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</row>
    <row r="858">
      <c r="A858" s="83"/>
      <c r="B858" s="28"/>
      <c r="C858" s="83"/>
      <c r="D858" s="37"/>
      <c r="E858" s="37"/>
      <c r="F858" s="84"/>
      <c r="G858" s="37"/>
      <c r="H858" s="59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</row>
    <row r="859">
      <c r="A859" s="83"/>
      <c r="B859" s="28"/>
      <c r="C859" s="83"/>
      <c r="D859" s="37"/>
      <c r="E859" s="37"/>
      <c r="F859" s="84"/>
      <c r="G859" s="37"/>
      <c r="H859" s="59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</row>
    <row r="860">
      <c r="A860" s="83"/>
      <c r="B860" s="28"/>
      <c r="C860" s="83"/>
      <c r="D860" s="37"/>
      <c r="E860" s="37"/>
      <c r="F860" s="84"/>
      <c r="G860" s="37"/>
      <c r="H860" s="59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</row>
    <row r="861">
      <c r="A861" s="83"/>
      <c r="B861" s="28"/>
      <c r="C861" s="83"/>
      <c r="D861" s="37"/>
      <c r="E861" s="37"/>
      <c r="F861" s="84"/>
      <c r="G861" s="37"/>
      <c r="H861" s="59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</row>
    <row r="862">
      <c r="A862" s="83"/>
      <c r="B862" s="28"/>
      <c r="C862" s="83"/>
      <c r="D862" s="37"/>
      <c r="E862" s="37"/>
      <c r="F862" s="84"/>
      <c r="G862" s="37"/>
      <c r="H862" s="59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</row>
    <row r="863">
      <c r="A863" s="83"/>
      <c r="B863" s="28"/>
      <c r="C863" s="83"/>
      <c r="D863" s="37"/>
      <c r="E863" s="37"/>
      <c r="F863" s="84"/>
      <c r="G863" s="37"/>
      <c r="H863" s="59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</row>
    <row r="864">
      <c r="A864" s="83"/>
      <c r="B864" s="28"/>
      <c r="C864" s="83"/>
      <c r="D864" s="37"/>
      <c r="E864" s="37"/>
      <c r="F864" s="84"/>
      <c r="G864" s="37"/>
      <c r="H864" s="59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</row>
    <row r="865">
      <c r="A865" s="83"/>
      <c r="B865" s="28"/>
      <c r="C865" s="83"/>
      <c r="D865" s="37"/>
      <c r="E865" s="37"/>
      <c r="F865" s="84"/>
      <c r="G865" s="37"/>
      <c r="H865" s="59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</row>
    <row r="866">
      <c r="A866" s="83"/>
      <c r="B866" s="28"/>
      <c r="C866" s="83"/>
      <c r="D866" s="37"/>
      <c r="E866" s="37"/>
      <c r="F866" s="84"/>
      <c r="G866" s="37"/>
      <c r="H866" s="59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</row>
    <row r="867">
      <c r="A867" s="83"/>
      <c r="B867" s="28"/>
      <c r="C867" s="83"/>
      <c r="D867" s="37"/>
      <c r="E867" s="37"/>
      <c r="F867" s="84"/>
      <c r="G867" s="37"/>
      <c r="H867" s="59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</row>
    <row r="868">
      <c r="A868" s="83"/>
      <c r="B868" s="28"/>
      <c r="C868" s="83"/>
      <c r="D868" s="37"/>
      <c r="E868" s="37"/>
      <c r="F868" s="84"/>
      <c r="G868" s="37"/>
      <c r="H868" s="59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</row>
    <row r="869">
      <c r="A869" s="83"/>
      <c r="B869" s="28"/>
      <c r="C869" s="83"/>
      <c r="D869" s="37"/>
      <c r="E869" s="37"/>
      <c r="F869" s="84"/>
      <c r="G869" s="37"/>
      <c r="H869" s="59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</row>
    <row r="870">
      <c r="A870" s="83"/>
      <c r="B870" s="28"/>
      <c r="C870" s="83"/>
      <c r="D870" s="37"/>
      <c r="E870" s="37"/>
      <c r="F870" s="84"/>
      <c r="G870" s="37"/>
      <c r="H870" s="59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</row>
    <row r="871">
      <c r="A871" s="83"/>
      <c r="B871" s="28"/>
      <c r="C871" s="83"/>
      <c r="D871" s="37"/>
      <c r="E871" s="37"/>
      <c r="F871" s="84"/>
      <c r="G871" s="37"/>
      <c r="H871" s="59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</row>
    <row r="872">
      <c r="A872" s="83"/>
      <c r="B872" s="28"/>
      <c r="C872" s="83"/>
      <c r="D872" s="37"/>
      <c r="E872" s="37"/>
      <c r="F872" s="84"/>
      <c r="G872" s="37"/>
      <c r="H872" s="59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</row>
    <row r="873">
      <c r="A873" s="83"/>
      <c r="B873" s="28"/>
      <c r="C873" s="83"/>
      <c r="D873" s="37"/>
      <c r="E873" s="37"/>
      <c r="F873" s="84"/>
      <c r="G873" s="37"/>
      <c r="H873" s="59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</row>
    <row r="874">
      <c r="A874" s="83"/>
      <c r="B874" s="28"/>
      <c r="C874" s="83"/>
      <c r="D874" s="37"/>
      <c r="E874" s="37"/>
      <c r="F874" s="84"/>
      <c r="G874" s="37"/>
      <c r="H874" s="59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</row>
    <row r="875">
      <c r="A875" s="83"/>
      <c r="B875" s="28"/>
      <c r="C875" s="83"/>
      <c r="D875" s="37"/>
      <c r="E875" s="37"/>
      <c r="F875" s="84"/>
      <c r="G875" s="37"/>
      <c r="H875" s="59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</row>
    <row r="876">
      <c r="A876" s="83"/>
      <c r="B876" s="28"/>
      <c r="C876" s="83"/>
      <c r="D876" s="37"/>
      <c r="E876" s="37"/>
      <c r="F876" s="84"/>
      <c r="G876" s="37"/>
      <c r="H876" s="59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</row>
    <row r="877">
      <c r="A877" s="83"/>
      <c r="B877" s="28"/>
      <c r="C877" s="83"/>
      <c r="D877" s="37"/>
      <c r="E877" s="37"/>
      <c r="F877" s="84"/>
      <c r="G877" s="37"/>
      <c r="H877" s="59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</row>
    <row r="878">
      <c r="A878" s="83"/>
      <c r="B878" s="28"/>
      <c r="C878" s="83"/>
      <c r="D878" s="37"/>
      <c r="E878" s="37"/>
      <c r="F878" s="84"/>
      <c r="G878" s="37"/>
      <c r="H878" s="59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</row>
    <row r="879">
      <c r="A879" s="83"/>
      <c r="B879" s="28"/>
      <c r="C879" s="83"/>
      <c r="D879" s="37"/>
      <c r="E879" s="37"/>
      <c r="F879" s="84"/>
      <c r="G879" s="37"/>
      <c r="H879" s="59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</row>
    <row r="880">
      <c r="A880" s="83"/>
      <c r="B880" s="28"/>
      <c r="C880" s="83"/>
      <c r="D880" s="37"/>
      <c r="E880" s="37"/>
      <c r="F880" s="84"/>
      <c r="G880" s="37"/>
      <c r="H880" s="59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</row>
    <row r="881">
      <c r="A881" s="83"/>
      <c r="B881" s="28"/>
      <c r="C881" s="83"/>
      <c r="D881" s="37"/>
      <c r="E881" s="37"/>
      <c r="F881" s="84"/>
      <c r="G881" s="37"/>
      <c r="H881" s="59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</row>
    <row r="882">
      <c r="A882" s="83"/>
      <c r="B882" s="28"/>
      <c r="C882" s="83"/>
      <c r="D882" s="37"/>
      <c r="E882" s="37"/>
      <c r="F882" s="84"/>
      <c r="G882" s="37"/>
      <c r="H882" s="59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</row>
    <row r="883">
      <c r="A883" s="83"/>
      <c r="B883" s="28"/>
      <c r="C883" s="83"/>
      <c r="D883" s="37"/>
      <c r="E883" s="37"/>
      <c r="F883" s="84"/>
      <c r="G883" s="37"/>
      <c r="H883" s="59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</row>
    <row r="884">
      <c r="A884" s="83"/>
      <c r="B884" s="28"/>
      <c r="C884" s="83"/>
      <c r="D884" s="37"/>
      <c r="E884" s="37"/>
      <c r="F884" s="84"/>
      <c r="G884" s="37"/>
      <c r="H884" s="59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</row>
    <row r="885">
      <c r="A885" s="83"/>
      <c r="B885" s="28"/>
      <c r="C885" s="83"/>
      <c r="D885" s="37"/>
      <c r="E885" s="37"/>
      <c r="F885" s="84"/>
      <c r="G885" s="37"/>
      <c r="H885" s="59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</row>
    <row r="886">
      <c r="A886" s="83"/>
      <c r="B886" s="28"/>
      <c r="C886" s="83"/>
      <c r="D886" s="37"/>
      <c r="E886" s="37"/>
      <c r="F886" s="84"/>
      <c r="G886" s="37"/>
      <c r="H886" s="59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</row>
    <row r="887">
      <c r="A887" s="83"/>
      <c r="B887" s="28"/>
      <c r="C887" s="83"/>
      <c r="D887" s="37"/>
      <c r="E887" s="37"/>
      <c r="F887" s="84"/>
      <c r="G887" s="37"/>
      <c r="H887" s="59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</row>
    <row r="888">
      <c r="A888" s="83"/>
      <c r="B888" s="28"/>
      <c r="C888" s="83"/>
      <c r="D888" s="37"/>
      <c r="E888" s="37"/>
      <c r="F888" s="84"/>
      <c r="G888" s="37"/>
      <c r="H888" s="59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</row>
    <row r="889">
      <c r="A889" s="83"/>
      <c r="B889" s="28"/>
      <c r="C889" s="83"/>
      <c r="D889" s="37"/>
      <c r="E889" s="37"/>
      <c r="F889" s="84"/>
      <c r="G889" s="37"/>
      <c r="H889" s="59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</row>
    <row r="890">
      <c r="A890" s="83"/>
      <c r="B890" s="28"/>
      <c r="C890" s="83"/>
      <c r="D890" s="37"/>
      <c r="E890" s="37"/>
      <c r="F890" s="84"/>
      <c r="G890" s="37"/>
      <c r="H890" s="59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</row>
    <row r="891">
      <c r="A891" s="83"/>
      <c r="B891" s="28"/>
      <c r="C891" s="83"/>
      <c r="D891" s="37"/>
      <c r="E891" s="37"/>
      <c r="F891" s="84"/>
      <c r="G891" s="37"/>
      <c r="H891" s="59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</row>
    <row r="892">
      <c r="A892" s="83"/>
      <c r="B892" s="28"/>
      <c r="C892" s="83"/>
      <c r="D892" s="37"/>
      <c r="E892" s="37"/>
      <c r="F892" s="84"/>
      <c r="G892" s="37"/>
      <c r="H892" s="59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</row>
    <row r="893">
      <c r="A893" s="83"/>
      <c r="B893" s="28"/>
      <c r="C893" s="83"/>
      <c r="D893" s="37"/>
      <c r="E893" s="37"/>
      <c r="F893" s="84"/>
      <c r="G893" s="37"/>
      <c r="H893" s="59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</row>
    <row r="894">
      <c r="A894" s="83"/>
      <c r="B894" s="28"/>
      <c r="C894" s="83"/>
      <c r="D894" s="37"/>
      <c r="E894" s="37"/>
      <c r="F894" s="84"/>
      <c r="G894" s="37"/>
      <c r="H894" s="59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</row>
    <row r="895">
      <c r="A895" s="83"/>
      <c r="B895" s="28"/>
      <c r="C895" s="83"/>
      <c r="D895" s="37"/>
      <c r="E895" s="37"/>
      <c r="F895" s="84"/>
      <c r="G895" s="37"/>
      <c r="H895" s="59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</row>
    <row r="896">
      <c r="A896" s="83"/>
      <c r="B896" s="28"/>
      <c r="C896" s="83"/>
      <c r="D896" s="37"/>
      <c r="E896" s="37"/>
      <c r="F896" s="84"/>
      <c r="G896" s="37"/>
      <c r="H896" s="59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</row>
    <row r="897">
      <c r="A897" s="83"/>
      <c r="B897" s="28"/>
      <c r="C897" s="83"/>
      <c r="D897" s="37"/>
      <c r="E897" s="37"/>
      <c r="F897" s="84"/>
      <c r="G897" s="37"/>
      <c r="H897" s="59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</row>
    <row r="898">
      <c r="A898" s="83"/>
      <c r="B898" s="28"/>
      <c r="C898" s="83"/>
      <c r="D898" s="37"/>
      <c r="E898" s="37"/>
      <c r="F898" s="84"/>
      <c r="G898" s="37"/>
      <c r="H898" s="59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</row>
    <row r="899">
      <c r="A899" s="83"/>
      <c r="B899" s="28"/>
      <c r="C899" s="83"/>
      <c r="D899" s="37"/>
      <c r="E899" s="37"/>
      <c r="F899" s="84"/>
      <c r="G899" s="37"/>
      <c r="H899" s="59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</row>
    <row r="900">
      <c r="A900" s="83"/>
      <c r="B900" s="28"/>
      <c r="C900" s="83"/>
      <c r="D900" s="37"/>
      <c r="E900" s="37"/>
      <c r="F900" s="84"/>
      <c r="G900" s="37"/>
      <c r="H900" s="59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</row>
    <row r="901">
      <c r="A901" s="83"/>
      <c r="B901" s="28"/>
      <c r="C901" s="83"/>
      <c r="D901" s="37"/>
      <c r="E901" s="37"/>
      <c r="F901" s="84"/>
      <c r="G901" s="37"/>
      <c r="H901" s="59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</row>
    <row r="902">
      <c r="A902" s="83"/>
      <c r="B902" s="28"/>
      <c r="C902" s="83"/>
      <c r="D902" s="37"/>
      <c r="E902" s="37"/>
      <c r="F902" s="84"/>
      <c r="G902" s="37"/>
      <c r="H902" s="59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</row>
    <row r="903">
      <c r="A903" s="83"/>
      <c r="B903" s="28"/>
      <c r="C903" s="83"/>
      <c r="D903" s="37"/>
      <c r="E903" s="37"/>
      <c r="F903" s="84"/>
      <c r="G903" s="37"/>
      <c r="H903" s="59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</row>
    <row r="904">
      <c r="A904" s="83"/>
      <c r="B904" s="28"/>
      <c r="C904" s="83"/>
      <c r="D904" s="37"/>
      <c r="E904" s="37"/>
      <c r="F904" s="84"/>
      <c r="G904" s="37"/>
      <c r="H904" s="59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</row>
    <row r="905">
      <c r="A905" s="83"/>
      <c r="B905" s="28"/>
      <c r="C905" s="83"/>
      <c r="D905" s="37"/>
      <c r="E905" s="37"/>
      <c r="F905" s="84"/>
      <c r="G905" s="37"/>
      <c r="H905" s="59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</row>
    <row r="906">
      <c r="A906" s="83"/>
      <c r="B906" s="28"/>
      <c r="C906" s="83"/>
      <c r="D906" s="37"/>
      <c r="E906" s="37"/>
      <c r="F906" s="84"/>
      <c r="G906" s="37"/>
      <c r="H906" s="59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</row>
    <row r="907">
      <c r="A907" s="83"/>
      <c r="B907" s="28"/>
      <c r="C907" s="83"/>
      <c r="D907" s="37"/>
      <c r="E907" s="37"/>
      <c r="F907" s="84"/>
      <c r="G907" s="37"/>
      <c r="H907" s="59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</row>
    <row r="908">
      <c r="A908" s="83"/>
      <c r="B908" s="28"/>
      <c r="C908" s="83"/>
      <c r="D908" s="37"/>
      <c r="E908" s="37"/>
      <c r="F908" s="84"/>
      <c r="G908" s="37"/>
      <c r="H908" s="59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</row>
    <row r="909">
      <c r="A909" s="83"/>
      <c r="B909" s="28"/>
      <c r="C909" s="83"/>
      <c r="D909" s="37"/>
      <c r="E909" s="37"/>
      <c r="F909" s="84"/>
      <c r="G909" s="37"/>
      <c r="H909" s="59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</row>
    <row r="910">
      <c r="A910" s="83"/>
      <c r="B910" s="28"/>
      <c r="C910" s="83"/>
      <c r="D910" s="37"/>
      <c r="E910" s="37"/>
      <c r="F910" s="84"/>
      <c r="G910" s="37"/>
      <c r="H910" s="59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</row>
    <row r="911">
      <c r="A911" s="83"/>
      <c r="B911" s="28"/>
      <c r="C911" s="83"/>
      <c r="D911" s="37"/>
      <c r="E911" s="37"/>
      <c r="F911" s="84"/>
      <c r="G911" s="37"/>
      <c r="H911" s="59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</row>
    <row r="912">
      <c r="A912" s="83"/>
      <c r="B912" s="28"/>
      <c r="C912" s="83"/>
      <c r="D912" s="37"/>
      <c r="E912" s="37"/>
      <c r="F912" s="84"/>
      <c r="G912" s="37"/>
      <c r="H912" s="59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</row>
    <row r="913">
      <c r="A913" s="83"/>
      <c r="B913" s="28"/>
      <c r="C913" s="83"/>
      <c r="D913" s="37"/>
      <c r="E913" s="37"/>
      <c r="F913" s="84"/>
      <c r="G913" s="37"/>
      <c r="H913" s="59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</row>
    <row r="914">
      <c r="A914" s="83"/>
      <c r="B914" s="28"/>
      <c r="C914" s="83"/>
      <c r="D914" s="37"/>
      <c r="E914" s="37"/>
      <c r="F914" s="84"/>
      <c r="G914" s="37"/>
      <c r="H914" s="59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</row>
    <row r="915">
      <c r="A915" s="83"/>
      <c r="B915" s="28"/>
      <c r="C915" s="83"/>
      <c r="D915" s="37"/>
      <c r="E915" s="37"/>
      <c r="F915" s="84"/>
      <c r="G915" s="37"/>
      <c r="H915" s="59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</row>
    <row r="916">
      <c r="A916" s="83"/>
      <c r="B916" s="28"/>
      <c r="C916" s="83"/>
      <c r="D916" s="37"/>
      <c r="E916" s="37"/>
      <c r="F916" s="84"/>
      <c r="G916" s="37"/>
      <c r="H916" s="59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</row>
    <row r="917">
      <c r="A917" s="83"/>
      <c r="B917" s="28"/>
      <c r="C917" s="83"/>
      <c r="D917" s="37"/>
      <c r="E917" s="37"/>
      <c r="F917" s="84"/>
      <c r="G917" s="37"/>
      <c r="H917" s="59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</row>
    <row r="918">
      <c r="A918" s="83"/>
      <c r="B918" s="28"/>
      <c r="C918" s="83"/>
      <c r="D918" s="37"/>
      <c r="E918" s="37"/>
      <c r="F918" s="84"/>
      <c r="G918" s="37"/>
      <c r="H918" s="59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</row>
    <row r="919">
      <c r="A919" s="83"/>
      <c r="B919" s="28"/>
      <c r="C919" s="83"/>
      <c r="D919" s="37"/>
      <c r="E919" s="37"/>
      <c r="F919" s="84"/>
      <c r="G919" s="37"/>
      <c r="H919" s="59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</row>
    <row r="920">
      <c r="A920" s="83"/>
      <c r="B920" s="28"/>
      <c r="C920" s="83"/>
      <c r="D920" s="37"/>
      <c r="E920" s="37"/>
      <c r="F920" s="84"/>
      <c r="G920" s="37"/>
      <c r="H920" s="59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</row>
    <row r="921">
      <c r="A921" s="83"/>
      <c r="B921" s="28"/>
      <c r="C921" s="83"/>
      <c r="D921" s="37"/>
      <c r="E921" s="37"/>
      <c r="F921" s="84"/>
      <c r="G921" s="37"/>
      <c r="H921" s="59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</row>
    <row r="922">
      <c r="A922" s="83"/>
      <c r="B922" s="28"/>
      <c r="C922" s="83"/>
      <c r="D922" s="37"/>
      <c r="E922" s="37"/>
      <c r="F922" s="84"/>
      <c r="G922" s="37"/>
      <c r="H922" s="59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</row>
    <row r="923">
      <c r="A923" s="83"/>
      <c r="B923" s="28"/>
      <c r="C923" s="83"/>
      <c r="D923" s="37"/>
      <c r="E923" s="37"/>
      <c r="F923" s="84"/>
      <c r="G923" s="37"/>
      <c r="H923" s="59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</row>
    <row r="924">
      <c r="A924" s="83"/>
      <c r="B924" s="28"/>
      <c r="C924" s="83"/>
      <c r="D924" s="37"/>
      <c r="E924" s="37"/>
      <c r="F924" s="84"/>
      <c r="G924" s="37"/>
      <c r="H924" s="59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</row>
    <row r="925">
      <c r="A925" s="83"/>
      <c r="B925" s="28"/>
      <c r="C925" s="83"/>
      <c r="D925" s="37"/>
      <c r="E925" s="37"/>
      <c r="F925" s="84"/>
      <c r="G925" s="37"/>
      <c r="H925" s="59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</row>
    <row r="926">
      <c r="A926" s="83"/>
      <c r="B926" s="28"/>
      <c r="C926" s="83"/>
      <c r="D926" s="37"/>
      <c r="E926" s="37"/>
      <c r="F926" s="84"/>
      <c r="G926" s="37"/>
      <c r="H926" s="59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</row>
    <row r="927">
      <c r="A927" s="83"/>
      <c r="B927" s="28"/>
      <c r="C927" s="83"/>
      <c r="D927" s="37"/>
      <c r="E927" s="37"/>
      <c r="F927" s="84"/>
      <c r="G927" s="37"/>
      <c r="H927" s="59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</row>
    <row r="928">
      <c r="A928" s="83"/>
      <c r="B928" s="28"/>
      <c r="C928" s="83"/>
      <c r="D928" s="37"/>
      <c r="E928" s="37"/>
      <c r="F928" s="84"/>
      <c r="G928" s="37"/>
      <c r="H928" s="59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</row>
    <row r="929">
      <c r="A929" s="83"/>
      <c r="B929" s="28"/>
      <c r="C929" s="83"/>
      <c r="D929" s="37"/>
      <c r="E929" s="37"/>
      <c r="F929" s="84"/>
      <c r="G929" s="37"/>
      <c r="H929" s="59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</row>
    <row r="930">
      <c r="A930" s="83"/>
      <c r="B930" s="28"/>
      <c r="C930" s="83"/>
      <c r="D930" s="37"/>
      <c r="E930" s="37"/>
      <c r="F930" s="84"/>
      <c r="G930" s="37"/>
      <c r="H930" s="59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</row>
    <row r="931">
      <c r="A931" s="83"/>
      <c r="B931" s="28"/>
      <c r="C931" s="83"/>
      <c r="D931" s="37"/>
      <c r="E931" s="37"/>
      <c r="F931" s="84"/>
      <c r="G931" s="37"/>
      <c r="H931" s="59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</row>
    <row r="932">
      <c r="A932" s="83"/>
      <c r="B932" s="28"/>
      <c r="C932" s="83"/>
      <c r="D932" s="37"/>
      <c r="E932" s="37"/>
      <c r="F932" s="84"/>
      <c r="G932" s="37"/>
      <c r="H932" s="59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</row>
    <row r="933">
      <c r="A933" s="83"/>
      <c r="B933" s="28"/>
      <c r="C933" s="83"/>
      <c r="D933" s="37"/>
      <c r="E933" s="37"/>
      <c r="F933" s="84"/>
      <c r="G933" s="37"/>
      <c r="H933" s="59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</row>
    <row r="934">
      <c r="A934" s="83"/>
      <c r="B934" s="28"/>
      <c r="C934" s="83"/>
      <c r="D934" s="37"/>
      <c r="E934" s="37"/>
      <c r="F934" s="84"/>
      <c r="G934" s="37"/>
      <c r="H934" s="59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</row>
    <row r="935">
      <c r="A935" s="83"/>
      <c r="B935" s="28"/>
      <c r="C935" s="83"/>
      <c r="D935" s="37"/>
      <c r="E935" s="37"/>
      <c r="F935" s="84"/>
      <c r="G935" s="37"/>
      <c r="H935" s="59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</row>
    <row r="936">
      <c r="A936" s="83"/>
      <c r="B936" s="28"/>
      <c r="C936" s="83"/>
      <c r="D936" s="37"/>
      <c r="E936" s="37"/>
      <c r="F936" s="84"/>
      <c r="G936" s="37"/>
      <c r="H936" s="59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</row>
    <row r="937">
      <c r="A937" s="83"/>
      <c r="B937" s="28"/>
      <c r="C937" s="83"/>
      <c r="D937" s="37"/>
      <c r="E937" s="37"/>
      <c r="F937" s="84"/>
      <c r="G937" s="37"/>
      <c r="H937" s="59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</row>
    <row r="938">
      <c r="A938" s="83"/>
      <c r="B938" s="28"/>
      <c r="C938" s="83"/>
      <c r="D938" s="37"/>
      <c r="E938" s="37"/>
      <c r="F938" s="84"/>
      <c r="G938" s="37"/>
      <c r="H938" s="59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</row>
    <row r="939">
      <c r="A939" s="83"/>
      <c r="B939" s="28"/>
      <c r="C939" s="83"/>
      <c r="D939" s="37"/>
      <c r="E939" s="37"/>
      <c r="F939" s="84"/>
      <c r="G939" s="37"/>
      <c r="H939" s="59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</row>
    <row r="940">
      <c r="A940" s="83"/>
      <c r="B940" s="28"/>
      <c r="C940" s="83"/>
      <c r="D940" s="37"/>
      <c r="E940" s="37"/>
      <c r="F940" s="84"/>
      <c r="G940" s="37"/>
      <c r="H940" s="59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</row>
    <row r="941">
      <c r="A941" s="83"/>
      <c r="B941" s="28"/>
      <c r="C941" s="83"/>
      <c r="D941" s="37"/>
      <c r="E941" s="37"/>
      <c r="F941" s="84"/>
      <c r="G941" s="37"/>
      <c r="H941" s="59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</row>
    <row r="942">
      <c r="A942" s="83"/>
      <c r="B942" s="28"/>
      <c r="C942" s="83"/>
      <c r="D942" s="37"/>
      <c r="E942" s="37"/>
      <c r="F942" s="84"/>
      <c r="G942" s="37"/>
      <c r="H942" s="59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</row>
    <row r="943">
      <c r="A943" s="83"/>
      <c r="B943" s="28"/>
      <c r="C943" s="83"/>
      <c r="D943" s="37"/>
      <c r="E943" s="37"/>
      <c r="F943" s="84"/>
      <c r="G943" s="37"/>
      <c r="H943" s="59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</row>
    <row r="944">
      <c r="A944" s="83"/>
      <c r="B944" s="28"/>
      <c r="C944" s="83"/>
      <c r="D944" s="37"/>
      <c r="E944" s="37"/>
      <c r="F944" s="84"/>
      <c r="G944" s="37"/>
      <c r="H944" s="59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</row>
    <row r="945">
      <c r="A945" s="83"/>
      <c r="B945" s="28"/>
      <c r="C945" s="83"/>
      <c r="D945" s="37"/>
      <c r="E945" s="37"/>
      <c r="F945" s="84"/>
      <c r="G945" s="37"/>
      <c r="H945" s="59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</row>
    <row r="946">
      <c r="A946" s="83"/>
      <c r="B946" s="28"/>
      <c r="C946" s="83"/>
      <c r="D946" s="37"/>
      <c r="E946" s="37"/>
      <c r="F946" s="84"/>
      <c r="G946" s="37"/>
      <c r="H946" s="59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</row>
    <row r="947">
      <c r="A947" s="83"/>
      <c r="B947" s="28"/>
      <c r="C947" s="83"/>
      <c r="D947" s="37"/>
      <c r="E947" s="37"/>
      <c r="F947" s="84"/>
      <c r="G947" s="37"/>
      <c r="H947" s="59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</row>
    <row r="948">
      <c r="A948" s="83"/>
      <c r="B948" s="28"/>
      <c r="C948" s="83"/>
      <c r="D948" s="37"/>
      <c r="E948" s="37"/>
      <c r="F948" s="84"/>
      <c r="G948" s="37"/>
      <c r="H948" s="59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</row>
    <row r="949">
      <c r="A949" s="83"/>
      <c r="B949" s="28"/>
      <c r="C949" s="83"/>
      <c r="D949" s="37"/>
      <c r="E949" s="37"/>
      <c r="F949" s="84"/>
      <c r="G949" s="37"/>
      <c r="H949" s="59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</row>
    <row r="950">
      <c r="A950" s="83"/>
      <c r="B950" s="28"/>
      <c r="C950" s="83"/>
      <c r="D950" s="37"/>
      <c r="E950" s="37"/>
      <c r="F950" s="84"/>
      <c r="G950" s="37"/>
      <c r="H950" s="59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</row>
    <row r="951">
      <c r="A951" s="83"/>
      <c r="B951" s="28"/>
      <c r="C951" s="83"/>
      <c r="D951" s="37"/>
      <c r="E951" s="37"/>
      <c r="F951" s="84"/>
      <c r="G951" s="37"/>
      <c r="H951" s="59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</row>
    <row r="952">
      <c r="A952" s="83"/>
      <c r="B952" s="28"/>
      <c r="C952" s="83"/>
      <c r="D952" s="37"/>
      <c r="E952" s="37"/>
      <c r="F952" s="84"/>
      <c r="G952" s="37"/>
      <c r="H952" s="59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</row>
    <row r="953">
      <c r="A953" s="83"/>
      <c r="B953" s="28"/>
      <c r="C953" s="83"/>
      <c r="D953" s="37"/>
      <c r="E953" s="37"/>
      <c r="F953" s="84"/>
      <c r="G953" s="37"/>
      <c r="H953" s="59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</row>
    <row r="954">
      <c r="A954" s="83"/>
      <c r="B954" s="28"/>
      <c r="C954" s="83"/>
      <c r="D954" s="37"/>
      <c r="E954" s="37"/>
      <c r="F954" s="84"/>
      <c r="G954" s="37"/>
      <c r="H954" s="59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</row>
    <row r="955">
      <c r="A955" s="83"/>
      <c r="B955" s="28"/>
      <c r="C955" s="83"/>
      <c r="D955" s="37"/>
      <c r="E955" s="37"/>
      <c r="F955" s="84"/>
      <c r="G955" s="37"/>
      <c r="H955" s="59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</row>
    <row r="956">
      <c r="A956" s="83"/>
      <c r="B956" s="28"/>
      <c r="C956" s="83"/>
      <c r="D956" s="37"/>
      <c r="E956" s="37"/>
      <c r="F956" s="84"/>
      <c r="G956" s="37"/>
      <c r="H956" s="59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</row>
    <row r="957">
      <c r="A957" s="83"/>
      <c r="B957" s="28"/>
      <c r="C957" s="83"/>
      <c r="D957" s="37"/>
      <c r="E957" s="37"/>
      <c r="F957" s="84"/>
      <c r="G957" s="37"/>
      <c r="H957" s="59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</row>
    <row r="958">
      <c r="A958" s="83"/>
      <c r="B958" s="28"/>
      <c r="C958" s="83"/>
      <c r="D958" s="37"/>
      <c r="E958" s="37"/>
      <c r="F958" s="84"/>
      <c r="G958" s="37"/>
      <c r="H958" s="59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</row>
    <row r="959">
      <c r="A959" s="83"/>
      <c r="B959" s="28"/>
      <c r="C959" s="83"/>
      <c r="D959" s="37"/>
      <c r="E959" s="37"/>
      <c r="F959" s="84"/>
      <c r="G959" s="37"/>
      <c r="H959" s="59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</row>
    <row r="960">
      <c r="A960" s="83"/>
      <c r="B960" s="28"/>
      <c r="C960" s="83"/>
      <c r="D960" s="37"/>
      <c r="E960" s="37"/>
      <c r="F960" s="84"/>
      <c r="G960" s="37"/>
      <c r="H960" s="59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</row>
    <row r="961">
      <c r="A961" s="83"/>
      <c r="B961" s="28"/>
      <c r="C961" s="83"/>
      <c r="D961" s="37"/>
      <c r="E961" s="37"/>
      <c r="F961" s="84"/>
      <c r="G961" s="37"/>
      <c r="H961" s="59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</row>
    <row r="962">
      <c r="A962" s="83"/>
      <c r="B962" s="28"/>
      <c r="C962" s="83"/>
      <c r="D962" s="37"/>
      <c r="E962" s="37"/>
      <c r="F962" s="84"/>
      <c r="G962" s="37"/>
      <c r="H962" s="59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</row>
    <row r="963">
      <c r="A963" s="83"/>
      <c r="B963" s="28"/>
      <c r="C963" s="83"/>
      <c r="D963" s="37"/>
      <c r="E963" s="37"/>
      <c r="F963" s="84"/>
      <c r="G963" s="37"/>
      <c r="H963" s="59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</row>
    <row r="964">
      <c r="A964" s="83"/>
      <c r="B964" s="28"/>
      <c r="C964" s="83"/>
      <c r="D964" s="37"/>
      <c r="E964" s="37"/>
      <c r="F964" s="84"/>
      <c r="G964" s="37"/>
      <c r="H964" s="59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</row>
    <row r="965">
      <c r="A965" s="83"/>
      <c r="B965" s="28"/>
      <c r="C965" s="83"/>
      <c r="D965" s="37"/>
      <c r="E965" s="37"/>
      <c r="F965" s="84"/>
      <c r="G965" s="37"/>
      <c r="H965" s="59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</row>
    <row r="966">
      <c r="A966" s="83"/>
      <c r="B966" s="28"/>
      <c r="C966" s="83"/>
      <c r="D966" s="37"/>
      <c r="E966" s="37"/>
      <c r="F966" s="84"/>
      <c r="G966" s="37"/>
      <c r="H966" s="59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</row>
    <row r="967">
      <c r="A967" s="83"/>
      <c r="B967" s="28"/>
      <c r="C967" s="83"/>
      <c r="D967" s="37"/>
      <c r="E967" s="37"/>
      <c r="F967" s="84"/>
      <c r="G967" s="37"/>
      <c r="H967" s="59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</row>
    <row r="968">
      <c r="A968" s="83"/>
      <c r="B968" s="28"/>
      <c r="C968" s="83"/>
      <c r="D968" s="37"/>
      <c r="E968" s="37"/>
      <c r="F968" s="84"/>
      <c r="G968" s="37"/>
      <c r="H968" s="59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</row>
    <row r="969">
      <c r="A969" s="83"/>
      <c r="B969" s="28"/>
      <c r="C969" s="83"/>
      <c r="D969" s="37"/>
      <c r="E969" s="37"/>
      <c r="F969" s="84"/>
      <c r="G969" s="37"/>
      <c r="H969" s="59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</row>
    <row r="970">
      <c r="A970" s="83"/>
      <c r="B970" s="28"/>
      <c r="C970" s="83"/>
      <c r="D970" s="37"/>
      <c r="E970" s="37"/>
      <c r="F970" s="84"/>
      <c r="G970" s="37"/>
      <c r="H970" s="59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</row>
    <row r="971">
      <c r="A971" s="83"/>
      <c r="B971" s="28"/>
      <c r="C971" s="83"/>
      <c r="D971" s="37"/>
      <c r="E971" s="37"/>
      <c r="F971" s="84"/>
      <c r="G971" s="37"/>
      <c r="H971" s="59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</row>
    <row r="972">
      <c r="A972" s="83"/>
      <c r="B972" s="28"/>
      <c r="C972" s="83"/>
      <c r="D972" s="37"/>
      <c r="E972" s="37"/>
      <c r="F972" s="84"/>
      <c r="G972" s="37"/>
      <c r="H972" s="59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</row>
    <row r="973">
      <c r="A973" s="83"/>
      <c r="B973" s="28"/>
      <c r="C973" s="83"/>
      <c r="D973" s="37"/>
      <c r="E973" s="37"/>
      <c r="F973" s="84"/>
      <c r="G973" s="37"/>
      <c r="H973" s="59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</row>
    <row r="974">
      <c r="A974" s="83"/>
      <c r="B974" s="28"/>
      <c r="C974" s="83"/>
      <c r="D974" s="37"/>
      <c r="E974" s="37"/>
      <c r="F974" s="84"/>
      <c r="G974" s="37"/>
      <c r="H974" s="59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</row>
    <row r="975">
      <c r="A975" s="83"/>
      <c r="B975" s="28"/>
      <c r="C975" s="83"/>
      <c r="D975" s="37"/>
      <c r="E975" s="37"/>
      <c r="F975" s="84"/>
      <c r="G975" s="37"/>
      <c r="H975" s="59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</row>
    <row r="976">
      <c r="A976" s="83"/>
      <c r="B976" s="28"/>
      <c r="C976" s="83"/>
      <c r="D976" s="37"/>
      <c r="E976" s="37"/>
      <c r="F976" s="84"/>
      <c r="G976" s="37"/>
      <c r="H976" s="59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</row>
    <row r="977">
      <c r="A977" s="83"/>
      <c r="B977" s="28"/>
      <c r="C977" s="83"/>
      <c r="D977" s="37"/>
      <c r="E977" s="37"/>
      <c r="F977" s="84"/>
      <c r="G977" s="37"/>
      <c r="H977" s="59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</row>
    <row r="978">
      <c r="A978" s="83"/>
      <c r="B978" s="28"/>
      <c r="C978" s="83"/>
      <c r="D978" s="37"/>
      <c r="E978" s="37"/>
      <c r="F978" s="84"/>
      <c r="G978" s="37"/>
      <c r="H978" s="59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</row>
    <row r="979">
      <c r="A979" s="83"/>
      <c r="B979" s="28"/>
      <c r="C979" s="83"/>
      <c r="D979" s="37"/>
      <c r="E979" s="37"/>
      <c r="F979" s="84"/>
      <c r="G979" s="37"/>
      <c r="H979" s="59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</row>
    <row r="980">
      <c r="A980" s="83"/>
      <c r="B980" s="28"/>
      <c r="C980" s="83"/>
      <c r="D980" s="37"/>
      <c r="E980" s="37"/>
      <c r="F980" s="84"/>
      <c r="G980" s="37"/>
      <c r="H980" s="59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</row>
    <row r="981">
      <c r="A981" s="83"/>
      <c r="B981" s="28"/>
      <c r="C981" s="83"/>
      <c r="D981" s="37"/>
      <c r="E981" s="37"/>
      <c r="F981" s="84"/>
      <c r="G981" s="37"/>
      <c r="H981" s="59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</row>
    <row r="982">
      <c r="A982" s="83"/>
      <c r="B982" s="28"/>
      <c r="C982" s="83"/>
      <c r="D982" s="37"/>
      <c r="E982" s="37"/>
      <c r="F982" s="84"/>
      <c r="G982" s="37"/>
      <c r="H982" s="59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</row>
    <row r="983">
      <c r="A983" s="83"/>
      <c r="B983" s="28"/>
      <c r="C983" s="83"/>
      <c r="D983" s="37"/>
      <c r="E983" s="37"/>
      <c r="F983" s="84"/>
      <c r="G983" s="37"/>
      <c r="H983" s="59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</row>
    <row r="984">
      <c r="A984" s="83"/>
      <c r="B984" s="28"/>
      <c r="C984" s="83"/>
      <c r="D984" s="37"/>
      <c r="E984" s="37"/>
      <c r="F984" s="84"/>
      <c r="G984" s="37"/>
      <c r="H984" s="59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</row>
    <row r="985">
      <c r="A985" s="83"/>
      <c r="B985" s="28"/>
      <c r="C985" s="83"/>
      <c r="D985" s="37"/>
      <c r="E985" s="37"/>
      <c r="F985" s="84"/>
      <c r="G985" s="37"/>
      <c r="H985" s="59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</row>
    <row r="986">
      <c r="A986" s="83"/>
      <c r="B986" s="28"/>
      <c r="C986" s="83"/>
      <c r="D986" s="37"/>
      <c r="E986" s="37"/>
      <c r="F986" s="84"/>
      <c r="G986" s="37"/>
      <c r="H986" s="59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</row>
    <row r="987">
      <c r="A987" s="83"/>
      <c r="B987" s="28"/>
      <c r="C987" s="83"/>
      <c r="D987" s="37"/>
      <c r="E987" s="37"/>
      <c r="F987" s="84"/>
      <c r="G987" s="37"/>
      <c r="H987" s="59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</row>
    <row r="988">
      <c r="A988" s="83"/>
      <c r="B988" s="28"/>
      <c r="C988" s="83"/>
      <c r="D988" s="37"/>
      <c r="E988" s="37"/>
      <c r="F988" s="84"/>
      <c r="G988" s="37"/>
      <c r="H988" s="59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</row>
    <row r="989">
      <c r="A989" s="83"/>
      <c r="B989" s="28"/>
      <c r="C989" s="83"/>
      <c r="D989" s="37"/>
      <c r="E989" s="37"/>
      <c r="F989" s="84"/>
      <c r="G989" s="37"/>
      <c r="H989" s="59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</row>
    <row r="990">
      <c r="A990" s="83"/>
      <c r="B990" s="28"/>
      <c r="C990" s="83"/>
      <c r="D990" s="37"/>
      <c r="E990" s="37"/>
      <c r="F990" s="84"/>
      <c r="G990" s="37"/>
      <c r="H990" s="59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</row>
    <row r="991">
      <c r="A991" s="83"/>
      <c r="B991" s="28"/>
      <c r="C991" s="83"/>
      <c r="D991" s="37"/>
      <c r="E991" s="37"/>
      <c r="F991" s="84"/>
      <c r="G991" s="37"/>
      <c r="H991" s="59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</row>
    <row r="992">
      <c r="A992" s="83"/>
      <c r="B992" s="28"/>
      <c r="C992" s="83"/>
      <c r="D992" s="37"/>
      <c r="E992" s="37"/>
      <c r="F992" s="84"/>
      <c r="G992" s="37"/>
      <c r="H992" s="59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</row>
    <row r="993">
      <c r="A993" s="83"/>
      <c r="B993" s="28"/>
      <c r="C993" s="83"/>
      <c r="D993" s="37"/>
      <c r="E993" s="37"/>
      <c r="F993" s="84"/>
      <c r="G993" s="37"/>
      <c r="H993" s="59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</row>
    <row r="994">
      <c r="A994" s="83"/>
      <c r="B994" s="28"/>
      <c r="C994" s="83"/>
      <c r="D994" s="37"/>
      <c r="E994" s="37"/>
      <c r="F994" s="84"/>
      <c r="G994" s="37"/>
      <c r="H994" s="59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</row>
    <row r="995">
      <c r="A995" s="83"/>
      <c r="B995" s="28"/>
      <c r="C995" s="83"/>
      <c r="D995" s="37"/>
      <c r="E995" s="37"/>
      <c r="F995" s="84"/>
      <c r="G995" s="37"/>
      <c r="H995" s="59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</row>
    <row r="996">
      <c r="A996" s="83"/>
      <c r="B996" s="28"/>
      <c r="C996" s="83"/>
      <c r="D996" s="37"/>
      <c r="E996" s="37"/>
      <c r="F996" s="84"/>
      <c r="G996" s="37"/>
      <c r="H996" s="59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</row>
  </sheetData>
  <autoFilter ref="$A$2:$AF$996">
    <sortState ref="A2:AF996">
      <sortCondition ref="A2:A99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3.13"/>
    <col customWidth="1" min="3" max="3" width="39.5"/>
    <col customWidth="1" min="6" max="6" width="13.88"/>
    <col customWidth="1" min="8" max="8" width="26.0"/>
  </cols>
  <sheetData>
    <row r="1">
      <c r="A1" s="19" t="str">
        <f>IFERROR(__xludf.DUMMYFUNCTION("importrange(""https://docs.google.com/spreadsheets/d/1pjBsRrt2Hl3iWRN2WQxSVoVnb_TaAmhGBtOKCeBz0Qo/edit?gid=0#gid=0"",""Main Products!A:C"")"),"")</f>
        <v/>
      </c>
      <c r="B1" s="19"/>
      <c r="C1" s="19"/>
      <c r="D1" s="23" t="str">
        <f>IFERROR(__xludf.DUMMYFUNCTION("importrange(""https://docs.google.com/spreadsheets/d/1pjBsRrt2Hl3iWRN2WQxSVoVnb_TaAmhGBtOKCeBz0Qo/edit?gid=0#gid=0"",""Main Products!F:H"")"),"")</f>
        <v/>
      </c>
      <c r="E1" s="23"/>
      <c r="F1" s="8"/>
      <c r="G1" s="25"/>
      <c r="H1" s="17"/>
    </row>
    <row r="2">
      <c r="A2" s="29" t="str">
        <f>IFERROR(__xludf.DUMMYFUNCTION("""COMPUTED_VALUE"""),"RSR STOCK #")</f>
        <v>RSR STOCK #</v>
      </c>
      <c r="B2" s="31" t="str">
        <f>IFERROR(__xludf.DUMMYFUNCTION("""COMPUTED_VALUE"""),"UPC CODE")</f>
        <v>UPC CODE</v>
      </c>
      <c r="C2" s="31" t="str">
        <f>IFERROR(__xludf.DUMMYFUNCTION("""COMPUTED_VALUE"""),"DESCRIPTION")</f>
        <v>DESCRIPTION</v>
      </c>
      <c r="D2" s="32" t="str">
        <f>IFERROR(__xludf.DUMMYFUNCTION("""COMPUTED_VALUE"""),"Retail Map")</f>
        <v>Retail Map</v>
      </c>
      <c r="E2" s="32" t="str">
        <f>IFERROR(__xludf.DUMMYFUNCTION("""COMPUTED_VALUE"""),"MSRP")</f>
        <v>MSRP</v>
      </c>
      <c r="F2" s="36" t="str">
        <f>IFERROR(__xludf.DUMMYFUNCTION("""COMPUTED_VALUE"""),"Sell Price")</f>
        <v>Sell Price</v>
      </c>
      <c r="G2" s="38" t="s">
        <v>32</v>
      </c>
      <c r="H2" s="40" t="s">
        <v>33</v>
      </c>
    </row>
    <row r="3">
      <c r="A3" s="42" t="str">
        <f>IFERROR(__xludf.DUMMYFUNCTION("""COMPUTED_VALUE""")," HSEPS-CARRY-GR-MRS")</f>
        <v> HSEPS-CARRY-GR-MRS</v>
      </c>
      <c r="B3" s="42">
        <f>IFERROR(__xludf.DUMMYFUNCTION("""COMPUTED_VALUE"""),8.10047071594E11)</f>
        <v>810047071594</v>
      </c>
      <c r="C3" s="42" t="str">
        <f>IFERROR(__xludf.DUMMYFUNCTION("""COMPUTED_VALUE"""),"H-SUN EPS CARRY MRS GRN SOLAR ALUM")</f>
        <v>H-SUN EPS CARRY MRS GRN SOLAR ALUM</v>
      </c>
      <c r="D3" s="43">
        <f>IFERROR(__xludf.DUMMYFUNCTION("""COMPUTED_VALUE"""),429.99)</f>
        <v>429.99</v>
      </c>
      <c r="E3" s="43">
        <f>IFERROR(__xludf.DUMMYFUNCTION("""COMPUTED_VALUE"""),505.87)</f>
        <v>505.87</v>
      </c>
      <c r="F3" s="44">
        <f>IFERROR(__xludf.DUMMYFUNCTION("""COMPUTED_VALUE"""),373.659)</f>
        <v>373.659</v>
      </c>
      <c r="G3" s="47">
        <f t="shared" ref="G3:G49" si="1">(F3*0.06)+F3</f>
        <v>396.07854</v>
      </c>
      <c r="H3" s="48"/>
    </row>
    <row r="4">
      <c r="A4" s="42" t="str">
        <f>IFERROR(__xludf.DUMMYFUNCTION("""COMPUTED_VALUE"""),"CMMG22BA6AE")</f>
        <v>CMMG22BA6AE</v>
      </c>
      <c r="B4" s="42">
        <f>IFERROR(__xludf.DUMMYFUNCTION("""COMPUTED_VALUE"""),8.15835017143E11)</f>
        <v>815835017143</v>
      </c>
      <c r="C4" s="42" t="str">
        <f>IFERROR(__xludf.DUMMYFUNCTION("""COMPUTED_VALUE"""),"CMMG, AR Conversion Kit, 22LR")</f>
        <v>CMMG, AR Conversion Kit, 22LR</v>
      </c>
      <c r="D4" s="43">
        <f>IFERROR(__xludf.DUMMYFUNCTION("""COMPUTED_VALUE"""),222.95)</f>
        <v>222.95</v>
      </c>
      <c r="E4" s="43">
        <f>IFERROR(__xludf.DUMMYFUNCTION("""COMPUTED_VALUE"""),222.95)</f>
        <v>222.95</v>
      </c>
      <c r="F4" s="44">
        <f>IFERROR(__xludf.DUMMYFUNCTION("""COMPUTED_VALUE"""),183.942)</f>
        <v>183.942</v>
      </c>
      <c r="G4" s="47">
        <f t="shared" si="1"/>
        <v>194.97852</v>
      </c>
      <c r="H4" s="48"/>
    </row>
    <row r="5">
      <c r="A5" s="42" t="str">
        <f>IFERROR(__xludf.DUMMYFUNCTION("""COMPUTED_VALUE"""),"EO552")</f>
        <v>EO552</v>
      </c>
      <c r="B5" s="42">
        <f>IFERROR(__xludf.DUMMYFUNCTION("""COMPUTED_VALUE"""),6.72294526513E11)</f>
        <v>672294526513</v>
      </c>
      <c r="C5" s="42" t="str">
        <f>IFERROR(__xludf.DUMMYFUNCTION("""COMPUTED_VALUE"""),"EOTech, 552 ")</f>
        <v>EOTech, 552 </v>
      </c>
      <c r="D5" s="43">
        <f>IFERROR(__xludf.DUMMYFUNCTION("""COMPUTED_VALUE"""),629.0)</f>
        <v>629</v>
      </c>
      <c r="E5" s="43">
        <f>IFERROR(__xludf.DUMMYFUNCTION("""COMPUTED_VALUE"""),665.0)</f>
        <v>665</v>
      </c>
      <c r="F5" s="44">
        <f>IFERROR(__xludf.DUMMYFUNCTION("""COMPUTED_VALUE"""),564.322)</f>
        <v>564.322</v>
      </c>
      <c r="G5" s="47">
        <f t="shared" si="1"/>
        <v>598.18132</v>
      </c>
      <c r="H5" s="48"/>
    </row>
    <row r="6">
      <c r="A6" s="42" t="str">
        <f>IFERROR(__xludf.DUMMYFUNCTION("""COMPUTED_VALUE"""),"HSAEMS-211301")</f>
        <v>HSAEMS-211301</v>
      </c>
      <c r="B6" s="42">
        <f>IFERROR(__xludf.DUMMYFUNCTION("""COMPUTED_VALUE"""),8.10047071228E11)</f>
        <v>810047071228</v>
      </c>
      <c r="C6" s="42" t="str">
        <f>IFERROR(__xludf.DUMMYFUNCTION("""COMPUTED_VALUE"""),"AEMS SOLAR RED")</f>
        <v>AEMS SOLAR RED</v>
      </c>
      <c r="D6" s="43">
        <f>IFERROR(__xludf.DUMMYFUNCTION("""COMPUTED_VALUE"""),399.99)</f>
        <v>399.99</v>
      </c>
      <c r="E6" s="43">
        <f>IFERROR(__xludf.DUMMYFUNCTION("""COMPUTED_VALUE"""),470.58)</f>
        <v>470.58</v>
      </c>
      <c r="F6" s="44">
        <f>IFERROR(__xludf.DUMMYFUNCTION("""COMPUTED_VALUE"""),347.589)</f>
        <v>347.589</v>
      </c>
      <c r="G6" s="47">
        <f t="shared" si="1"/>
        <v>368.44434</v>
      </c>
      <c r="H6" s="48"/>
    </row>
    <row r="7">
      <c r="A7" s="42" t="str">
        <f>IFERROR(__xludf.DUMMYFUNCTION("""COMPUTED_VALUE"""),"HSAEMS-PRO-X2-RD")</f>
        <v>HSAEMS-PRO-X2-RD</v>
      </c>
      <c r="B7" s="50">
        <f>IFERROR(__xludf.DUMMYFUNCTION("""COMPUTED_VALUE"""),8.10047073741E11)</f>
        <v>810047073741</v>
      </c>
      <c r="C7" s="42" t="str">
        <f>IFERROR(__xludf.DUMMYFUNCTION("""COMPUTED_VALUE"""),"Holosun Technologies, AEMS X2 Pro, Red Dot, 2 MOA Dot with 65 MOA Circle, Fits 1913 Picatinny Rail, Lower 1/3 Mount, Black
")</f>
        <v>Holosun Technologies, AEMS X2 Pro, Red Dot, 2 MOA Dot with 65 MOA Circle, Fits 1913 Picatinny Rail, Lower 1/3 Mount, Black
</v>
      </c>
      <c r="D7" s="44">
        <f>IFERROR(__xludf.DUMMYFUNCTION("""COMPUTED_VALUE"""),399.99)</f>
        <v>399.99</v>
      </c>
      <c r="E7" s="43">
        <f>IFERROR(__xludf.DUMMYFUNCTION("""COMPUTED_VALUE"""),470.58)</f>
        <v>470.58</v>
      </c>
      <c r="F7" s="44">
        <f>IFERROR(__xludf.DUMMYFUNCTION("""COMPUTED_VALUE"""),347.589)</f>
        <v>347.589</v>
      </c>
      <c r="G7" s="47">
        <f t="shared" si="1"/>
        <v>368.44434</v>
      </c>
      <c r="H7" s="48"/>
    </row>
    <row r="8">
      <c r="A8" s="42" t="str">
        <f>IFERROR(__xludf.DUMMYFUNCTION("""COMPUTED_VALUE"""),"HSARO-GD2")</f>
        <v>HSARO-GD2</v>
      </c>
      <c r="B8" s="50">
        <f>IFERROR(__xludf.DUMMYFUNCTION("""COMPUTED_VALUE"""),8.10047073611E11)</f>
        <v>810047073611</v>
      </c>
      <c r="C8" s="42" t="str">
        <f>IFERROR(__xludf.DUMMYFUNCTION("""COMPUTED_VALUE"""),"H-SUN ARO ENCLOSED GLD 2MOA SIGHT")</f>
        <v>H-SUN ARO ENCLOSED GLD 2MOA SIGHT</v>
      </c>
      <c r="D8" s="44" t="str">
        <f>IFERROR(__xludf.DUMMYFUNCTION("""COMPUTED_VALUE"""),"N/A")</f>
        <v>N/A</v>
      </c>
      <c r="E8" s="43">
        <f>IFERROR(__xludf.DUMMYFUNCTION("""COMPUTED_VALUE"""),188.22)</f>
        <v>188.22</v>
      </c>
      <c r="F8" s="44">
        <f>IFERROR(__xludf.DUMMYFUNCTION("""COMPUTED_VALUE"""),121.429)</f>
        <v>121.429</v>
      </c>
      <c r="G8" s="47">
        <f t="shared" si="1"/>
        <v>128.71474</v>
      </c>
      <c r="H8" s="48"/>
    </row>
    <row r="9">
      <c r="A9" s="42" t="str">
        <f>IFERROR(__xludf.DUMMYFUNCTION("""COMPUTED_VALUE"""),"HSARO-GR2")</f>
        <v>HSARO-GR2</v>
      </c>
      <c r="B9" s="42">
        <f>IFERROR(__xludf.DUMMYFUNCTION("""COMPUTED_VALUE"""),8.10047073604E11)</f>
        <v>810047073604</v>
      </c>
      <c r="C9" s="42" t="str">
        <f>IFERROR(__xludf.DUMMYFUNCTION("""COMPUTED_VALUE"""),"H-SUN ARO ENCLOSED GRN 2MOA SIGHT")</f>
        <v>H-SUN ARO ENCLOSED GRN 2MOA SIGHT</v>
      </c>
      <c r="D9" s="43" t="str">
        <f>IFERROR(__xludf.DUMMYFUNCTION("""COMPUTED_VALUE"""),"N/A")</f>
        <v>N/A</v>
      </c>
      <c r="E9" s="43">
        <f>IFERROR(__xludf.DUMMYFUNCTION("""COMPUTED_VALUE"""),199.99)</f>
        <v>199.99</v>
      </c>
      <c r="F9" s="44">
        <f>IFERROR(__xludf.DUMMYFUNCTION("""COMPUTED_VALUE"""),129.019)</f>
        <v>129.019</v>
      </c>
      <c r="G9" s="47">
        <f t="shared" si="1"/>
        <v>136.76014</v>
      </c>
      <c r="H9" s="48"/>
    </row>
    <row r="10">
      <c r="A10" s="42" t="str">
        <f>IFERROR(__xludf.DUMMYFUNCTION("""COMPUTED_VALUE"""),"HSARO-MRS-GD")</f>
        <v>HSARO-MRS-GD</v>
      </c>
      <c r="B10" s="50">
        <f>IFERROR(__xludf.DUMMYFUNCTION("""COMPUTED_VALUE"""),8.10047073635E11)</f>
        <v>810047073635</v>
      </c>
      <c r="C10" s="42" t="str">
        <f>IFERROR(__xludf.DUMMYFUNCTION("""COMPUTED_VALUE"""),"H-SUN ARO ENCLOSED GLD MULTI-RETICLE")</f>
        <v>H-SUN ARO ENCLOSED GLD MULTI-RETICLE</v>
      </c>
      <c r="D10" s="43" t="str">
        <f>IFERROR(__xludf.DUMMYFUNCTION("""COMPUTED_VALUE"""),"N/A")</f>
        <v>N/A</v>
      </c>
      <c r="E10" s="43">
        <f>IFERROR(__xludf.DUMMYFUNCTION("""COMPUTED_VALUE"""),235.28)</f>
        <v>235.28</v>
      </c>
      <c r="F10" s="44">
        <f>IFERROR(__xludf.DUMMYFUNCTION("""COMPUTED_VALUE"""),151.78900000000002)</f>
        <v>151.789</v>
      </c>
      <c r="G10" s="47">
        <f t="shared" si="1"/>
        <v>160.89634</v>
      </c>
      <c r="H10" s="48"/>
    </row>
    <row r="11">
      <c r="A11" s="42" t="str">
        <f>IFERROR(__xludf.DUMMYFUNCTION("""COMPUTED_VALUE"""),"HSARO-MRS-GR")</f>
        <v>HSARO-MRS-GR</v>
      </c>
      <c r="B11" s="42">
        <f>IFERROR(__xludf.DUMMYFUNCTION("""COMPUTED_VALUE"""),8.10047073666E11)</f>
        <v>810047073666</v>
      </c>
      <c r="C11" s="42" t="str">
        <f>IFERROR(__xludf.DUMMYFUNCTION("""COMPUTED_VALUE"""),"H-SUN ARO ENCLOSED GR MULTI-RETICLE")</f>
        <v>H-SUN ARO ENCLOSED GR MULTI-RETICLE</v>
      </c>
      <c r="D11" s="43" t="str">
        <f>IFERROR(__xludf.DUMMYFUNCTION("""COMPUTED_VALUE"""),"N/A")</f>
        <v>N/A</v>
      </c>
      <c r="E11" s="43">
        <f>IFERROR(__xludf.DUMMYFUNCTION("""COMPUTED_VALUE"""),247.05)</f>
        <v>247.05</v>
      </c>
      <c r="F11" s="44">
        <f>IFERROR(__xludf.DUMMYFUNCTION("""COMPUTED_VALUE"""),159.379)</f>
        <v>159.379</v>
      </c>
      <c r="G11" s="47">
        <f t="shared" si="1"/>
        <v>168.94174</v>
      </c>
      <c r="H11" s="48"/>
    </row>
    <row r="12">
      <c r="A12" s="50" t="str">
        <f>IFERROR(__xludf.DUMMYFUNCTION("""COMPUTED_VALUE"""),"HSARO-MRS-RD")</f>
        <v>HSARO-MRS-RD</v>
      </c>
      <c r="B12" s="50">
        <f>IFERROR(__xludf.DUMMYFUNCTION("""COMPUTED_VALUE"""),8.10047073628E11)</f>
        <v>810047073628</v>
      </c>
      <c r="C12" s="54" t="str">
        <f>IFERROR(__xludf.DUMMYFUNCTION("""COMPUTED_VALUE"""),"H-SUN ARO ENCLOSED RD MULTI-RETICLE")</f>
        <v>H-SUN ARO ENCLOSED RD MULTI-RETICLE</v>
      </c>
      <c r="D12" s="44" t="str">
        <f>IFERROR(__xludf.DUMMYFUNCTION("""COMPUTED_VALUE"""),"N/A")</f>
        <v>N/A</v>
      </c>
      <c r="E12" s="43">
        <f>IFERROR(__xludf.DUMMYFUNCTION("""COMPUTED_VALUE"""),235.28)</f>
        <v>235.28</v>
      </c>
      <c r="F12" s="44">
        <f>IFERROR(__xludf.DUMMYFUNCTION("""COMPUTED_VALUE"""),151.78900000000002)</f>
        <v>151.789</v>
      </c>
      <c r="G12" s="47">
        <f t="shared" si="1"/>
        <v>160.89634</v>
      </c>
      <c r="H12" s="48"/>
    </row>
    <row r="13">
      <c r="A13" s="54" t="str">
        <f>IFERROR(__xludf.DUMMYFUNCTION("""COMPUTED_VALUE"""),"HSARO-RD2")</f>
        <v>HSARO-RD2</v>
      </c>
      <c r="B13" s="54">
        <f>IFERROR(__xludf.DUMMYFUNCTION("""COMPUTED_VALUE"""),8.10047073598E11)</f>
        <v>810047073598</v>
      </c>
      <c r="C13" s="55" t="str">
        <f>IFERROR(__xludf.DUMMYFUNCTION("""COMPUTED_VALUE"""),"H-SUN ARO ENCLOSED RED 2MOA SIGHT")</f>
        <v>H-SUN ARO ENCLOSED RED 2MOA SIGHT</v>
      </c>
      <c r="D13" s="44" t="str">
        <f>IFERROR(__xludf.DUMMYFUNCTION("""COMPUTED_VALUE"""),"N/A")</f>
        <v>N/A</v>
      </c>
      <c r="E13" s="43">
        <f>IFERROR(__xludf.DUMMYFUNCTION("""COMPUTED_VALUE"""),188.22)</f>
        <v>188.22</v>
      </c>
      <c r="F13" s="44">
        <f>IFERROR(__xludf.DUMMYFUNCTION("""COMPUTED_VALUE"""),121.429)</f>
        <v>121.429</v>
      </c>
      <c r="G13" s="47">
        <f t="shared" si="1"/>
        <v>128.71474</v>
      </c>
      <c r="H13" s="48"/>
    </row>
    <row r="14">
      <c r="A14" s="42" t="str">
        <f>IFERROR(__xludf.DUMMYFUNCTION("""COMPUTED_VALUE"""),"HSEPS-CARRY-GR-2")</f>
        <v>HSEPS-CARRY-GR-2</v>
      </c>
      <c r="B14" s="42">
        <f>IFERROR(__xludf.DUMMYFUNCTION("""COMPUTED_VALUE"""),8.10047072249E11)</f>
        <v>810047072249</v>
      </c>
      <c r="C14" s="57" t="str">
        <f>IFERROR(__xludf.DUMMYFUNCTION("""COMPUTED_VALUE"""),"H-SUN EPS CARRY 2 MOA GRN ALUM")</f>
        <v>H-SUN EPS CARRY 2 MOA GRN ALUM</v>
      </c>
      <c r="D14" s="43">
        <f>IFERROR(__xludf.DUMMYFUNCTION("""COMPUTED_VALUE"""),344.99)</f>
        <v>344.99</v>
      </c>
      <c r="E14" s="43">
        <f>IFERROR(__xludf.DUMMYFUNCTION("""COMPUTED_VALUE"""),405.87)</f>
        <v>405.87</v>
      </c>
      <c r="F14" s="44">
        <f>IFERROR(__xludf.DUMMYFUNCTION("""COMPUTED_VALUE"""),299.79400000000004)</f>
        <v>299.794</v>
      </c>
      <c r="G14" s="47">
        <f t="shared" si="1"/>
        <v>317.78164</v>
      </c>
      <c r="H14" s="48"/>
    </row>
    <row r="15">
      <c r="A15" s="54" t="str">
        <f>IFERROR(__xludf.DUMMYFUNCTION("""COMPUTED_VALUE"""),"HSEPS-CARRY-RD-2")</f>
        <v>HSEPS-CARRY-RD-2</v>
      </c>
      <c r="B15" s="54">
        <f>IFERROR(__xludf.DUMMYFUNCTION("""COMPUTED_VALUE"""),8.10047072225E11)</f>
        <v>810047072225</v>
      </c>
      <c r="C15" s="58" t="str">
        <f>IFERROR(__xludf.DUMMYFUNCTION("""COMPUTED_VALUE"""),"Holosun Technologies, EPS Carry, Reflex Sight, 2 MOA Red Dot, Aluminum Housing, Matte Finish, Black
")</f>
        <v>Holosun Technologies, EPS Carry, Reflex Sight, 2 MOA Red Dot, Aluminum Housing, Matte Finish, Black
</v>
      </c>
      <c r="D15" s="43">
        <f>IFERROR(__xludf.DUMMYFUNCTION("""COMPUTED_VALUE"""),329.99)</f>
        <v>329.99</v>
      </c>
      <c r="E15" s="43">
        <f>IFERROR(__xludf.DUMMYFUNCTION("""COMPUTED_VALUE"""),388.22)</f>
        <v>388.22</v>
      </c>
      <c r="F15" s="44">
        <f>IFERROR(__xludf.DUMMYFUNCTION("""COMPUTED_VALUE"""),286.759)</f>
        <v>286.759</v>
      </c>
      <c r="G15" s="47">
        <f t="shared" si="1"/>
        <v>303.96454</v>
      </c>
      <c r="H15" s="48"/>
    </row>
    <row r="16">
      <c r="A16" s="42" t="str">
        <f>IFERROR(__xludf.DUMMYFUNCTION("""COMPUTED_VALUE"""),"HSEPS-CARRY-RD-6")</f>
        <v>HSEPS-CARRY-RD-6</v>
      </c>
      <c r="B16" s="42">
        <f>IFERROR(__xludf.DUMMYFUNCTION("""COMPUTED_VALUE"""),8.10047072263E11)</f>
        <v>810047072263</v>
      </c>
      <c r="C16" s="42" t="str">
        <f>IFERROR(__xludf.DUMMYFUNCTION("""COMPUTED_VALUE"""),"Holosun Technologies, EPS Carry, Reflex Sight, 6 MOA Red Dot, Aluminum Housing, Matte Finish, Black
")</f>
        <v>Holosun Technologies, EPS Carry, Reflex Sight, 6 MOA Red Dot, Aluminum Housing, Matte Finish, Black
</v>
      </c>
      <c r="D16" s="43">
        <f>IFERROR(__xludf.DUMMYFUNCTION("""COMPUTED_VALUE"""),329.99)</f>
        <v>329.99</v>
      </c>
      <c r="E16" s="43">
        <f>IFERROR(__xludf.DUMMYFUNCTION("""COMPUTED_VALUE"""),388.22)</f>
        <v>388.22</v>
      </c>
      <c r="F16" s="44">
        <f>IFERROR(__xludf.DUMMYFUNCTION("""COMPUTED_VALUE"""),286.759)</f>
        <v>286.759</v>
      </c>
      <c r="G16" s="47">
        <f t="shared" si="1"/>
        <v>303.96454</v>
      </c>
      <c r="H16" s="48"/>
    </row>
    <row r="17">
      <c r="A17" s="42" t="str">
        <f>IFERROR(__xludf.DUMMYFUNCTION("""COMPUTED_VALUE"""),"HSEPS-CARRY-RD-MRS")</f>
        <v>HSEPS-CARRY-RD-MRS</v>
      </c>
      <c r="B17" s="42">
        <f>IFERROR(__xludf.DUMMYFUNCTION("""COMPUTED_VALUE"""),8.1004707157E11)</f>
        <v>810047071570</v>
      </c>
      <c r="C17" s="42" t="str">
        <f>IFERROR(__xludf.DUMMYFUNCTION("""COMPUTED_VALUE"""),"Holosun Technologies, EPS Carry MRS, Reflex Sight, Multiple Reticle, 32 MOA Circle, 2 MOA Red Dot, Aluminum Housing, Matte Finish, Black, Solar with Internal Battery
")</f>
        <v>Holosun Technologies, EPS Carry MRS, Reflex Sight, Multiple Reticle, 32 MOA Circle, 2 MOA Red Dot, Aluminum Housing, Matte Finish, Black, Solar with Internal Battery
</v>
      </c>
      <c r="D17" s="43">
        <f>IFERROR(__xludf.DUMMYFUNCTION("""COMPUTED_VALUE"""),399.99)</f>
        <v>399.99</v>
      </c>
      <c r="E17" s="43">
        <f>IFERROR(__xludf.DUMMYFUNCTION("""COMPUTED_VALUE"""),470.58)</f>
        <v>470.58</v>
      </c>
      <c r="F17" s="44">
        <f>IFERROR(__xludf.DUMMYFUNCTION("""COMPUTED_VALUE"""),347.589)</f>
        <v>347.589</v>
      </c>
      <c r="G17" s="47">
        <f t="shared" si="1"/>
        <v>368.44434</v>
      </c>
      <c r="H17" s="48"/>
    </row>
    <row r="18">
      <c r="A18" s="42" t="str">
        <f>IFERROR(__xludf.DUMMYFUNCTION("""COMPUTED_VALUE"""),"HSEPS-GR-2")</f>
        <v>HSEPS-GR-2</v>
      </c>
      <c r="B18" s="42">
        <f>IFERROR(__xludf.DUMMYFUNCTION("""COMPUTED_VALUE"""),8.10047072232E11)</f>
        <v>810047072232</v>
      </c>
      <c r="C18" s="42" t="str">
        <f>IFERROR(__xludf.DUMMYFUNCTION("""COMPUTED_VALUE"""),"H-SUN EPS 2 MOA GRN ALUM")</f>
        <v>H-SUN EPS 2 MOA GRN ALUM</v>
      </c>
      <c r="D18" s="43">
        <f>IFERROR(__xludf.DUMMYFUNCTION("""COMPUTED_VALUE"""),344.99)</f>
        <v>344.99</v>
      </c>
      <c r="E18" s="43">
        <f>IFERROR(__xludf.DUMMYFUNCTION("""COMPUTED_VALUE"""),405.87)</f>
        <v>405.87</v>
      </c>
      <c r="F18" s="44">
        <f>IFERROR(__xludf.DUMMYFUNCTION("""COMPUTED_VALUE"""),299.79400000000004)</f>
        <v>299.794</v>
      </c>
      <c r="G18" s="47">
        <f t="shared" si="1"/>
        <v>317.78164</v>
      </c>
      <c r="H18" s="48"/>
    </row>
    <row r="19">
      <c r="A19" s="42" t="str">
        <f>IFERROR(__xludf.DUMMYFUNCTION("""COMPUTED_VALUE"""),"HSEPS-GR-MRS")</f>
        <v>HSEPS-GR-MRS</v>
      </c>
      <c r="B19" s="42">
        <f>IFERROR(__xludf.DUMMYFUNCTION("""COMPUTED_VALUE"""),8.10047071587E11)</f>
        <v>810047071587</v>
      </c>
      <c r="C19" s="42" t="str">
        <f>IFERROR(__xludf.DUMMYFUNCTION("""COMPUTED_VALUE"""),"H-SUN EPS MRS GRN SOLAR ALUM")</f>
        <v>H-SUN EPS MRS GRN SOLAR ALUM</v>
      </c>
      <c r="D19" s="44">
        <f>IFERROR(__xludf.DUMMYFUNCTION("""COMPUTED_VALUE"""),429.99)</f>
        <v>429.99</v>
      </c>
      <c r="E19" s="43">
        <f>IFERROR(__xludf.DUMMYFUNCTION("""COMPUTED_VALUE"""),505.87)</f>
        <v>505.87</v>
      </c>
      <c r="F19" s="44">
        <f>IFERROR(__xludf.DUMMYFUNCTION("""COMPUTED_VALUE"""),373.659)</f>
        <v>373.659</v>
      </c>
      <c r="G19" s="47">
        <f t="shared" si="1"/>
        <v>396.07854</v>
      </c>
      <c r="H19" s="48"/>
    </row>
    <row r="20">
      <c r="A20" s="42" t="str">
        <f>IFERROR(__xludf.DUMMYFUNCTION("""COMPUTED_VALUE"""),"HSEPS-RD-2")</f>
        <v>HSEPS-RD-2</v>
      </c>
      <c r="B20" s="42">
        <f>IFERROR(__xludf.DUMMYFUNCTION("""COMPUTED_VALUE"""),8.10047072218E11)</f>
        <v>810047072218</v>
      </c>
      <c r="C20" s="42" t="str">
        <f>IFERROR(__xludf.DUMMYFUNCTION("""COMPUTED_VALUE"""),"Holosun Technologies, EPS, Reflex Sight, 2 MOA Red Dot, Aluminum Housing, Matte Finish, Black")</f>
        <v>Holosun Technologies, EPS, Reflex Sight, 2 MOA Red Dot, Aluminum Housing, Matte Finish, Black</v>
      </c>
      <c r="D20" s="43">
        <f>IFERROR(__xludf.DUMMYFUNCTION("""COMPUTED_VALUE"""),329.99)</f>
        <v>329.99</v>
      </c>
      <c r="E20" s="43">
        <f>IFERROR(__xludf.DUMMYFUNCTION("""COMPUTED_VALUE"""),388.22)</f>
        <v>388.22</v>
      </c>
      <c r="F20" s="44">
        <f>IFERROR(__xludf.DUMMYFUNCTION("""COMPUTED_VALUE"""),286.759)</f>
        <v>286.759</v>
      </c>
      <c r="G20" s="47">
        <f t="shared" si="1"/>
        <v>303.96454</v>
      </c>
      <c r="H20" s="48"/>
    </row>
    <row r="21">
      <c r="A21" s="42" t="str">
        <f>IFERROR(__xludf.DUMMYFUNCTION("""COMPUTED_VALUE"""),"HSEPS-RD-6")</f>
        <v>HSEPS-RD-6</v>
      </c>
      <c r="B21" s="42">
        <f>IFERROR(__xludf.DUMMYFUNCTION("""COMPUTED_VALUE"""),8.10047072256E11)</f>
        <v>810047072256</v>
      </c>
      <c r="C21" s="42" t="str">
        <f>IFERROR(__xludf.DUMMYFUNCTION("""COMPUTED_VALUE"""),"Holosun Technologies, EPS, Reflex Sight, 6 MOA Red Dot, Aluminum Housing, Matte Finish, Black
")</f>
        <v>Holosun Technologies, EPS, Reflex Sight, 6 MOA Red Dot, Aluminum Housing, Matte Finish, Black
</v>
      </c>
      <c r="D21" s="43">
        <f>IFERROR(__xludf.DUMMYFUNCTION("""COMPUTED_VALUE"""),329.99)</f>
        <v>329.99</v>
      </c>
      <c r="E21" s="43">
        <f>IFERROR(__xludf.DUMMYFUNCTION("""COMPUTED_VALUE"""),388.22)</f>
        <v>388.22</v>
      </c>
      <c r="F21" s="44">
        <f>IFERROR(__xludf.DUMMYFUNCTION("""COMPUTED_VALUE"""),286.759)</f>
        <v>286.759</v>
      </c>
      <c r="G21" s="47">
        <f t="shared" si="1"/>
        <v>303.96454</v>
      </c>
      <c r="H21" s="48"/>
    </row>
    <row r="22">
      <c r="A22" s="42" t="str">
        <f>IFERROR(__xludf.DUMMYFUNCTION("""COMPUTED_VALUE"""),"HSEPS-RD-MRS")</f>
        <v>HSEPS-RD-MRS</v>
      </c>
      <c r="B22" s="42">
        <f>IFERROR(__xludf.DUMMYFUNCTION("""COMPUTED_VALUE"""),8.10047071563E11)</f>
        <v>810047071563</v>
      </c>
      <c r="C22" s="42" t="str">
        <f>IFERROR(__xludf.DUMMYFUNCTION("""COMPUTED_VALUE"""),"Holosun Technologies, EPS MRS, Reflex Sight, Multiple Reticle, 32 MOA Circle, 2 MOA Red Dot, Aluminum Housing, Matte Finish, Black, Solar with Internal Battery
")</f>
        <v>Holosun Technologies, EPS MRS, Reflex Sight, Multiple Reticle, 32 MOA Circle, 2 MOA Red Dot, Aluminum Housing, Matte Finish, Black, Solar with Internal Battery
</v>
      </c>
      <c r="D22" s="43">
        <f>IFERROR(__xludf.DUMMYFUNCTION("""COMPUTED_VALUE"""),399.99)</f>
        <v>399.99</v>
      </c>
      <c r="E22" s="43">
        <f>IFERROR(__xludf.DUMMYFUNCTION("""COMPUTED_VALUE"""),470.58)</f>
        <v>470.58</v>
      </c>
      <c r="F22" s="44">
        <f>IFERROR(__xludf.DUMMYFUNCTION("""COMPUTED_VALUE"""),347.589)</f>
        <v>347.589</v>
      </c>
      <c r="G22" s="47">
        <f t="shared" si="1"/>
        <v>368.44434</v>
      </c>
      <c r="H22" s="48"/>
    </row>
    <row r="23">
      <c r="A23" s="42" t="str">
        <f>IFERROR(__xludf.DUMMYFUNCTION("""COMPUTED_VALUE"""),"HSHE508T-RD-X2")</f>
        <v>HSHE508T-RD-X2</v>
      </c>
      <c r="B23" s="42">
        <f>IFERROR(__xludf.DUMMYFUNCTION("""COMPUTED_VALUE"""),8.10047071242E11)</f>
        <v>810047071242</v>
      </c>
      <c r="C23" s="42" t="str">
        <f>IFERROR(__xludf.DUMMYFUNCTION("""COMPUTED_VALUE"""),"Holosun Technologies, 508T-RD-X2, Red Dot, 32 MOA Ring &amp; 2 MOA Dot, Black Color, Side Battery, Solar Failsafe, Mount Not Included
")</f>
        <v>Holosun Technologies, 508T-RD-X2, Red Dot, 32 MOA Ring &amp; 2 MOA Dot, Black Color, Side Battery, Solar Failsafe, Mount Not Included
</v>
      </c>
      <c r="D23" s="43">
        <f>IFERROR(__xludf.DUMMYFUNCTION("""COMPUTED_VALUE"""),369.99)</f>
        <v>369.99</v>
      </c>
      <c r="E23" s="43">
        <f>IFERROR(__xludf.DUMMYFUNCTION("""COMPUTED_VALUE"""),435.28)</f>
        <v>435.28</v>
      </c>
      <c r="F23" s="44">
        <f>IFERROR(__xludf.DUMMYFUNCTION("""COMPUTED_VALUE"""),297.099)</f>
        <v>297.099</v>
      </c>
      <c r="G23" s="47">
        <f t="shared" si="1"/>
        <v>314.92494</v>
      </c>
      <c r="H23" s="48"/>
    </row>
    <row r="24">
      <c r="A24" s="42" t="str">
        <f>IFERROR(__xludf.DUMMYFUNCTION("""COMPUTED_VALUE"""),"HSHE509T-GR-X2")</f>
        <v>HSHE509T-GR-X2</v>
      </c>
      <c r="B24" s="42">
        <f>IFERROR(__xludf.DUMMYFUNCTION("""COMPUTED_VALUE"""),6.05930625868E11)</f>
        <v>605930625868</v>
      </c>
      <c r="C24" s="42" t="str">
        <f>IFERROR(__xludf.DUMMYFUNCTION("""COMPUTED_VALUE"""),"Holosun Technologies, 509T X2 Green Dot, Multi-Reticle System (MRS) 32 MOA Circle and 2 MOA Dot, 2 MOA Dot, 32 MOA Circle Black, Solar Failsafe, Shake Awake, Black, Titanium, Includes RMR Adapter Plate (Not compatible with ZEV or Shadow Systems)
")</f>
        <v>Holosun Technologies, 509T X2 Green Dot, Multi-Reticle System (MRS) 32 MOA Circle and 2 MOA Dot, 2 MOA Dot, 32 MOA Circle Black, Solar Failsafe, Shake Awake, Black, Titanium, Includes RMR Adapter Plate (Not compatible with ZEV or Shadow Systems)
</v>
      </c>
      <c r="D24" s="43">
        <f>IFERROR(__xludf.DUMMYFUNCTION("""COMPUTED_VALUE"""),459.99)</f>
        <v>459.99</v>
      </c>
      <c r="E24" s="43">
        <f>IFERROR(__xludf.DUMMYFUNCTION("""COMPUTED_VALUE"""),541.16)</f>
        <v>541.16</v>
      </c>
      <c r="F24" s="44">
        <f>IFERROR(__xludf.DUMMYFUNCTION("""COMPUTED_VALUE"""),369.369)</f>
        <v>369.369</v>
      </c>
      <c r="G24" s="47">
        <f t="shared" si="1"/>
        <v>391.53114</v>
      </c>
      <c r="H24" s="48"/>
    </row>
    <row r="25">
      <c r="A25" s="42" t="str">
        <f>IFERROR(__xludf.DUMMYFUNCTION("""COMPUTED_VALUE"""),"HSHE509T-RD-X2")</f>
        <v>HSHE509T-RD-X2</v>
      </c>
      <c r="B25" s="42">
        <f>IFERROR(__xludf.DUMMYFUNCTION("""COMPUTED_VALUE"""),8.100470716E11)</f>
        <v>810047071600</v>
      </c>
      <c r="C25" s="42" t="str">
        <f>IFERROR(__xludf.DUMMYFUNCTION("""COMPUTED_VALUE"""),"Holosun Technologies, 509T X2 Red Dot, Multi-Reticle System (MRS) 32 MOA Circle and 2 MOA Dot, 2 MOA Dot, 32 MOA Circle Black, Solar Failsafe, Shake Awake, Black, Titanium, Includes RMR Adapter Plate (Not compatible with ZEV or Shadow Systems)
")</f>
        <v>Holosun Technologies, 509T X2 Red Dot, Multi-Reticle System (MRS) 32 MOA Circle and 2 MOA Dot, 2 MOA Dot, 32 MOA Circle Black, Solar Failsafe, Shake Awake, Black, Titanium, Includes RMR Adapter Plate (Not compatible with ZEV or Shadow Systems)
</v>
      </c>
      <c r="D25" s="43">
        <f>IFERROR(__xludf.DUMMYFUNCTION("""COMPUTED_VALUE"""),429.99)</f>
        <v>429.99</v>
      </c>
      <c r="E25" s="43">
        <f>IFERROR(__xludf.DUMMYFUNCTION("""COMPUTED_VALUE"""),505.87)</f>
        <v>505.87</v>
      </c>
      <c r="F25" s="44">
        <f>IFERROR(__xludf.DUMMYFUNCTION("""COMPUTED_VALUE"""),345.279)</f>
        <v>345.279</v>
      </c>
      <c r="G25" s="47">
        <f t="shared" si="1"/>
        <v>365.99574</v>
      </c>
      <c r="H25" s="48"/>
    </row>
    <row r="26">
      <c r="A26" s="42" t="str">
        <f>IFERROR(__xludf.DUMMYFUNCTION("""COMPUTED_VALUE"""),"HSHS407C-X2")</f>
        <v>HSHS407C-X2</v>
      </c>
      <c r="B26" s="42">
        <f>IFERROR(__xludf.DUMMYFUNCTION("""COMPUTED_VALUE"""),8.10047071181E11)</f>
        <v>810047071181</v>
      </c>
      <c r="C26" s="42" t="str">
        <f>IFERROR(__xludf.DUMMYFUNCTION("""COMPUTED_VALUE"""),"Holosun Technologies, 407C-X2, Red Dot, 2 MOA, Black, Side Battery, Solar Failsafe, Mount Not Included
")</f>
        <v>Holosun Technologies, 407C-X2, Red Dot, 2 MOA, Black, Side Battery, Solar Failsafe, Mount Not Included
</v>
      </c>
      <c r="D26" s="43">
        <f>IFERROR(__xludf.DUMMYFUNCTION("""COMPUTED_VALUE"""),244.99)</f>
        <v>244.99</v>
      </c>
      <c r="E26" s="43">
        <f>IFERROR(__xludf.DUMMYFUNCTION("""COMPUTED_VALUE"""),288.22)</f>
        <v>288.22</v>
      </c>
      <c r="F26" s="44">
        <f>IFERROR(__xludf.DUMMYFUNCTION("""COMPUTED_VALUE"""),185.944)</f>
        <v>185.944</v>
      </c>
      <c r="G26" s="47">
        <f t="shared" si="1"/>
        <v>197.10064</v>
      </c>
      <c r="H26" s="48"/>
    </row>
    <row r="27">
      <c r="A27" s="42" t="str">
        <f>IFERROR(__xludf.DUMMYFUNCTION("""COMPUTED_VALUE"""),"HSHS407K-X2")</f>
        <v>HSHS407K-X2</v>
      </c>
      <c r="B27" s="42">
        <f>IFERROR(__xludf.DUMMYFUNCTION("""COMPUTED_VALUE"""),8.10047071204E11)</f>
        <v>810047071204</v>
      </c>
      <c r="C27" s="42" t="str">
        <f>IFERROR(__xludf.DUMMYFUNCTION("""COMPUTED_VALUE"""),"Holosun Technologies, 407K-X2, Red Dot, 6 MOA Dot, Black Color, Side Battery
")</f>
        <v>Holosun Technologies, 407K-X2, Red Dot, 6 MOA Dot, Black Color, Side Battery
</v>
      </c>
      <c r="D27" s="43">
        <f>IFERROR(__xludf.DUMMYFUNCTION("""COMPUTED_VALUE"""),224.99)</f>
        <v>224.99</v>
      </c>
      <c r="E27" s="43">
        <f>IFERROR(__xludf.DUMMYFUNCTION("""COMPUTED_VALUE"""),264.69)</f>
        <v>264.69</v>
      </c>
      <c r="F27" s="44">
        <f>IFERROR(__xludf.DUMMYFUNCTION("""COMPUTED_VALUE"""),170.764)</f>
        <v>170.764</v>
      </c>
      <c r="G27" s="47">
        <f t="shared" si="1"/>
        <v>181.00984</v>
      </c>
      <c r="H27" s="48"/>
    </row>
    <row r="28">
      <c r="A28" s="42" t="str">
        <f>IFERROR(__xludf.DUMMYFUNCTION("""COMPUTED_VALUE"""),"HSHS507C-X2")</f>
        <v>HSHS507C-X2</v>
      </c>
      <c r="B28" s="42">
        <f>IFERROR(__xludf.DUMMYFUNCTION("""COMPUTED_VALUE"""),8.10047071174E11)</f>
        <v>810047071174</v>
      </c>
      <c r="C28" s="42" t="str">
        <f>IFERROR(__xludf.DUMMYFUNCTION("""COMPUTED_VALUE"""),"Holosun Technologies, 507C-X2, Red Dot, 32 MOA Ring &amp; 2 MOA Dot, Black Color, Side Battery, Solar Failsafe, Mount Not Included
")</f>
        <v>Holosun Technologies, 507C-X2, Red Dot, 32 MOA Ring &amp; 2 MOA Dot, Black Color, Side Battery, Solar Failsafe, Mount Not Included
</v>
      </c>
      <c r="D28" s="43">
        <f>IFERROR(__xludf.DUMMYFUNCTION("""COMPUTED_VALUE"""),309.99)</f>
        <v>309.99</v>
      </c>
      <c r="E28" s="43">
        <f>IFERROR(__xludf.DUMMYFUNCTION("""COMPUTED_VALUE"""),364.69)</f>
        <v>364.69</v>
      </c>
      <c r="F28" s="44">
        <f>IFERROR(__xludf.DUMMYFUNCTION("""COMPUTED_VALUE"""),235.279)</f>
        <v>235.279</v>
      </c>
      <c r="G28" s="47">
        <f t="shared" si="1"/>
        <v>249.39574</v>
      </c>
      <c r="H28" s="48"/>
    </row>
    <row r="29">
      <c r="A29" s="42" t="str">
        <f>IFERROR(__xludf.DUMMYFUNCTION("""COMPUTED_VALUE"""),"HSHS507COMP")</f>
        <v>HSHS507COMP</v>
      </c>
      <c r="B29" s="42">
        <f>IFERROR(__xludf.DUMMYFUNCTION("""COMPUTED_VALUE"""),8.10047072928E11)</f>
        <v>810047072928</v>
      </c>
      <c r="C29" s="42" t="str">
        <f>IFERROR(__xludf.DUMMYFUNCTION("""COMPUTED_VALUE"""),"Holosun Technologies, 507 Elite Competition, Red Dot, MRS Reticle (2 MOA Dot with 8/20/32 MOA Circle), 1.1""x0.87"" Objective Lens, Matte, Black
")</f>
        <v>Holosun Technologies, 507 Elite Competition, Red Dot, MRS Reticle (2 MOA Dot with 8/20/32 MOA Circle), 1.1"x0.87" Objective Lens, Matte, Black
</v>
      </c>
      <c r="D29" s="43">
        <f>IFERROR(__xludf.DUMMYFUNCTION("""COMPUTED_VALUE"""),369.99)</f>
        <v>369.99</v>
      </c>
      <c r="E29" s="43">
        <f>IFERROR(__xludf.DUMMYFUNCTION("""COMPUTED_VALUE"""),435.28)</f>
        <v>435.28</v>
      </c>
      <c r="F29" s="44">
        <f>IFERROR(__xludf.DUMMYFUNCTION("""COMPUTED_VALUE"""),280.819)</f>
        <v>280.819</v>
      </c>
      <c r="G29" s="47">
        <f t="shared" si="1"/>
        <v>297.66814</v>
      </c>
      <c r="H29" s="48"/>
    </row>
    <row r="30">
      <c r="A30" s="42" t="str">
        <f>IFERROR(__xludf.DUMMYFUNCTION("""COMPUTED_VALUE"""),"HSHS507K-X2")</f>
        <v>HSHS507K-X2</v>
      </c>
      <c r="B30" s="42">
        <f>IFERROR(__xludf.DUMMYFUNCTION("""COMPUTED_VALUE"""),8.10047071211E11)</f>
        <v>810047071211</v>
      </c>
      <c r="C30" s="42" t="str">
        <f>IFERROR(__xludf.DUMMYFUNCTION("""COMPUTED_VALUE"""),"Holosun Technologies, 507K-X2, Red Dot, 32 MOA Ring &amp; 2 MOA Dot, Black Color
")</f>
        <v>Holosun Technologies, 507K-X2, Red Dot, 32 MOA Ring &amp; 2 MOA Dot, Black Color
</v>
      </c>
      <c r="D30" s="43">
        <f>IFERROR(__xludf.DUMMYFUNCTION("""COMPUTED_VALUE"""),295.99)</f>
        <v>295.99</v>
      </c>
      <c r="E30" s="43">
        <f>IFERROR(__xludf.DUMMYFUNCTION("""COMPUTED_VALUE"""),348.22)</f>
        <v>348.22</v>
      </c>
      <c r="F30" s="44">
        <f>IFERROR(__xludf.DUMMYFUNCTION("""COMPUTED_VALUE"""),224.653)</f>
        <v>224.653</v>
      </c>
      <c r="G30" s="47">
        <f t="shared" si="1"/>
        <v>238.13218</v>
      </c>
      <c r="H30" s="48"/>
    </row>
    <row r="31">
      <c r="A31" s="42" t="str">
        <f>IFERROR(__xludf.DUMMYFUNCTION("""COMPUTED_VALUE"""),"HSHS510C-FDE")</f>
        <v>HSHS510C-FDE</v>
      </c>
      <c r="B31" s="42">
        <f>IFERROR(__xludf.DUMMYFUNCTION("""COMPUTED_VALUE"""),6.05930624991E11)</f>
        <v>605930624991</v>
      </c>
      <c r="C31" s="42" t="str">
        <f>IFERROR(__xludf.DUMMYFUNCTION("""COMPUTED_VALUE"""),"Holosun Technologies, HS510C, Reflex Sight, Multiple Reticle, 65 MOA Circle, 2 MOA Red Dot, Aluminum Housing, Matte Finish, Flat Dark Earth, Solar with Internal Battery
")</f>
        <v>Holosun Technologies, HS510C, Reflex Sight, Multiple Reticle, 65 MOA Circle, 2 MOA Red Dot, Aluminum Housing, Matte Finish, Flat Dark Earth, Solar with Internal Battery
</v>
      </c>
      <c r="D31" s="43">
        <f>IFERROR(__xludf.DUMMYFUNCTION("""COMPUTED_VALUE"""),309.99)</f>
        <v>309.99</v>
      </c>
      <c r="E31" s="43">
        <f>IFERROR(__xludf.DUMMYFUNCTION("""COMPUTED_VALUE"""),364.69)</f>
        <v>364.69</v>
      </c>
      <c r="F31" s="44">
        <f>IFERROR(__xludf.DUMMYFUNCTION("""COMPUTED_VALUE"""),235.279)</f>
        <v>235.279</v>
      </c>
      <c r="G31" s="47">
        <f t="shared" si="1"/>
        <v>249.39574</v>
      </c>
      <c r="H31" s="48"/>
    </row>
    <row r="32">
      <c r="A32" s="42" t="str">
        <f>IFERROR(__xludf.DUMMYFUNCTION("""COMPUTED_VALUE"""),"HSIRIS-GR1")</f>
        <v>HSIRIS-GR1</v>
      </c>
      <c r="B32" s="42">
        <f>IFERROR(__xludf.DUMMYFUNCTION("""COMPUTED_VALUE"""),8.10047073826E11)</f>
        <v>810047073826</v>
      </c>
      <c r="C32" s="42" t="str">
        <f>IFERROR(__xludf.DUMMYFUNCTION("""COMPUTED_VALUE"""),"Holosun Technologies, IRIS 1, Rifle Laser System, Green Laser, Fits Picatinny, Remote Activated Button, Anodized Finish, Black")</f>
        <v>Holosun Technologies, IRIS 1, Rifle Laser System, Green Laser, Fits Picatinny, Remote Activated Button, Anodized Finish, Black</v>
      </c>
      <c r="D32" s="43">
        <f>IFERROR(__xludf.DUMMYFUNCTION("""COMPUTED_VALUE"""),299.99)</f>
        <v>299.99</v>
      </c>
      <c r="E32" s="43">
        <f>IFERROR(__xludf.DUMMYFUNCTION("""COMPUTED_VALUE"""),352.93)</f>
        <v>352.93</v>
      </c>
      <c r="F32" s="44">
        <f>IFERROR(__xludf.DUMMYFUNCTION("""COMPUTED_VALUE"""),240.889)</f>
        <v>240.889</v>
      </c>
      <c r="G32" s="47">
        <f t="shared" si="1"/>
        <v>255.34234</v>
      </c>
      <c r="H32" s="48"/>
    </row>
    <row r="33">
      <c r="A33" s="42" t="str">
        <f>IFERROR(__xludf.DUMMYFUNCTION("""COMPUTED_VALUE"""),"HSIRIS-GR2")</f>
        <v>HSIRIS-GR2</v>
      </c>
      <c r="B33" s="42">
        <f>IFERROR(__xludf.DUMMYFUNCTION("""COMPUTED_VALUE"""),8.10047073857E11)</f>
        <v>810047073857</v>
      </c>
      <c r="C33" s="42" t="str">
        <f>IFERROR(__xludf.DUMMYFUNCTION("""COMPUTED_VALUE"""),"Holosun Technologies, IRIS 2, Rifle Laser/Infrared System, Green/IR Laser, Fits Picatinny, Remote Activated Button, Anodized Finish, Black
")</f>
        <v>Holosun Technologies, IRIS 2, Rifle Laser/Infrared System, Green/IR Laser, Fits Picatinny, Remote Activated Button, Anodized Finish, Black
</v>
      </c>
      <c r="D33" s="43">
        <f>IFERROR(__xludf.DUMMYFUNCTION("""COMPUTED_VALUE"""),499.99)</f>
        <v>499.99</v>
      </c>
      <c r="E33" s="43">
        <f>IFERROR(__xludf.DUMMYFUNCTION("""COMPUTED_VALUE"""),588.22)</f>
        <v>588.22</v>
      </c>
      <c r="F33" s="44">
        <f>IFERROR(__xludf.DUMMYFUNCTION("""COMPUTED_VALUE"""),401.48900000000003)</f>
        <v>401.489</v>
      </c>
      <c r="G33" s="47">
        <f t="shared" si="1"/>
        <v>425.57834</v>
      </c>
      <c r="H33" s="48"/>
    </row>
    <row r="34">
      <c r="A34" s="42" t="str">
        <f>IFERROR(__xludf.DUMMYFUNCTION("""COMPUTED_VALUE"""),"HSIRIS-GR3")</f>
        <v>HSIRIS-GR3</v>
      </c>
      <c r="B34" s="42">
        <f>IFERROR(__xludf.DUMMYFUNCTION("""COMPUTED_VALUE"""),8.10047073871E11)</f>
        <v>810047073871</v>
      </c>
      <c r="C34" s="42" t="str">
        <f>IFERROR(__xludf.DUMMYFUNCTION("""COMPUTED_VALUE"""),"Holosun Technologies, IRIS 3, Triple Function, Rifle Illuminator &amp; Laser/Infrared System, Green/IR Laser, IR Illuminator, Fits Picatinny, Remote Dual Activated Button, Anodized Finish, Black")</f>
        <v>Holosun Technologies, IRIS 3, Triple Function, Rifle Illuminator &amp; Laser/Infrared System, Green/IR Laser, IR Illuminator, Fits Picatinny, Remote Dual Activated Button, Anodized Finish, Black</v>
      </c>
      <c r="D34" s="43">
        <f>IFERROR(__xludf.DUMMYFUNCTION("""COMPUTED_VALUE"""),899.99)</f>
        <v>899.99</v>
      </c>
      <c r="E34" s="43">
        <f>IFERROR(__xludf.DUMMYFUNCTION("""COMPUTED_VALUE"""),1058.81)</f>
        <v>1058.81</v>
      </c>
      <c r="F34" s="44">
        <f>IFERROR(__xludf.DUMMYFUNCTION("""COMPUTED_VALUE"""),786.5)</f>
        <v>786.5</v>
      </c>
      <c r="G34" s="47">
        <f t="shared" si="1"/>
        <v>833.69</v>
      </c>
      <c r="H34" s="48"/>
    </row>
    <row r="35">
      <c r="A35" s="42" t="str">
        <f>IFERROR(__xludf.DUMMYFUNCTION("""COMPUTED_VALUE"""),"HSIRIS-GR3")</f>
        <v>HSIRIS-GR3</v>
      </c>
      <c r="B35" s="42">
        <f>IFERROR(__xludf.DUMMYFUNCTION("""COMPUTED_VALUE"""),8.10047073871E11)</f>
        <v>810047073871</v>
      </c>
      <c r="C35" s="42" t="str">
        <f>IFERROR(__xludf.DUMMYFUNCTION("""COMPUTED_VALUE"""),"Holosun Technologies, IRIS 3, Triple Function, Rifle Illuminator &amp; Laser/Infrared System, Green/IR Laser, IR Illuminator, Fits Picatinny, Remote Dual Activated Button, Anodized Finish, Black")</f>
        <v>Holosun Technologies, IRIS 3, Triple Function, Rifle Illuminator &amp; Laser/Infrared System, Green/IR Laser, IR Illuminator, Fits Picatinny, Remote Dual Activated Button, Anodized Finish, Black</v>
      </c>
      <c r="D35" s="43">
        <f>IFERROR(__xludf.DUMMYFUNCTION("""COMPUTED_VALUE"""),899.99)</f>
        <v>899.99</v>
      </c>
      <c r="E35" s="43">
        <f>IFERROR(__xludf.DUMMYFUNCTION("""COMPUTED_VALUE"""),1058.81)</f>
        <v>1058.81</v>
      </c>
      <c r="F35" s="44">
        <f>IFERROR(__xludf.DUMMYFUNCTION("""COMPUTED_VALUE"""),722.689)</f>
        <v>722.689</v>
      </c>
      <c r="G35" s="47">
        <f t="shared" si="1"/>
        <v>766.05034</v>
      </c>
      <c r="H35" s="48"/>
    </row>
    <row r="36">
      <c r="A36" s="42" t="str">
        <f>IFERROR(__xludf.DUMMYFUNCTION("""COMPUTED_VALUE"""),"HSIRIS-GR4")</f>
        <v>HSIRIS-GR4</v>
      </c>
      <c r="B36" s="42">
        <f>IFERROR(__xludf.DUMMYFUNCTION("""COMPUTED_VALUE"""),8.10047073895E11)</f>
        <v>810047073895</v>
      </c>
      <c r="C36" s="42" t="str">
        <f>IFERROR(__xludf.DUMMYFUNCTION("""COMPUTED_VALUE"""),"Holosun Technologies, IRIS 4, Quad Function, Rifle Illuminator &amp; Laser/Infrared System with White Light, Red Vis/IR Laser, 45mW IR Illuminator, 1,000 Lumen White Light, Fits Picatinny, Remote Triple Activated Button, Anodized Finish, Black")</f>
        <v>Holosun Technologies, IRIS 4, Quad Function, Rifle Illuminator &amp; Laser/Infrared System with White Light, Red Vis/IR Laser, 45mW IR Illuminator, 1,000 Lumen White Light, Fits Picatinny, Remote Triple Activated Button, Anodized Finish, Black</v>
      </c>
      <c r="D36" s="43">
        <f>IFERROR(__xludf.DUMMYFUNCTION("""COMPUTED_VALUE"""),999.99)</f>
        <v>999.99</v>
      </c>
      <c r="E36" s="43">
        <f>IFERROR(__xludf.DUMMYFUNCTION("""COMPUTED_VALUE"""),1176.46)</f>
        <v>1176.46</v>
      </c>
      <c r="F36" s="44">
        <f>IFERROR(__xludf.DUMMYFUNCTION("""COMPUTED_VALUE"""),802.989)</f>
        <v>802.989</v>
      </c>
      <c r="G36" s="47">
        <f t="shared" si="1"/>
        <v>851.16834</v>
      </c>
      <c r="H36" s="48"/>
    </row>
    <row r="37">
      <c r="A37" s="42" t="str">
        <f>IFERROR(__xludf.DUMMYFUNCTION("""COMPUTED_VALUE"""),"HSIRIS-IR1")</f>
        <v>HSIRIS-IR1</v>
      </c>
      <c r="B37" s="42">
        <f>IFERROR(__xludf.DUMMYFUNCTION("""COMPUTED_VALUE"""),8.10047073833E11)</f>
        <v>810047073833</v>
      </c>
      <c r="C37" s="42" t="str">
        <f>IFERROR(__xludf.DUMMYFUNCTION("""COMPUTED_VALUE"""),"Holosun Technologies, IRIS 1, Rifle Infrared System, IR Laser, Fits Picatinny, Remote Activated Button, Anodized Finish, Black")</f>
        <v>Holosun Technologies, IRIS 1, Rifle Infrared System, IR Laser, Fits Picatinny, Remote Activated Button, Anodized Finish, Black</v>
      </c>
      <c r="D37" s="43">
        <f>IFERROR(__xludf.DUMMYFUNCTION("""COMPUTED_VALUE"""),299.99)</f>
        <v>299.99</v>
      </c>
      <c r="E37" s="43">
        <f>IFERROR(__xludf.DUMMYFUNCTION("""COMPUTED_VALUE"""),352.93)</f>
        <v>352.93</v>
      </c>
      <c r="F37" s="44">
        <f>IFERROR(__xludf.DUMMYFUNCTION("""COMPUTED_VALUE"""),240.889)</f>
        <v>240.889</v>
      </c>
      <c r="G37" s="47">
        <f t="shared" si="1"/>
        <v>255.34234</v>
      </c>
      <c r="H37" s="48"/>
    </row>
    <row r="38">
      <c r="A38" s="42" t="str">
        <f>IFERROR(__xludf.DUMMYFUNCTION("""COMPUTED_VALUE"""),"HSIRIS-RD2")</f>
        <v>HSIRIS-RD2</v>
      </c>
      <c r="B38" s="42">
        <f>IFERROR(__xludf.DUMMYFUNCTION("""COMPUTED_VALUE"""),8.1004707384E11)</f>
        <v>810047073840</v>
      </c>
      <c r="C38" s="42" t="str">
        <f>IFERROR(__xludf.DUMMYFUNCTION("""COMPUTED_VALUE"""),"Holosun Technologies, IRIS 2, Rifle Laser/Infrared System, Red/IR Laser, Fits Picatinny, Remote Activated Button, Anodized Finish, Black")</f>
        <v>Holosun Technologies, IRIS 2, Rifle Laser/Infrared System, Red/IR Laser, Fits Picatinny, Remote Activated Button, Anodized Finish, Black</v>
      </c>
      <c r="D38" s="43">
        <f>IFERROR(__xludf.DUMMYFUNCTION("""COMPUTED_VALUE"""),499.99)</f>
        <v>499.99</v>
      </c>
      <c r="E38" s="43">
        <f>IFERROR(__xludf.DUMMYFUNCTION("""COMPUTED_VALUE"""),588.22)</f>
        <v>588.22</v>
      </c>
      <c r="F38" s="44">
        <f>IFERROR(__xludf.DUMMYFUNCTION("""COMPUTED_VALUE"""),401.48900000000003)</f>
        <v>401.489</v>
      </c>
      <c r="G38" s="47">
        <f t="shared" si="1"/>
        <v>425.57834</v>
      </c>
      <c r="H38" s="48"/>
    </row>
    <row r="39">
      <c r="A39" s="42" t="str">
        <f>IFERROR(__xludf.DUMMYFUNCTION("""COMPUTED_VALUE"""),"HSIRIS-RD3")</f>
        <v>HSIRIS-RD3</v>
      </c>
      <c r="B39" s="42">
        <f>IFERROR(__xludf.DUMMYFUNCTION("""COMPUTED_VALUE"""),8.10047073864E11)</f>
        <v>810047073864</v>
      </c>
      <c r="C39" s="42" t="str">
        <f>IFERROR(__xludf.DUMMYFUNCTION("""COMPUTED_VALUE"""),"Holosun Technologies, IRIS 3, Triple Function, Rifle Illuminator &amp; Laser/Infrared System, Red/IR Laser, IR Illuminator, Fits Picatinny, Remote Dual Activated Button, Anodized Finish, Black")</f>
        <v>Holosun Technologies, IRIS 3, Triple Function, Rifle Illuminator &amp; Laser/Infrared System, Red/IR Laser, IR Illuminator, Fits Picatinny, Remote Dual Activated Button, Anodized Finish, Black</v>
      </c>
      <c r="D39" s="43">
        <f>IFERROR(__xludf.DUMMYFUNCTION("""COMPUTED_VALUE"""),599.99)</f>
        <v>599.99</v>
      </c>
      <c r="E39" s="43">
        <f>IFERROR(__xludf.DUMMYFUNCTION("""COMPUTED_VALUE"""),1058.81)</f>
        <v>1058.81</v>
      </c>
      <c r="F39" s="44">
        <f>IFERROR(__xludf.DUMMYFUNCTION("""COMPUTED_VALUE"""),722.689)</f>
        <v>722.689</v>
      </c>
      <c r="G39" s="47">
        <f t="shared" si="1"/>
        <v>766.05034</v>
      </c>
      <c r="H39" s="48"/>
    </row>
    <row r="40">
      <c r="A40" s="42" t="str">
        <f>IFERROR(__xludf.DUMMYFUNCTION("""COMPUTED_VALUE"""),"HSIRIS-RD4")</f>
        <v>HSIRIS-RD4</v>
      </c>
      <c r="B40" s="42">
        <f>IFERROR(__xludf.DUMMYFUNCTION("""COMPUTED_VALUE"""),8.10047073888E11)</f>
        <v>810047073888</v>
      </c>
      <c r="C40" s="42" t="str">
        <f>IFERROR(__xludf.DUMMYFUNCTION("""COMPUTED_VALUE"""),"Holosun Technologies, IRIS 4, Quad Function, Rifle Illuminator &amp; Laser/Infrared System with White Light, Red Vis/IR Laser, 45mW IR Illuminator, 1,000 Lumen White Light, Fits Picatinny, Remote Triple Activated Button, Anodized Finish, Black")</f>
        <v>Holosun Technologies, IRIS 4, Quad Function, Rifle Illuminator &amp; Laser/Infrared System with White Light, Red Vis/IR Laser, 45mW IR Illuminator, 1,000 Lumen White Light, Fits Picatinny, Remote Triple Activated Button, Anodized Finish, Black</v>
      </c>
      <c r="D40" s="43">
        <f>IFERROR(__xludf.DUMMYFUNCTION("""COMPUTED_VALUE"""),999.99)</f>
        <v>999.99</v>
      </c>
      <c r="E40" s="43">
        <f>IFERROR(__xludf.DUMMYFUNCTION("""COMPUTED_VALUE"""),1176.46)</f>
        <v>1176.46</v>
      </c>
      <c r="F40" s="44">
        <f>IFERROR(__xludf.DUMMYFUNCTION("""COMPUTED_VALUE"""),802.989)</f>
        <v>802.989</v>
      </c>
      <c r="G40" s="47">
        <f t="shared" si="1"/>
        <v>851.16834</v>
      </c>
      <c r="H40" s="48"/>
    </row>
    <row r="41">
      <c r="A41" s="42" t="str">
        <f>IFERROR(__xludf.DUMMYFUNCTION("""COMPUTED_VALUE"""),"HSLE221-GR-IR")</f>
        <v>HSLE221-GR-IR</v>
      </c>
      <c r="B41" s="42">
        <f>IFERROR(__xludf.DUMMYFUNCTION("""COMPUTED_VALUE"""),6.05930625462E11)</f>
        <v>605930625462</v>
      </c>
      <c r="C41" s="42" t="str">
        <f>IFERROR(__xludf.DUMMYFUNCTION("""COMPUTED_VALUE"""),"Holosun Technologies, LE221, Green Laser w/IR, Fits 1913 Picatinny Rail, Matte Finish, Black, Includes Remote Switch
")</f>
        <v>Holosun Technologies, LE221, Green Laser w/IR, Fits 1913 Picatinny Rail, Matte Finish, Black, Includes Remote Switch
</v>
      </c>
      <c r="D41" s="43">
        <f>IFERROR(__xludf.DUMMYFUNCTION("""COMPUTED_VALUE"""),729.99)</f>
        <v>729.99</v>
      </c>
      <c r="E41" s="43">
        <f>IFERROR(__xludf.DUMMYFUNCTION("""COMPUTED_VALUE"""),858.81)</f>
        <v>858.81</v>
      </c>
      <c r="F41" s="44">
        <f>IFERROR(__xludf.DUMMYFUNCTION("""COMPUTED_VALUE"""),586.179)</f>
        <v>586.179</v>
      </c>
      <c r="G41" s="47">
        <f t="shared" si="1"/>
        <v>621.34974</v>
      </c>
      <c r="H41" s="48"/>
    </row>
    <row r="42">
      <c r="A42" s="42" t="str">
        <f>IFERROR(__xludf.DUMMYFUNCTION("""COMPUTED_VALUE"""),"HSLE420-GR")</f>
        <v>HSLE420-GR</v>
      </c>
      <c r="B42" s="60">
        <f>IFERROR(__xludf.DUMMYFUNCTION("""COMPUTED_VALUE"""),6.05930625486E11)</f>
        <v>605930625486</v>
      </c>
      <c r="C42" s="42" t="str">
        <f>IFERROR(__xludf.DUMMYFUNCTION("""COMPUTED_VALUE"""),"Holosun Technologies, LE420, Green Visible and IR Laser w/IR Illuminator, Fits 1913 Picatinny Rail, Matte Finish, Black, Includes Remote Switch
")</f>
        <v>Holosun Technologies, LE420, Green Visible and IR Laser w/IR Illuminator, Fits 1913 Picatinny Rail, Matte Finish, Black, Includes Remote Switch
</v>
      </c>
      <c r="D42" s="43">
        <f>IFERROR(__xludf.DUMMYFUNCTION("""COMPUTED_VALUE"""),1199.0)</f>
        <v>1199</v>
      </c>
      <c r="E42" s="43">
        <f>IFERROR(__xludf.DUMMYFUNCTION("""COMPUTED_VALUE"""),1411.75)</f>
        <v>1411.75</v>
      </c>
      <c r="F42" s="44">
        <f>IFERROR(__xludf.DUMMYFUNCTION("""COMPUTED_VALUE"""),963.589)</f>
        <v>963.589</v>
      </c>
      <c r="G42" s="47">
        <f t="shared" si="1"/>
        <v>1021.40434</v>
      </c>
      <c r="H42" s="48"/>
    </row>
    <row r="43">
      <c r="A43" s="42" t="str">
        <f>IFERROR(__xludf.DUMMYFUNCTION("""COMPUTED_VALUE"""),"HSP-ID-DUAL")</f>
        <v>HSP-ID-DUAL</v>
      </c>
      <c r="B43" s="42">
        <f>IFERROR(__xludf.DUMMYFUNCTION("""COMPUTED_VALUE"""),8.10047072294E11)</f>
        <v>810047072294</v>
      </c>
      <c r="C43" s="42" t="str">
        <f>IFERROR(__xludf.DUMMYFUNCTION("""COMPUTED_VALUE"""),"Holosun Technologies, Holosun P.ID, Weapon Light Laser Combo, 1000 LumenIR Illuminator, Green Laser, Fits Picatinny or Pistol, Anodized Finish, Black
")</f>
        <v>Holosun Technologies, Holosun P.ID, Weapon Light Laser Combo, 1000 LumenIR Illuminator, Green Laser, Fits Picatinny or Pistol, Anodized Finish, Black
</v>
      </c>
      <c r="D43" s="43">
        <f>IFERROR(__xludf.DUMMYFUNCTION("""COMPUTED_VALUE"""),239.99)</f>
        <v>239.99</v>
      </c>
      <c r="E43" s="43">
        <f>IFERROR(__xludf.DUMMYFUNCTION("""COMPUTED_VALUE"""),282.34)</f>
        <v>282.34</v>
      </c>
      <c r="F43" s="44">
        <f>IFERROR(__xludf.DUMMYFUNCTION("""COMPUTED_VALUE"""),182.149)</f>
        <v>182.149</v>
      </c>
      <c r="G43" s="47">
        <f t="shared" si="1"/>
        <v>193.07794</v>
      </c>
      <c r="H43" s="48"/>
    </row>
    <row r="44">
      <c r="A44" s="42" t="str">
        <f>IFERROR(__xludf.DUMMYFUNCTION("""COMPUTED_VALUE"""),"HSP-ID-PRO")</f>
        <v>HSP-ID-PRO</v>
      </c>
      <c r="B44" s="42">
        <f>IFERROR(__xludf.DUMMYFUNCTION("""COMPUTED_VALUE"""),8.10047073802E11)</f>
        <v>810047073802</v>
      </c>
      <c r="C44" s="42" t="str">
        <f>IFERROR(__xludf.DUMMYFUNCTION("""COMPUTED_VALUE"""),"Holosun Technologies, P.ID-Pro, Weapon Mounted Light/Laser, IR and Visible Green Laser, 350mW IR Illuminator, 1000 Lumen LED, Fits Picatinny or Pistol, Anodized Finish, Black
")</f>
        <v>Holosun Technologies, P.ID-Pro, Weapon Mounted Light/Laser, IR and Visible Green Laser, 350mW IR Illuminator, 1000 Lumen LED, Fits Picatinny or Pistol, Anodized Finish, Black
</v>
      </c>
      <c r="D44" s="43">
        <f>IFERROR(__xludf.DUMMYFUNCTION("""COMPUTED_VALUE"""),349.99)</f>
        <v>349.99</v>
      </c>
      <c r="E44" s="43">
        <f>IFERROR(__xludf.DUMMYFUNCTION("""COMPUTED_VALUE"""),411.75)</f>
        <v>411.75</v>
      </c>
      <c r="F44" s="44">
        <f>IFERROR(__xludf.DUMMYFUNCTION("""COMPUTED_VALUE"""),265.639)</f>
        <v>265.639</v>
      </c>
      <c r="G44" s="47">
        <f t="shared" si="1"/>
        <v>281.57734</v>
      </c>
      <c r="H44" s="48"/>
    </row>
    <row r="45">
      <c r="A45" s="42" t="str">
        <f>IFERROR(__xludf.DUMMYFUNCTION("""COMPUTED_VALUE"""),"HSPTPC-TRMP-MP2-2-3-MC")</f>
        <v>HSPTPC-TRMP-MP2-2-3-MC</v>
      </c>
      <c r="B45" s="60" t="str">
        <f>IFERROR(__xludf.DUMMYFUNCTION("""COMPUTED_VALUE"""),"N/A")</f>
        <v>N/A</v>
      </c>
      <c r="C45" s="42" t="str">
        <f>IFERROR(__xludf.DUMMYFUNCTION("""COMPUTED_VALUE"""),"Thorax, Triple Rifle Mag Placard")</f>
        <v>Thorax, Triple Rifle Mag Placard</v>
      </c>
      <c r="D45" s="43">
        <f>IFERROR(__xludf.DUMMYFUNCTION("""COMPUTED_VALUE"""),95.0)</f>
        <v>95</v>
      </c>
      <c r="E45" s="43">
        <f>IFERROR(__xludf.DUMMYFUNCTION("""COMPUTED_VALUE"""),95.0)</f>
        <v>95</v>
      </c>
      <c r="F45" s="44">
        <f>IFERROR(__xludf.DUMMYFUNCTION("""COMPUTED_VALUE"""),84.90899999999999)</f>
        <v>84.909</v>
      </c>
      <c r="G45" s="47">
        <f t="shared" si="1"/>
        <v>90.00354</v>
      </c>
      <c r="H45" s="48"/>
    </row>
    <row r="46">
      <c r="A46" s="42" t="str">
        <f>IFERROR(__xludf.DUMMYFUNCTION("""COMPUTED_VALUE"""),"HSRONIN-EPS-CARRYGRMRS")</f>
        <v>HSRONIN-EPS-CARRYGRMRS</v>
      </c>
      <c r="B46" s="42">
        <f>IFERROR(__xludf.DUMMYFUNCTION("""COMPUTED_VALUE"""),8.10047073215E11)</f>
        <v>810047073215</v>
      </c>
      <c r="C46" s="42" t="str">
        <f>IFERROR(__xludf.DUMMYFUNCTION("""COMPUTED_VALUE"""),"H-SUN RONIN EPS CARRY GREEN DOT MRS")</f>
        <v>H-SUN RONIN EPS CARRY GREEN DOT MRS</v>
      </c>
      <c r="D46" s="43">
        <f>IFERROR(__xludf.DUMMYFUNCTION("""COMPUTED_VALUE"""),419.99)</f>
        <v>419.99</v>
      </c>
      <c r="E46" s="43">
        <f>IFERROR(__xludf.DUMMYFUNCTION("""COMPUTED_VALUE"""),494.11)</f>
        <v>494.11</v>
      </c>
      <c r="F46" s="44">
        <f>IFERROR(__xludf.DUMMYFUNCTION("""COMPUTED_VALUE"""),364.96900000000005)</f>
        <v>364.969</v>
      </c>
      <c r="G46" s="47">
        <f t="shared" si="1"/>
        <v>386.86714</v>
      </c>
      <c r="H46" s="48"/>
    </row>
    <row r="47">
      <c r="A47" s="42" t="str">
        <f>IFERROR(__xludf.DUMMYFUNCTION("""COMPUTED_VALUE"""),"HSSCRS-RD-2")</f>
        <v>HSSCRS-RD-2</v>
      </c>
      <c r="B47" s="42">
        <f>IFERROR(__xludf.DUMMYFUNCTION("""COMPUTED_VALUE"""),8.10047072904E11)</f>
        <v>810047072904</v>
      </c>
      <c r="C47" s="42" t="str">
        <f>IFERROR(__xludf.DUMMYFUNCTION("""COMPUTED_VALUE"""),"Holosun Technologies, SCRS, Red Dot Sight, Non-Magnified, Fits 509T Footprint, Red 2 MOA Dot, Matte Finish, Black, Solar with 2032 Battery
")</f>
        <v>Holosun Technologies, SCRS, Red Dot Sight, Non-Magnified, Fits 509T Footprint, Red 2 MOA Dot, Matte Finish, Black, Solar with 2032 Battery
</v>
      </c>
      <c r="D47" s="43">
        <f>IFERROR(__xludf.DUMMYFUNCTION("""COMPUTED_VALUE"""),229.99)</f>
        <v>229.99</v>
      </c>
      <c r="E47" s="43">
        <f>IFERROR(__xludf.DUMMYFUNCTION("""COMPUTED_VALUE"""),270.58)</f>
        <v>270.58</v>
      </c>
      <c r="F47" s="44">
        <f>IFERROR(__xludf.DUMMYFUNCTION("""COMPUTED_VALUE"""),184.67899999999997)</f>
        <v>184.679</v>
      </c>
      <c r="G47" s="47">
        <f t="shared" si="1"/>
        <v>195.75974</v>
      </c>
      <c r="H47" s="48"/>
    </row>
    <row r="48">
      <c r="A48" s="42" t="str">
        <f>IFERROR(__xludf.DUMMYFUNCTION("""COMPUTED_VALUE"""),"HSSCRS-RD-MRS")</f>
        <v>HSSCRS-RD-MRS</v>
      </c>
      <c r="B48" s="42">
        <f>IFERROR(__xludf.DUMMYFUNCTION("""COMPUTED_VALUE"""),8.10047072881E11)</f>
        <v>810047072881</v>
      </c>
      <c r="C48" s="42" t="str">
        <f>IFERROR(__xludf.DUMMYFUNCTION("""COMPUTED_VALUE"""),"Holosun Technologies, SCRS, Red Dot Sight, Non-Magnified, Fits 509T Footprint, Red Ring &amp; 2 MOA Dot, Matte Finish, Black, Solar with 2032 Battery
")</f>
        <v>Holosun Technologies, SCRS, Red Dot Sight, Non-Magnified, Fits 509T Footprint, Red Ring &amp; 2 MOA Dot, Matte Finish, Black, Solar with 2032 Battery
</v>
      </c>
      <c r="D48" s="43">
        <f>IFERROR(__xludf.DUMMYFUNCTION("""COMPUTED_VALUE"""),269.99)</f>
        <v>269.99</v>
      </c>
      <c r="E48" s="43">
        <f>IFERROR(__xludf.DUMMYFUNCTION("""COMPUTED_VALUE"""),317.64)</f>
        <v>317.64</v>
      </c>
      <c r="F48" s="44">
        <f>IFERROR(__xludf.DUMMYFUNCTION("""COMPUTED_VALUE"""),216.799)</f>
        <v>216.799</v>
      </c>
      <c r="G48" s="47">
        <f t="shared" si="1"/>
        <v>229.80694</v>
      </c>
      <c r="H48" s="48"/>
    </row>
    <row r="49">
      <c r="A49" s="42" t="str">
        <f>IFERROR(__xludf.DUMMYFUNCTION("""COMPUTED_VALUE"""),"MGASC223-5RD-SS")</f>
        <v>MGASC223-5RD-SS</v>
      </c>
      <c r="B49" s="42">
        <f>IFERROR(__xludf.DUMMYFUNCTION("""COMPUTED_VALUE"""),8.18805011707E11)</f>
        <v>818805011707</v>
      </c>
      <c r="C49" s="42" t="str">
        <f>IFERROR(__xludf.DUMMYFUNCTION("""COMPUTED_VALUE"""),"Ammunition Storage Components, Magazine, 223 Rem, Fits AR-15, 5Rd, Stainless, Black, Orange Follower
")</f>
        <v>Ammunition Storage Components, Magazine, 223 Rem, Fits AR-15, 5Rd, Stainless, Black, Orange Follower
</v>
      </c>
      <c r="D49" s="43">
        <f>IFERROR(__xludf.DUMMYFUNCTION("""COMPUTED_VALUE"""),17.99)</f>
        <v>17.99</v>
      </c>
      <c r="E49" s="43">
        <f>IFERROR(__xludf.DUMMYFUNCTION("""COMPUTED_VALUE"""),19.99)</f>
        <v>19.99</v>
      </c>
      <c r="F49" s="44">
        <f>IFERROR(__xludf.DUMMYFUNCTION("""COMPUTED_VALUE"""),15.158)</f>
        <v>15.158</v>
      </c>
      <c r="G49" s="47">
        <f t="shared" si="1"/>
        <v>16.06748</v>
      </c>
      <c r="H49" s="48"/>
    </row>
    <row r="50">
      <c r="A50" s="42" t="str">
        <f>IFERROR(__xludf.DUMMYFUNCTION("""COMPUTED_VALUE"""),"MGASC223-5RD-SS-B")</f>
        <v>MGASC223-5RD-SS-B</v>
      </c>
      <c r="B50" s="42">
        <f>IFERROR(__xludf.DUMMYFUNCTION("""COMPUTED_VALUE"""),8.18805010014E11)</f>
        <v>818805010014</v>
      </c>
      <c r="C50" s="42" t="str">
        <f>IFERROR(__xludf.DUMMYFUNCTION("""COMPUTED_VALUE"""),"Ammunition Storage Components, Ammunition Storage Components, Magazine, 223 Remington/556NATO, 5 Rounds, Fits AR Rifles, Stainless, Black Follower, Black
")</f>
        <v>Ammunition Storage Components, Ammunition Storage Components, Magazine, 223 Remington/556NATO, 5 Rounds, Fits AR Rifles, Stainless, Black Follower, Black
</v>
      </c>
      <c r="D50" s="43">
        <f>IFERROR(__xludf.DUMMYFUNCTION("""COMPUTED_VALUE"""),17.99)</f>
        <v>17.99</v>
      </c>
      <c r="E50" s="43">
        <f>IFERROR(__xludf.DUMMYFUNCTION("""COMPUTED_VALUE"""),19.99)</f>
        <v>19.99</v>
      </c>
      <c r="F50" s="44">
        <f>IFERROR(__xludf.DUMMYFUNCTION("""COMPUTED_VALUE"""),15.158)</f>
        <v>15.158</v>
      </c>
      <c r="G50" s="47">
        <f t="shared" ref="G50:G343" si="2">IFERROR(IF(F50="","", (F50*0.06)+F50), "")</f>
        <v>16.06748</v>
      </c>
      <c r="H50" s="48"/>
    </row>
    <row r="51">
      <c r="A51" s="42" t="str">
        <f>IFERROR(__xludf.DUMMYFUNCTION("""COMPUTED_VALUE"""),"MGMPI1013BLK")</f>
        <v>MGMPI1013BLK</v>
      </c>
      <c r="B51" s="42">
        <f>IFERROR(__xludf.DUMMYFUNCTION("""COMPUTED_VALUE"""),8.40815122531E11)</f>
        <v>840815122531</v>
      </c>
      <c r="C51" s="42" t="str">
        <f>IFERROR(__xludf.DUMMYFUNCTION("""COMPUTED_VALUE"""),"MAGPUL PMAG FOR CZ SCORPION 35RD BLK
")</f>
        <v>MAGPUL PMAG FOR CZ SCORPION 35RD BLK
</v>
      </c>
      <c r="D51" s="43">
        <f>IFERROR(__xludf.DUMMYFUNCTION("""COMPUTED_VALUE"""),18.95)</f>
        <v>18.95</v>
      </c>
      <c r="E51" s="43">
        <f>IFERROR(__xludf.DUMMYFUNCTION("""COMPUTED_VALUE"""),19.95)</f>
        <v>19.95</v>
      </c>
      <c r="F51" s="44">
        <f>IFERROR(__xludf.DUMMYFUNCTION("""COMPUTED_VALUE"""),15.4)</f>
        <v>15.4</v>
      </c>
      <c r="G51" s="47">
        <f t="shared" si="2"/>
        <v>16.324</v>
      </c>
      <c r="H51" s="48"/>
    </row>
    <row r="52">
      <c r="A52" s="42" t="str">
        <f>IFERROR(__xludf.DUMMYFUNCTION("""COMPUTED_VALUE"""),"MGMPI1182BLK")</f>
        <v>MGMPI1182BLK</v>
      </c>
      <c r="B52" s="42">
        <f>IFERROR(__xludf.DUMMYFUNCTION("""COMPUTED_VALUE"""),8.40815132233E11)</f>
        <v>840815132233</v>
      </c>
      <c r="C52" s="42" t="str">
        <f>IFERROR(__xludf.DUMMYFUNCTION("""COMPUTED_VALUE"""),"MAGPUL PMAG 20 AR 300 B GEN M3 BLK")</f>
        <v>MAGPUL PMAG 20 AR 300 B GEN M3 BLK</v>
      </c>
      <c r="D52" s="43">
        <f>IFERROR(__xludf.DUMMYFUNCTION("""COMPUTED_VALUE"""),15.15)</f>
        <v>15.15</v>
      </c>
      <c r="E52" s="43">
        <f>IFERROR(__xludf.DUMMYFUNCTION("""COMPUTED_VALUE"""),15.95)</f>
        <v>15.95</v>
      </c>
      <c r="F52" s="44">
        <f>IFERROR(__xludf.DUMMYFUNCTION("""COMPUTED_VALUE"""),11.814)</f>
        <v>11.814</v>
      </c>
      <c r="G52" s="47">
        <f t="shared" si="2"/>
        <v>12.52284</v>
      </c>
      <c r="H52" s="48"/>
    </row>
    <row r="53">
      <c r="A53" s="50" t="str">
        <f>IFERROR(__xludf.DUMMYFUNCTION("""COMPUTED_VALUE"""),"MGMPI233BLK")</f>
        <v>MGMPI233BLK</v>
      </c>
      <c r="B53" s="50">
        <f>IFERROR(__xludf.DUMMYFUNCTION("""COMPUTED_VALUE"""),8.73750009698E11)</f>
        <v>873750009698</v>
      </c>
      <c r="C53" s="50" t="str">
        <f>IFERROR(__xludf.DUMMYFUNCTION("""COMPUTED_VALUE"""),"MAGPUL PMAG M3 5.56 40RD BLK")</f>
        <v>MAGPUL PMAG M3 5.56 40RD BLK</v>
      </c>
      <c r="D53" s="43">
        <f>IFERROR(__xludf.DUMMYFUNCTION("""COMPUTED_VALUE"""),21.8)</f>
        <v>21.8</v>
      </c>
      <c r="E53" s="43">
        <f>IFERROR(__xludf.DUMMYFUNCTION("""COMPUTED_VALUE"""),22.95)</f>
        <v>22.95</v>
      </c>
      <c r="F53" s="47">
        <f>IFERROR(__xludf.DUMMYFUNCTION("""COMPUTED_VALUE"""),17.017)</f>
        <v>17.017</v>
      </c>
      <c r="G53" s="47">
        <f t="shared" si="2"/>
        <v>18.03802</v>
      </c>
      <c r="H53" s="48"/>
    </row>
    <row r="54">
      <c r="A54" s="50" t="str">
        <f>IFERROR(__xludf.DUMMYFUNCTION("""COMPUTED_VALUE"""),"MGMPI559BLK")</f>
        <v>MGMPI559BLK</v>
      </c>
      <c r="B54" s="50">
        <f>IFERROR(__xludf.DUMMYFUNCTION("""COMPUTED_VALUE"""),8.73750006192E11)</f>
        <v>873750006192</v>
      </c>
      <c r="C54" s="50" t="str">
        <f>IFERROR(__xludf.DUMMYFUNCTION("""COMPUTED_VALUE"""),"Magpul Industries, Magazine, PMAG 10 AR4 GEN M3, 223 Remington/556NATO, 10 Round, Fits AR Rifles, Black
")</f>
        <v>Magpul Industries, Magazine, PMAG 10 AR4 GEN M3, 223 Remington/556NATO, 10 Round, Fits AR Rifles, Black
</v>
      </c>
      <c r="D54" s="43">
        <f>IFERROR(__xludf.DUMMYFUNCTION("""COMPUTED_VALUE"""),14.2)</f>
        <v>14.2</v>
      </c>
      <c r="E54" s="43">
        <f>IFERROR(__xludf.DUMMYFUNCTION("""COMPUTED_VALUE"""),14.95)</f>
        <v>14.95</v>
      </c>
      <c r="F54" s="47">
        <f>IFERROR(__xludf.DUMMYFUNCTION("""COMPUTED_VALUE"""),11.088000000000001)</f>
        <v>11.088</v>
      </c>
      <c r="G54" s="47">
        <f t="shared" si="2"/>
        <v>11.75328</v>
      </c>
      <c r="H54" s="48"/>
    </row>
    <row r="55">
      <c r="A55" s="50" t="str">
        <f>IFERROR(__xludf.DUMMYFUNCTION("""COMPUTED_VALUE"""),"MGMPI576BLK")</f>
        <v>MGMPI576BLK</v>
      </c>
      <c r="B55" s="50">
        <f>IFERROR(__xludf.DUMMYFUNCTION("""COMPUTED_VALUE"""),8.4081510056E11)</f>
        <v>840815100560</v>
      </c>
      <c r="C55" s="50" t="str">
        <f>IFERROR(__xludf.DUMMYFUNCTION("""COMPUTED_VALUE"""),"MAGPUL PMAG D-60 5.56 60RD BLK")</f>
        <v>MAGPUL PMAG D-60 5.56 60RD BLK</v>
      </c>
      <c r="D55" s="43">
        <f>IFERROR(__xludf.DUMMYFUNCTION("""COMPUTED_VALUE"""),128.2)</f>
        <v>128.2</v>
      </c>
      <c r="E55" s="43">
        <f>IFERROR(__xludf.DUMMYFUNCTION("""COMPUTED_VALUE"""),134.95)</f>
        <v>134.95</v>
      </c>
      <c r="F55" s="47">
        <f>IFERROR(__xludf.DUMMYFUNCTION("""COMPUTED_VALUE"""),100.012)</f>
        <v>100.012</v>
      </c>
      <c r="G55" s="47">
        <f t="shared" si="2"/>
        <v>106.01272</v>
      </c>
      <c r="H55" s="48"/>
    </row>
    <row r="56">
      <c r="A56" s="50" t="str">
        <f>IFERROR(__xludf.DUMMYFUNCTION("""COMPUTED_VALUE"""),"MGMPI662BLK")</f>
        <v>MGMPI662BLK</v>
      </c>
      <c r="B56" s="50">
        <f>IFERROR(__xludf.DUMMYFUNCTION("""COMPUTED_VALUE"""),8.40815109716E11)</f>
        <v>840815109716</v>
      </c>
      <c r="C56" s="50" t="str">
        <f>IFERROR(__xludf.DUMMYFUNCTION("""COMPUTED_VALUE"""),"MAGPUL PMAG FOR GLOCK 17 27RD BLK")</f>
        <v>MAGPUL PMAG FOR GLOCK 17 27RD BLK</v>
      </c>
      <c r="D56" s="43">
        <f>IFERROR(__xludf.DUMMYFUNCTION("""COMPUTED_VALUE"""),18.95)</f>
        <v>18.95</v>
      </c>
      <c r="E56" s="43">
        <f>IFERROR(__xludf.DUMMYFUNCTION("""COMPUTED_VALUE"""),19.95)</f>
        <v>19.95</v>
      </c>
      <c r="F56" s="47">
        <f>IFERROR(__xludf.DUMMYFUNCTION("""COMPUTED_VALUE"""),14.783999999999999)</f>
        <v>14.784</v>
      </c>
      <c r="G56" s="47">
        <f t="shared" si="2"/>
        <v>15.67104</v>
      </c>
      <c r="H56" s="48"/>
    </row>
    <row r="57">
      <c r="A57" s="50" t="str">
        <f>IFERROR(__xludf.DUMMYFUNCTION("""COMPUTED_VALUE"""),"MGMPI800BLK")</f>
        <v>MGMPI800BLK</v>
      </c>
      <c r="B57" s="50">
        <f>IFERROR(__xludf.DUMMYFUNCTION("""COMPUTED_VALUE"""),8.40815117223E11)</f>
        <v>840815117223</v>
      </c>
      <c r="C57" s="50" t="str">
        <f>IFERROR(__xludf.DUMMYFUNCTION("""COMPUTED_VALUE"""),"MAGPUL PMAG M3 300BLK 30RD BLK")</f>
        <v>MAGPUL PMAG M3 300BLK 30RD BLK</v>
      </c>
      <c r="D57" s="43">
        <f>IFERROR(__xludf.DUMMYFUNCTION("""COMPUTED_VALUE"""),15.15)</f>
        <v>15.15</v>
      </c>
      <c r="E57" s="43">
        <f>IFERROR(__xludf.DUMMYFUNCTION("""COMPUTED_VALUE"""),15.95)</f>
        <v>15.95</v>
      </c>
      <c r="F57" s="47">
        <f>IFERROR(__xludf.DUMMYFUNCTION("""COMPUTED_VALUE"""),11.341000000000001)</f>
        <v>11.341</v>
      </c>
      <c r="G57" s="47">
        <f t="shared" si="2"/>
        <v>12.02146</v>
      </c>
      <c r="H57" s="48"/>
    </row>
    <row r="58">
      <c r="A58" s="50" t="str">
        <f>IFERROR(__xludf.DUMMYFUNCTION("""COMPUTED_VALUE"""),"MGRUG90428")</f>
        <v>MGRUG90428</v>
      </c>
      <c r="B58" s="50">
        <f>IFERROR(__xludf.DUMMYFUNCTION("""COMPUTED_VALUE"""),7.3667690428E11)</f>
        <v>736676904280</v>
      </c>
      <c r="C58" s="50" t="str">
        <f>IFERROR(__xludf.DUMMYFUNCTION("""COMPUTED_VALUE"""),"Ruger, Magazine, 556NATO, 5 Rounds, Fits SR-556, Steel, Blued Finish
")</f>
        <v>Ruger, Magazine, 556NATO, 5 Rounds, Fits SR-556, Steel, Blued Finish
</v>
      </c>
      <c r="D58" s="43" t="str">
        <f>IFERROR(__xludf.DUMMYFUNCTION("""COMPUTED_VALUE"""),"N/A")</f>
        <v>N/A</v>
      </c>
      <c r="E58" s="43">
        <f>IFERROR(__xludf.DUMMYFUNCTION("""COMPUTED_VALUE"""),26.95)</f>
        <v>26.95</v>
      </c>
      <c r="F58" s="47">
        <f>IFERROR(__xludf.DUMMYFUNCTION("""COMPUTED_VALUE"""),17.512)</f>
        <v>17.512</v>
      </c>
      <c r="G58" s="47">
        <f t="shared" si="2"/>
        <v>18.56272</v>
      </c>
      <c r="H58" s="48"/>
    </row>
    <row r="59">
      <c r="A59" s="50" t="str">
        <f>IFERROR(__xludf.DUMMYFUNCTION("""COMPUTED_VALUE"""),"MPIMAG514-COY")</f>
        <v>MPIMAG514-COY</v>
      </c>
      <c r="B59" s="50">
        <f>IFERROR(__xludf.DUMMYFUNCTION("""COMPUTED_VALUE"""),8.73750010687E11)</f>
        <v>873750010687</v>
      </c>
      <c r="C59" s="50" t="str">
        <f>IFERROR(__xludf.DUMMYFUNCTION("""COMPUTED_VALUE"""),"Magpul Industries, MS3 Sling, Gen 2, Coyote Brown")</f>
        <v>Magpul Industries, MS3 Sling, Gen 2, Coyote Brown</v>
      </c>
      <c r="D59" s="43">
        <f>IFERROR(__xludf.DUMMYFUNCTION("""COMPUTED_VALUE"""),47.45)</f>
        <v>47.45</v>
      </c>
      <c r="E59" s="43">
        <f>IFERROR(__xludf.DUMMYFUNCTION("""COMPUTED_VALUE"""),49.95)</f>
        <v>49.95</v>
      </c>
      <c r="F59" s="47">
        <f>IFERROR(__xludf.DUMMYFUNCTION("""COMPUTED_VALUE"""),40.348)</f>
        <v>40.348</v>
      </c>
      <c r="G59" s="47">
        <f t="shared" si="2"/>
        <v>42.76888</v>
      </c>
      <c r="H59" s="48"/>
    </row>
    <row r="60">
      <c r="A60" s="50" t="str">
        <f>IFERROR(__xludf.DUMMYFUNCTION("""COMPUTED_VALUE"""),"MXM-48036")</f>
        <v>MXM-48036</v>
      </c>
      <c r="B60" s="50">
        <f>IFERROR(__xludf.DUMMYFUNCTION("""COMPUTED_VALUE"""),6.80017480363E11)</f>
        <v>680017480363</v>
      </c>
      <c r="C60" s="50" t="str">
        <f>IFERROR(__xludf.DUMMYFUNCTION("""COMPUTED_VALUE"""),"Maxim Defense Industries, Picatinny Rail Stock, PDW Style, Anodized Finish, Black, Fits Picatinny")</f>
        <v>Maxim Defense Industries, Picatinny Rail Stock, PDW Style, Anodized Finish, Black, Fits Picatinny</v>
      </c>
      <c r="D60" s="43" t="str">
        <f>IFERROR(__xludf.DUMMYFUNCTION("""COMPUTED_VALUE"""),"N/A")</f>
        <v>N/A</v>
      </c>
      <c r="E60" s="43">
        <f>IFERROR(__xludf.DUMMYFUNCTION("""COMPUTED_VALUE"""),349.95)</f>
        <v>349.95</v>
      </c>
      <c r="F60" s="47">
        <f>IFERROR(__xludf.DUMMYFUNCTION("""COMPUTED_VALUE"""),296.40599999999995)</f>
        <v>296.406</v>
      </c>
      <c r="G60" s="47">
        <f t="shared" si="2"/>
        <v>314.19036</v>
      </c>
      <c r="H60" s="48"/>
    </row>
    <row r="61">
      <c r="A61" s="50" t="str">
        <f>IFERROR(__xludf.DUMMYFUNCTION("""COMPUTED_VALUE"""),"SFDS-SR07")</f>
        <v>SFDS-SR07</v>
      </c>
      <c r="B61" s="50">
        <f>IFERROR(__xludf.DUMMYFUNCTION("""COMPUTED_VALUE"""),8.4871323864E10)</f>
        <v>84871323864</v>
      </c>
      <c r="C61" s="50" t="str">
        <f>IFERROR(__xludf.DUMMYFUNCTION("""COMPUTED_VALUE"""),"Surefire, Remote Switch, Scoutlight, Dual Sw/Tail Cap Assy For M6XX Scoutlight Series, Includes SR07 Rail Tape Switch, Black
")</f>
        <v>Surefire, Remote Switch, Scoutlight, Dual Sw/Tail Cap Assy For M6XX Scoutlight Series, Includes SR07 Rail Tape Switch, Black
</v>
      </c>
      <c r="D61" s="43">
        <f>IFERROR(__xludf.DUMMYFUNCTION("""COMPUTED_VALUE"""),189.0)</f>
        <v>189</v>
      </c>
      <c r="E61" s="43">
        <f>IFERROR(__xludf.DUMMYFUNCTION("""COMPUTED_VALUE"""),210.0)</f>
        <v>210</v>
      </c>
      <c r="F61" s="47">
        <f>IFERROR(__xludf.DUMMYFUNCTION("""COMPUTED_VALUE"""),145.53)</f>
        <v>145.53</v>
      </c>
      <c r="G61" s="47">
        <f t="shared" si="2"/>
        <v>154.2618</v>
      </c>
      <c r="H61" s="48"/>
    </row>
    <row r="62">
      <c r="A62" s="50" t="str">
        <f>IFERROR(__xludf.DUMMYFUNCTION("""COMPUTED_VALUE"""),"SFDS00-TN")</f>
        <v>SFDS00-TN</v>
      </c>
      <c r="B62" s="50">
        <f>IFERROR(__xludf.DUMMYFUNCTION("""COMPUTED_VALUE"""),8.4871327558E10)</f>
        <v>84871327558</v>
      </c>
      <c r="C62" s="50" t="str">
        <f>IFERROR(__xludf.DUMMYFUNCTION("""COMPUTED_VALUE"""),"Surefire, DS00, Waterproof Switch Assembly For Scout Light (Not Compatible with Micro Scout Light Pro), Pressure Pad Not Included, Tan
")</f>
        <v>Surefire, DS00, Waterproof Switch Assembly For Scout Light (Not Compatible with Micro Scout Light Pro), Pressure Pad Not Included, Tan
</v>
      </c>
      <c r="D62" s="43">
        <f>IFERROR(__xludf.DUMMYFUNCTION("""COMPUTED_VALUE"""),131.0)</f>
        <v>131</v>
      </c>
      <c r="E62" s="43">
        <f>IFERROR(__xludf.DUMMYFUNCTION("""COMPUTED_VALUE"""),145.0)</f>
        <v>145</v>
      </c>
      <c r="F62" s="47">
        <f>IFERROR(__xludf.DUMMYFUNCTION("""COMPUTED_VALUE"""),100.87)</f>
        <v>100.87</v>
      </c>
      <c r="G62" s="47">
        <f t="shared" si="2"/>
        <v>106.9222</v>
      </c>
      <c r="H62" s="48"/>
    </row>
    <row r="63">
      <c r="A63" s="50" t="str">
        <f>IFERROR(__xludf.DUMMYFUNCTION("""COMPUTED_VALUE"""),"SFDS07")</f>
        <v>SFDS07</v>
      </c>
      <c r="B63" s="50">
        <f>IFERROR(__xludf.DUMMYFUNCTION("""COMPUTED_VALUE"""),8.4871323857E10)</f>
        <v>84871323857</v>
      </c>
      <c r="C63" s="50" t="str">
        <f>IFERROR(__xludf.DUMMYFUNCTION("""COMPUTED_VALUE"""),"Surefire, Part, Scoutlight, Includes A Click On/Off Pushbutton Switch And ST07 Switch Assembly With 7"" Plug-In Momentary-On Remote Tape Switch, Black
")</f>
        <v>Surefire, Part, Scoutlight, Includes A Click On/Off Pushbutton Switch And ST07 Switch Assembly With 7" Plug-In Momentary-On Remote Tape Switch, Black
</v>
      </c>
      <c r="D63" s="43">
        <f>IFERROR(__xludf.DUMMYFUNCTION("""COMPUTED_VALUE"""),185.0)</f>
        <v>185</v>
      </c>
      <c r="E63" s="43">
        <f>IFERROR(__xludf.DUMMYFUNCTION("""COMPUTED_VALUE"""),205.0)</f>
        <v>205</v>
      </c>
      <c r="F63" s="47">
        <f>IFERROR(__xludf.DUMMYFUNCTION("""COMPUTED_VALUE"""),142.45)</f>
        <v>142.45</v>
      </c>
      <c r="G63" s="47">
        <f t="shared" si="2"/>
        <v>150.997</v>
      </c>
      <c r="H63" s="48"/>
    </row>
    <row r="64">
      <c r="A64" s="50" t="str">
        <f>IFERROR(__xludf.DUMMYFUNCTION("""COMPUTED_VALUE"""),"SFDS07-TN")</f>
        <v>SFDS07-TN</v>
      </c>
      <c r="B64" s="50">
        <f>IFERROR(__xludf.DUMMYFUNCTION("""COMPUTED_VALUE"""),8.4871327565E10)</f>
        <v>84871327565</v>
      </c>
      <c r="C64" s="50" t="str">
        <f>IFERROR(__xludf.DUMMYFUNCTION("""COMPUTED_VALUE"""),"Surefire, DS07, Waterproof Switch Assembly For Scout Light, 7"" Tape Switch Included, Tan
")</f>
        <v>Surefire, DS07, Waterproof Switch Assembly For Scout Light, 7" Tape Switch Included, Tan
</v>
      </c>
      <c r="D64" s="43">
        <f>IFERROR(__xludf.DUMMYFUNCTION("""COMPUTED_VALUE"""),185.0)</f>
        <v>185</v>
      </c>
      <c r="E64" s="43">
        <f>IFERROR(__xludf.DUMMYFUNCTION("""COMPUTED_VALUE"""),205.0)</f>
        <v>205</v>
      </c>
      <c r="F64" s="47">
        <f>IFERROR(__xludf.DUMMYFUNCTION("""COMPUTED_VALUE"""),142.45)</f>
        <v>142.45</v>
      </c>
      <c r="G64" s="47">
        <f t="shared" si="2"/>
        <v>150.997</v>
      </c>
      <c r="H64" s="48"/>
    </row>
    <row r="65">
      <c r="A65" s="50" t="str">
        <f>IFERROR(__xludf.DUMMYFUNCTION("""COMPUTED_VALUE"""),"SFM340C-BK-PRO")</f>
        <v>SFM340C-BK-PRO</v>
      </c>
      <c r="B65" s="50">
        <f>IFERROR(__xludf.DUMMYFUNCTION("""COMPUTED_VALUE"""),8.4871329224E10)</f>
        <v>84871329224</v>
      </c>
      <c r="C65" s="50" t="str">
        <f>IFERROR(__xludf.DUMMYFUNCTION("""COMPUTED_VALUE"""),"SUREFIRE M340C SCOUT PRO 500 LUM BLK")</f>
        <v>SUREFIRE M340C SCOUT PRO 500 LUM BLK</v>
      </c>
      <c r="D65" s="43">
        <f>IFERROR(__xludf.DUMMYFUNCTION("""COMPUTED_VALUE"""),332.0)</f>
        <v>332</v>
      </c>
      <c r="E65" s="43">
        <f>IFERROR(__xludf.DUMMYFUNCTION("""COMPUTED_VALUE"""),369.0)</f>
        <v>369</v>
      </c>
      <c r="F65" s="47">
        <f>IFERROR(__xludf.DUMMYFUNCTION("""COMPUTED_VALUE"""),255.64000000000001)</f>
        <v>255.64</v>
      </c>
      <c r="G65" s="47">
        <f t="shared" si="2"/>
        <v>270.9784</v>
      </c>
      <c r="H65" s="48"/>
    </row>
    <row r="66">
      <c r="A66" s="64" t="str">
        <f>IFERROR(__xludf.DUMMYFUNCTION("""COMPUTED_VALUE"""),"SFM340C-TN-PRO")</f>
        <v>SFM340C-TN-PRO</v>
      </c>
      <c r="B66" s="50">
        <f>IFERROR(__xludf.DUMMYFUNCTION("""COMPUTED_VALUE"""),8.4871329231E10)</f>
        <v>84871329231</v>
      </c>
      <c r="C66" s="50" t="str">
        <f>IFERROR(__xludf.DUMMYFUNCTION("""COMPUTED_VALUE"""),"SUREFIRE M340C SCOUT PRO 500 LUM TAN")</f>
        <v>SUREFIRE M340C SCOUT PRO 500 LUM TAN</v>
      </c>
      <c r="D66" s="43">
        <f>IFERROR(__xludf.DUMMYFUNCTION("""COMPUTED_VALUE"""),332.0)</f>
        <v>332</v>
      </c>
      <c r="E66" s="43">
        <f>IFERROR(__xludf.DUMMYFUNCTION("""COMPUTED_VALUE"""),369.0)</f>
        <v>369</v>
      </c>
      <c r="F66" s="47">
        <f>IFERROR(__xludf.DUMMYFUNCTION("""COMPUTED_VALUE"""),255.64000000000001)</f>
        <v>255.64</v>
      </c>
      <c r="G66" s="47">
        <f t="shared" si="2"/>
        <v>270.9784</v>
      </c>
      <c r="H66" s="48"/>
    </row>
    <row r="67">
      <c r="A67" s="50" t="str">
        <f>IFERROR(__xludf.DUMMYFUNCTION("""COMPUTED_VALUE"""),"SFM340DFT-BK-PRO")</f>
        <v>SFM340DFT-BK-PRO</v>
      </c>
      <c r="B67" s="50">
        <f>IFERROR(__xludf.DUMMYFUNCTION("""COMPUTED_VALUE"""),8.4871331555E10)</f>
        <v>84871331555</v>
      </c>
      <c r="C67" s="50" t="str">
        <f>IFERROR(__xludf.DUMMYFUNCTION("""COMPUTED_VALUE"""),"SUREFIRE SCOUT LIGHT TURBO 18350/123")</f>
        <v>SUREFIRE SCOUT LIGHT TURBO 18350/123</v>
      </c>
      <c r="D67" s="43">
        <f>IFERROR(__xludf.DUMMYFUNCTION("""COMPUTED_VALUE"""),368.0)</f>
        <v>368</v>
      </c>
      <c r="E67" s="43">
        <f>IFERROR(__xludf.DUMMYFUNCTION("""COMPUTED_VALUE"""),409.0)</f>
        <v>409</v>
      </c>
      <c r="F67" s="47">
        <f>IFERROR(__xludf.DUMMYFUNCTION("""COMPUTED_VALUE"""),283.36)</f>
        <v>283.36</v>
      </c>
      <c r="G67" s="47">
        <f t="shared" si="2"/>
        <v>300.3616</v>
      </c>
      <c r="H67" s="48"/>
    </row>
    <row r="68">
      <c r="A68" s="50" t="str">
        <f>IFERROR(__xludf.DUMMYFUNCTION("""COMPUTED_VALUE"""),"SFM340DFT-TN-PRO")</f>
        <v>SFM340DFT-TN-PRO</v>
      </c>
      <c r="B68" s="50">
        <f>IFERROR(__xludf.DUMMYFUNCTION("""COMPUTED_VALUE"""),8.4871331562E10)</f>
        <v>84871331562</v>
      </c>
      <c r="C68" s="50" t="str">
        <f>IFERROR(__xludf.DUMMYFUNCTION("""COMPUTED_VALUE"""),"SUREFIRE SCOUT LIGHT TURBO 18350 TAN")</f>
        <v>SUREFIRE SCOUT LIGHT TURBO 18350 TAN</v>
      </c>
      <c r="D68" s="43">
        <f>IFERROR(__xludf.DUMMYFUNCTION("""COMPUTED_VALUE"""),395.0)</f>
        <v>395</v>
      </c>
      <c r="E68" s="43">
        <f>IFERROR(__xludf.DUMMYFUNCTION("""COMPUTED_VALUE"""),439.0)</f>
        <v>439</v>
      </c>
      <c r="F68" s="47">
        <f>IFERROR(__xludf.DUMMYFUNCTION("""COMPUTED_VALUE"""),304.15)</f>
        <v>304.15</v>
      </c>
      <c r="G68" s="47">
        <f t="shared" si="2"/>
        <v>322.399</v>
      </c>
      <c r="H68" s="48"/>
    </row>
    <row r="69">
      <c r="A69" s="50" t="str">
        <f>IFERROR(__xludf.DUMMYFUNCTION("""COMPUTED_VALUE"""),"SFM340V-BK-PRO")</f>
        <v>SFM340V-BK-PRO</v>
      </c>
      <c r="B69" s="50">
        <f>IFERROR(__xludf.DUMMYFUNCTION("""COMPUTED_VALUE"""),8.4871329248E10)</f>
        <v>84871329248</v>
      </c>
      <c r="C69" s="50" t="str">
        <f>IFERROR(__xludf.DUMMYFUNCTION("""COMPUTED_VALUE"""),"SUREFIRE M340V SCOUT PRO VAMPIRE BLK")</f>
        <v>SUREFIRE M340V SCOUT PRO VAMPIRE BLK</v>
      </c>
      <c r="D69" s="43">
        <f>IFERROR(__xludf.DUMMYFUNCTION("""COMPUTED_VALUE"""),449.0)</f>
        <v>449</v>
      </c>
      <c r="E69" s="43">
        <f>IFERROR(__xludf.DUMMYFUNCTION("""COMPUTED_VALUE"""),499.0)</f>
        <v>499</v>
      </c>
      <c r="F69" s="47">
        <f>IFERROR(__xludf.DUMMYFUNCTION("""COMPUTED_VALUE"""),395.12)</f>
        <v>395.12</v>
      </c>
      <c r="G69" s="47">
        <f t="shared" si="2"/>
        <v>418.8272</v>
      </c>
      <c r="H69" s="48"/>
    </row>
    <row r="70">
      <c r="A70" s="50" t="str">
        <f>IFERROR(__xludf.DUMMYFUNCTION("""COMPUTED_VALUE"""),"SFM340V-TN-PRO")</f>
        <v>SFM340V-TN-PRO</v>
      </c>
      <c r="B70" s="50">
        <f>IFERROR(__xludf.DUMMYFUNCTION("""COMPUTED_VALUE"""),8.4871329255E10)</f>
        <v>84871329255</v>
      </c>
      <c r="C70" s="50" t="str">
        <f>IFERROR(__xludf.DUMMYFUNCTION("""COMPUTED_VALUE"""),"SUREFIRE M340V SCOUT PRO VAMPIRE TAN")</f>
        <v>SUREFIRE M340V SCOUT PRO VAMPIRE TAN</v>
      </c>
      <c r="D70" s="43">
        <f>IFERROR(__xludf.DUMMYFUNCTION("""COMPUTED_VALUE"""),449.0)</f>
        <v>449</v>
      </c>
      <c r="E70" s="43">
        <f>IFERROR(__xludf.DUMMYFUNCTION("""COMPUTED_VALUE"""),499.0)</f>
        <v>499</v>
      </c>
      <c r="F70" s="47">
        <f>IFERROR(__xludf.DUMMYFUNCTION("""COMPUTED_VALUE"""),395.12)</f>
        <v>395.12</v>
      </c>
      <c r="G70" s="47">
        <f t="shared" si="2"/>
        <v>418.8272</v>
      </c>
      <c r="H70" s="48"/>
    </row>
    <row r="71">
      <c r="A71" s="50" t="str">
        <f>IFERROR(__xludf.DUMMYFUNCTION("""COMPUTED_VALUE"""),"SFM640DF-BK-PRO")</f>
        <v>SFM640DF-BK-PRO</v>
      </c>
      <c r="B71" s="50">
        <f>IFERROR(__xludf.DUMMYFUNCTION("""COMPUTED_VALUE"""),8.4871329262E10)</f>
        <v>84871329262</v>
      </c>
      <c r="C71" s="50" t="str">
        <f>IFERROR(__xludf.DUMMYFUNCTION("""COMPUTED_VALUE"""),"SUREFIRE M640DF SCOUT PRO 1500LM BK")</f>
        <v>SUREFIRE M640DF SCOUT PRO 1500LM BK</v>
      </c>
      <c r="D71" s="43">
        <f>IFERROR(__xludf.DUMMYFUNCTION("""COMPUTED_VALUE"""),332.0)</f>
        <v>332</v>
      </c>
      <c r="E71" s="43">
        <f>IFERROR(__xludf.DUMMYFUNCTION("""COMPUTED_VALUE"""),369.0)</f>
        <v>369</v>
      </c>
      <c r="F71" s="47">
        <f>IFERROR(__xludf.DUMMYFUNCTION("""COMPUTED_VALUE"""),255.64000000000001)</f>
        <v>255.64</v>
      </c>
      <c r="G71" s="47">
        <f t="shared" si="2"/>
        <v>270.9784</v>
      </c>
      <c r="H71" s="48"/>
    </row>
    <row r="72">
      <c r="A72" s="50" t="str">
        <f>IFERROR(__xludf.DUMMYFUNCTION("""COMPUTED_VALUE"""),"SFM640DF-TN-PRO")</f>
        <v>SFM640DF-TN-PRO</v>
      </c>
      <c r="B72" s="50">
        <f>IFERROR(__xludf.DUMMYFUNCTION("""COMPUTED_VALUE"""),8.4871329279E10)</f>
        <v>84871329279</v>
      </c>
      <c r="C72" s="50" t="str">
        <f>IFERROR(__xludf.DUMMYFUNCTION("""COMPUTED_VALUE""")," SUREFIRE M640DF SCOUT PRO 1500LM TN")</f>
        <v> SUREFIRE M640DF SCOUT PRO 1500LM TN</v>
      </c>
      <c r="D72" s="43">
        <f>IFERROR(__xludf.DUMMYFUNCTION("""COMPUTED_VALUE"""),359.0)</f>
        <v>359</v>
      </c>
      <c r="E72" s="43">
        <f>IFERROR(__xludf.DUMMYFUNCTION("""COMPUTED_VALUE"""),399.0)</f>
        <v>399</v>
      </c>
      <c r="F72" s="47">
        <f>IFERROR(__xludf.DUMMYFUNCTION("""COMPUTED_VALUE"""),276.43)</f>
        <v>276.43</v>
      </c>
      <c r="G72" s="47">
        <f t="shared" si="2"/>
        <v>293.0158</v>
      </c>
      <c r="H72" s="48"/>
    </row>
    <row r="73">
      <c r="A73" s="50" t="str">
        <f>IFERROR(__xludf.DUMMYFUNCTION("""COMPUTED_VALUE"""),"SFM640DFT-BK-PRO")</f>
        <v>SFM640DFT-BK-PRO</v>
      </c>
      <c r="B73" s="50">
        <f>IFERROR(__xludf.DUMMYFUNCTION("""COMPUTED_VALUE"""),8.4871331579E10)</f>
        <v>84871331579</v>
      </c>
      <c r="C73" s="50" t="str">
        <f>IFERROR(__xludf.DUMMYFUNCTION("""COMPUTED_VALUE"""),"SUREFIRE SCOUT LIGHT TURBO 18650/123")</f>
        <v>SUREFIRE SCOUT LIGHT TURBO 18650/123</v>
      </c>
      <c r="D73" s="43">
        <f>IFERROR(__xludf.DUMMYFUNCTION("""COMPUTED_VALUE"""),368.0)</f>
        <v>368</v>
      </c>
      <c r="E73" s="43">
        <f>IFERROR(__xludf.DUMMYFUNCTION("""COMPUTED_VALUE"""),409.0)</f>
        <v>409</v>
      </c>
      <c r="F73" s="47">
        <f>IFERROR(__xludf.DUMMYFUNCTION("""COMPUTED_VALUE"""),283.36)</f>
        <v>283.36</v>
      </c>
      <c r="G73" s="47">
        <f t="shared" si="2"/>
        <v>300.3616</v>
      </c>
      <c r="H73" s="48"/>
    </row>
    <row r="74">
      <c r="A74" s="50" t="str">
        <f>IFERROR(__xludf.DUMMYFUNCTION("""COMPUTED_VALUE"""),"SFM640DFT-TN-PRO")</f>
        <v>SFM640DFT-TN-PRO</v>
      </c>
      <c r="B74" s="50">
        <f>IFERROR(__xludf.DUMMYFUNCTION("""COMPUTED_VALUE"""),8.4871331586E10)</f>
        <v>84871331586</v>
      </c>
      <c r="C74" s="50" t="str">
        <f>IFERROR(__xludf.DUMMYFUNCTION("""COMPUTED_VALUE"""),"SUREFIRE SCOUT LIGHT TURBO 18650 TAN")</f>
        <v>SUREFIRE SCOUT LIGHT TURBO 18650 TAN</v>
      </c>
      <c r="D74" s="43">
        <f>IFERROR(__xludf.DUMMYFUNCTION("""COMPUTED_VALUE"""),395.0)</f>
        <v>395</v>
      </c>
      <c r="E74" s="43">
        <f>IFERROR(__xludf.DUMMYFUNCTION("""COMPUTED_VALUE"""),439.0)</f>
        <v>439</v>
      </c>
      <c r="F74" s="47">
        <f>IFERROR(__xludf.DUMMYFUNCTION("""COMPUTED_VALUE"""),304.15)</f>
        <v>304.15</v>
      </c>
      <c r="G74" s="47">
        <f t="shared" si="2"/>
        <v>322.399</v>
      </c>
      <c r="H74" s="48"/>
    </row>
    <row r="75">
      <c r="A75" s="50" t="str">
        <f>IFERROR(__xludf.DUMMYFUNCTION("""COMPUTED_VALUE"""),"SFM640U-BK-PRO")</f>
        <v>SFM640U-BK-PRO</v>
      </c>
      <c r="B75" s="50">
        <f>IFERROR(__xludf.DUMMYFUNCTION("""COMPUTED_VALUE"""),8.4871329286E10)</f>
        <v>84871329286</v>
      </c>
      <c r="C75" s="50" t="str">
        <f>IFERROR(__xludf.DUMMYFUNCTION("""COMPUTED_VALUE"""),"SUREFIRE M640U SCOUT PRO 1000LUM BK")</f>
        <v>SUREFIRE M640U SCOUT PRO 1000LUM BK</v>
      </c>
      <c r="D75" s="43">
        <f>IFERROR(__xludf.DUMMYFUNCTION("""COMPUTED_VALUE"""),332.0)</f>
        <v>332</v>
      </c>
      <c r="E75" s="43">
        <f>IFERROR(__xludf.DUMMYFUNCTION("""COMPUTED_VALUE"""),369.0)</f>
        <v>369</v>
      </c>
      <c r="F75" s="47">
        <f>IFERROR(__xludf.DUMMYFUNCTION("""COMPUTED_VALUE"""),255.64000000000001)</f>
        <v>255.64</v>
      </c>
      <c r="G75" s="47">
        <f t="shared" si="2"/>
        <v>270.9784</v>
      </c>
      <c r="H75" s="48"/>
    </row>
    <row r="76">
      <c r="A76" s="50" t="str">
        <f>IFERROR(__xludf.DUMMYFUNCTION("""COMPUTED_VALUE"""),"SFM640U-TN-PRO")</f>
        <v>SFM640U-TN-PRO</v>
      </c>
      <c r="B76" s="50">
        <f>IFERROR(__xludf.DUMMYFUNCTION("""COMPUTED_VALUE"""),8.4871329293E10)</f>
        <v>84871329293</v>
      </c>
      <c r="C76" s="50" t="str">
        <f>IFERROR(__xludf.DUMMYFUNCTION("""COMPUTED_VALUE"""),"SUREFIRE M640U SCOUT PRO 1000LUM TN")</f>
        <v>SUREFIRE M640U SCOUT PRO 1000LUM TN</v>
      </c>
      <c r="D76" s="43">
        <f>IFERROR(__xludf.DUMMYFUNCTION("""COMPUTED_VALUE"""),332.0)</f>
        <v>332</v>
      </c>
      <c r="E76" s="43">
        <f>IFERROR(__xludf.DUMMYFUNCTION("""COMPUTED_VALUE"""),369.0)</f>
        <v>369</v>
      </c>
      <c r="F76" s="47">
        <f>IFERROR(__xludf.DUMMYFUNCTION("""COMPUTED_VALUE"""),255.64000000000001)</f>
        <v>255.64</v>
      </c>
      <c r="G76" s="47">
        <f t="shared" si="2"/>
        <v>270.9784</v>
      </c>
      <c r="H76" s="48"/>
    </row>
    <row r="77">
      <c r="A77" s="50" t="str">
        <f>IFERROR(__xludf.DUMMYFUNCTION("""COMPUTED_VALUE"""),"SFM640V-BK-PRO")</f>
        <v>SFM640V-BK-PRO</v>
      </c>
      <c r="B77" s="50">
        <f>IFERROR(__xludf.DUMMYFUNCTION("""COMPUTED_VALUE"""),8.4871329309E10)</f>
        <v>84871329309</v>
      </c>
      <c r="C77" s="50" t="str">
        <f>IFERROR(__xludf.DUMMYFUNCTION("""COMPUTED_VALUE"""),"SUREFIRE M640V SCOUT PRO VAMPIRE BK")</f>
        <v>SUREFIRE M640V SCOUT PRO VAMPIRE BK</v>
      </c>
      <c r="D77" s="43">
        <f>IFERROR(__xludf.DUMMYFUNCTION("""COMPUTED_VALUE"""),449.0)</f>
        <v>449</v>
      </c>
      <c r="E77" s="43">
        <f>IFERROR(__xludf.DUMMYFUNCTION("""COMPUTED_VALUE"""),499.0)</f>
        <v>499</v>
      </c>
      <c r="F77" s="47">
        <f>IFERROR(__xludf.DUMMYFUNCTION("""COMPUTED_VALUE"""),395.12)</f>
        <v>395.12</v>
      </c>
      <c r="G77" s="47">
        <f t="shared" si="2"/>
        <v>418.8272</v>
      </c>
      <c r="H77" s="48"/>
    </row>
    <row r="78">
      <c r="A78" s="50" t="str">
        <f>IFERROR(__xludf.DUMMYFUNCTION("""COMPUTED_VALUE"""),"SFM640V-TN-PRO")</f>
        <v>SFM640V-TN-PRO</v>
      </c>
      <c r="B78" s="50">
        <f>IFERROR(__xludf.DUMMYFUNCTION("""COMPUTED_VALUE"""),8.4871329316E10)</f>
        <v>84871329316</v>
      </c>
      <c r="C78" s="50" t="str">
        <f>IFERROR(__xludf.DUMMYFUNCTION("""COMPUTED_VALUE"""),"SUREFIRE M640V SCOUT PRO VAMPIRE TN")</f>
        <v>SUREFIRE M640V SCOUT PRO VAMPIRE TN</v>
      </c>
      <c r="D78" s="43">
        <f>IFERROR(__xludf.DUMMYFUNCTION("""COMPUTED_VALUE"""),449.0)</f>
        <v>449</v>
      </c>
      <c r="E78" s="43">
        <f>IFERROR(__xludf.DUMMYFUNCTION("""COMPUTED_VALUE"""),499.0)</f>
        <v>499</v>
      </c>
      <c r="F78" s="47">
        <f>IFERROR(__xludf.DUMMYFUNCTION("""COMPUTED_VALUE"""),395.12)</f>
        <v>395.12</v>
      </c>
      <c r="G78" s="47">
        <f t="shared" si="2"/>
        <v>418.8272</v>
      </c>
      <c r="H78" s="48"/>
    </row>
    <row r="79">
      <c r="A79" s="50" t="str">
        <f>IFERROR(__xludf.DUMMYFUNCTION("""COMPUTED_VALUE"""),"SFXC3-A")</f>
        <v>SFXC3-A</v>
      </c>
      <c r="B79" s="50">
        <f>IFERROR(__xludf.DUMMYFUNCTION("""COMPUTED_VALUE"""),8.4871333962E10)</f>
        <v>84871333962</v>
      </c>
      <c r="C79" s="50" t="str">
        <f>IFERROR(__xludf.DUMMYFUNCTION("""COMPUTED_VALUE"""),"Surefire, XC3-A, Weapon Light, Fits Universal and Picatinny Accessory Rails, 550 Lumens, Aluminum Construction, Anodized Finish, Black")</f>
        <v>Surefire, XC3-A, Weapon Light, Fits Universal and Picatinny Accessory Rails, 550 Lumens, Aluminum Construction, Anodized Finish, Black</v>
      </c>
      <c r="D79" s="43">
        <f>IFERROR(__xludf.DUMMYFUNCTION("""COMPUTED_VALUE"""),269.0)</f>
        <v>269</v>
      </c>
      <c r="E79" s="43">
        <f>IFERROR(__xludf.DUMMYFUNCTION("""COMPUTED_VALUE"""),299.0)</f>
        <v>299</v>
      </c>
      <c r="F79" s="47">
        <f>IFERROR(__xludf.DUMMYFUNCTION("""COMPUTED_VALUE"""),207.13000000000002)</f>
        <v>207.13</v>
      </c>
      <c r="G79" s="47">
        <f t="shared" si="2"/>
        <v>219.5578</v>
      </c>
      <c r="H79" s="48"/>
    </row>
    <row r="80">
      <c r="A80" s="50" t="str">
        <f>IFERROR(__xludf.DUMMYFUNCTION("""COMPUTED_VALUE"""),"SFZ68")</f>
        <v>SFZ68</v>
      </c>
      <c r="B80" s="50">
        <f>IFERROR(__xludf.DUMMYFUNCTION("""COMPUTED_VALUE"""),8.4871890687E10)</f>
        <v>84871890687</v>
      </c>
      <c r="C80" s="50" t="str">
        <f>IFERROR(__xludf.DUMMYFUNCTION("""COMPUTED_VALUE"""),"Surefire, Z68 TailCap, Fits Scout Light Weapon Lights, Protective Rear Cap Assembly, Black
")</f>
        <v>Surefire, Z68 TailCap, Fits Scout Light Weapon Lights, Protective Rear Cap Assembly, Black
</v>
      </c>
      <c r="D80" s="43">
        <f>IFERROR(__xludf.DUMMYFUNCTION("""COMPUTED_VALUE"""),35.0)</f>
        <v>35</v>
      </c>
      <c r="E80" s="43">
        <f>IFERROR(__xludf.DUMMYFUNCTION("""COMPUTED_VALUE"""),39.0)</f>
        <v>39</v>
      </c>
      <c r="F80" s="47">
        <f>IFERROR(__xludf.DUMMYFUNCTION("""COMPUTED_VALUE"""),26.95)</f>
        <v>26.95</v>
      </c>
      <c r="G80" s="47">
        <f t="shared" si="2"/>
        <v>28.567</v>
      </c>
      <c r="H80" s="48"/>
    </row>
    <row r="81">
      <c r="A81" s="50" t="str">
        <f>IFERROR(__xludf.DUMMYFUNCTION("""COMPUTED_VALUE"""),"SGSOTM11002")</f>
        <v>SGSOTM11002</v>
      </c>
      <c r="B81" s="50">
        <f>IFERROR(__xludf.DUMMYFUNCTION("""COMPUTED_VALUE"""),7.98681668045E11)</f>
        <v>798681668045</v>
      </c>
      <c r="C81" s="50" t="str">
        <f>IFERROR(__xludf.DUMMYFUNCTION("""COMPUTED_VALUE"""),"Sig Tango MSR 1-10X26 FFP MSR-BDC 10")</f>
        <v>Sig Tango MSR 1-10X26 FFP MSR-BDC 10</v>
      </c>
      <c r="D81" s="43">
        <f>IFERROR(__xludf.DUMMYFUNCTION("""COMPUTED_VALUE"""),549.99)</f>
        <v>549.99</v>
      </c>
      <c r="E81" s="43">
        <f>IFERROR(__xludf.DUMMYFUNCTION("""COMPUTED_VALUE"""),599.99)</f>
        <v>599.99</v>
      </c>
      <c r="F81" s="47">
        <f>IFERROR(__xludf.DUMMYFUNCTION("""COMPUTED_VALUE"""),446.611)</f>
        <v>446.611</v>
      </c>
      <c r="G81" s="47">
        <f t="shared" si="2"/>
        <v>473.40766</v>
      </c>
      <c r="H81" s="48"/>
    </row>
    <row r="82">
      <c r="A82" s="50" t="str">
        <f>IFERROR(__xludf.DUMMYFUNCTION("""COMPUTED_VALUE"""),"STL69400")</f>
        <v>STL69400</v>
      </c>
      <c r="B82" s="50">
        <f>IFERROR(__xludf.DUMMYFUNCTION("""COMPUTED_VALUE"""),8.0926694002E10)</f>
        <v>80926694002</v>
      </c>
      <c r="C82" s="50" t="str">
        <f>IFERROR(__xludf.DUMMYFUNCTION("""COMPUTED_VALUE"""),"Streamlight, TLR-7X Sub Weaponlight, 500 Lumens, Black, Fits Glock 43X/48
")</f>
        <v>Streamlight, TLR-7X Sub Weaponlight, 500 Lumens, Black, Fits Glock 43X/48
</v>
      </c>
      <c r="D82" s="43" t="str">
        <f>IFERROR(__xludf.DUMMYFUNCTION("""COMPUTED_VALUE"""),"N/A")</f>
        <v>N/A</v>
      </c>
      <c r="E82" s="43">
        <f>IFERROR(__xludf.DUMMYFUNCTION("""COMPUTED_VALUE"""),253.66)</f>
        <v>253.66</v>
      </c>
      <c r="F82" s="47">
        <f>IFERROR(__xludf.DUMMYFUNCTION("""COMPUTED_VALUE"""),148.5)</f>
        <v>148.5</v>
      </c>
      <c r="G82" s="47">
        <f t="shared" si="2"/>
        <v>157.41</v>
      </c>
      <c r="H82" s="48"/>
    </row>
    <row r="83">
      <c r="A83" s="50" t="str">
        <f>IFERROR(__xludf.DUMMYFUNCTION("""COMPUTED_VALUE"""),"UTYAXNS-SI7B")</f>
        <v>UTYAXNS-SI7B</v>
      </c>
      <c r="B83" s="50">
        <f>IFERROR(__xludf.DUMMYFUNCTION("""COMPUTED_VALUE"""),8.10007881317E11)</f>
        <v>810007881317</v>
      </c>
      <c r="C83" s="50" t="str">
        <f>IFERROR(__xludf.DUMMYFUNCTION("""COMPUTED_VALUE"""),"AXON SYNC 7""")</f>
        <v>AXON SYNC 7"</v>
      </c>
      <c r="D83" s="43">
        <f>IFERROR(__xludf.DUMMYFUNCTION("""COMPUTED_VALUE"""),159.0)</f>
        <v>159</v>
      </c>
      <c r="E83" s="43">
        <f>IFERROR(__xludf.DUMMYFUNCTION("""COMPUTED_VALUE"""),175.0)</f>
        <v>175</v>
      </c>
      <c r="F83" s="47">
        <f>IFERROR(__xludf.DUMMYFUNCTION("""COMPUTED_VALUE"""),149.281)</f>
        <v>149.281</v>
      </c>
      <c r="G83" s="47">
        <f t="shared" si="2"/>
        <v>158.23786</v>
      </c>
      <c r="H83" s="48"/>
    </row>
    <row r="84">
      <c r="A84" s="50" t="str">
        <f>IFERROR(__xludf.DUMMYFUNCTION("""COMPUTED_VALUE"""),"UTYSPK-IV1")</f>
        <v>UTYSPK-IV1</v>
      </c>
      <c r="B84" s="50">
        <f>IFERROR(__xludf.DUMMYFUNCTION("""COMPUTED_VALUE"""),8.10007880341E11)</f>
        <v>810007880341</v>
      </c>
      <c r="C84" s="50" t="str">
        <f>IFERROR(__xludf.DUMMYFUNCTION("""COMPUTED_VALUE"""),"Unity Spark Light IR")</f>
        <v>Unity Spark Light IR</v>
      </c>
      <c r="D84" s="43">
        <f>IFERROR(__xludf.DUMMYFUNCTION("""COMPUTED_VALUE"""),16.0)</f>
        <v>16</v>
      </c>
      <c r="E84" s="43">
        <f>IFERROR(__xludf.DUMMYFUNCTION("""COMPUTED_VALUE"""),18.0)</f>
        <v>18</v>
      </c>
      <c r="F84" s="47">
        <f>IFERROR(__xludf.DUMMYFUNCTION("""COMPUTED_VALUE"""),16.0)</f>
        <v>16</v>
      </c>
      <c r="G84" s="47">
        <f t="shared" si="2"/>
        <v>16.96</v>
      </c>
      <c r="H84" s="48"/>
    </row>
    <row r="85">
      <c r="A85" s="50"/>
      <c r="B85" s="50"/>
      <c r="C85" s="50"/>
      <c r="D85" s="43"/>
      <c r="E85" s="43"/>
      <c r="F85" s="47" t="str">
        <f>IFERROR(__xludf.DUMMYFUNCTION("""COMPUTED_VALUE"""),"")</f>
        <v/>
      </c>
      <c r="G85" s="47" t="str">
        <f t="shared" si="2"/>
        <v/>
      </c>
      <c r="H85" s="48"/>
    </row>
    <row r="86">
      <c r="A86" s="50"/>
      <c r="B86" s="50"/>
      <c r="C86" s="50"/>
      <c r="D86" s="43"/>
      <c r="E86" s="43"/>
      <c r="F86" s="47" t="str">
        <f>IFERROR(__xludf.DUMMYFUNCTION("""COMPUTED_VALUE"""),"")</f>
        <v/>
      </c>
      <c r="G86" s="47" t="str">
        <f t="shared" si="2"/>
        <v/>
      </c>
      <c r="H86" s="48"/>
    </row>
    <row r="87">
      <c r="A87" s="50"/>
      <c r="B87" s="50"/>
      <c r="C87" s="50"/>
      <c r="D87" s="43"/>
      <c r="E87" s="43"/>
      <c r="F87" s="47" t="str">
        <f>IFERROR(__xludf.DUMMYFUNCTION("""COMPUTED_VALUE"""),"")</f>
        <v/>
      </c>
      <c r="G87" s="47" t="str">
        <f t="shared" si="2"/>
        <v/>
      </c>
      <c r="H87" s="48"/>
    </row>
    <row r="88">
      <c r="A88" s="50"/>
      <c r="B88" s="50"/>
      <c r="C88" s="50"/>
      <c r="D88" s="43"/>
      <c r="E88" s="43"/>
      <c r="F88" s="47" t="str">
        <f>IFERROR(__xludf.DUMMYFUNCTION("""COMPUTED_VALUE"""),"")</f>
        <v/>
      </c>
      <c r="G88" s="47" t="str">
        <f t="shared" si="2"/>
        <v/>
      </c>
      <c r="H88" s="48"/>
    </row>
    <row r="89">
      <c r="A89" s="50"/>
      <c r="B89" s="50"/>
      <c r="C89" s="50"/>
      <c r="D89" s="43"/>
      <c r="E89" s="43"/>
      <c r="F89" s="47" t="str">
        <f>IFERROR(__xludf.DUMMYFUNCTION("""COMPUTED_VALUE"""),"")</f>
        <v/>
      </c>
      <c r="G89" s="47" t="str">
        <f t="shared" si="2"/>
        <v/>
      </c>
      <c r="H89" s="48"/>
    </row>
    <row r="90">
      <c r="A90" s="50"/>
      <c r="B90" s="50"/>
      <c r="C90" s="50"/>
      <c r="D90" s="43"/>
      <c r="E90" s="43"/>
      <c r="F90" s="47" t="str">
        <f>IFERROR(__xludf.DUMMYFUNCTION("""COMPUTED_VALUE"""),"")</f>
        <v/>
      </c>
      <c r="G90" s="47" t="str">
        <f t="shared" si="2"/>
        <v/>
      </c>
      <c r="H90" s="48"/>
    </row>
    <row r="91">
      <c r="A91" s="50"/>
      <c r="B91" s="50"/>
      <c r="C91" s="50"/>
      <c r="D91" s="43"/>
      <c r="E91" s="43"/>
      <c r="F91" s="47" t="str">
        <f>IFERROR(__xludf.DUMMYFUNCTION("""COMPUTED_VALUE"""),"")</f>
        <v/>
      </c>
      <c r="G91" s="47" t="str">
        <f t="shared" si="2"/>
        <v/>
      </c>
      <c r="H91" s="48"/>
    </row>
    <row r="92">
      <c r="A92" s="50"/>
      <c r="B92" s="50"/>
      <c r="C92" s="50"/>
      <c r="D92" s="43"/>
      <c r="E92" s="43"/>
      <c r="F92" s="47" t="str">
        <f>IFERROR(__xludf.DUMMYFUNCTION("""COMPUTED_VALUE"""),"")</f>
        <v/>
      </c>
      <c r="G92" s="47" t="str">
        <f t="shared" si="2"/>
        <v/>
      </c>
      <c r="H92" s="48"/>
    </row>
    <row r="93">
      <c r="A93" s="50"/>
      <c r="B93" s="50"/>
      <c r="C93" s="50"/>
      <c r="D93" s="43"/>
      <c r="E93" s="43"/>
      <c r="F93" s="47" t="str">
        <f>IFERROR(__xludf.DUMMYFUNCTION("""COMPUTED_VALUE"""),"")</f>
        <v/>
      </c>
      <c r="G93" s="47" t="str">
        <f t="shared" si="2"/>
        <v/>
      </c>
      <c r="H93" s="48"/>
    </row>
    <row r="94">
      <c r="A94" s="50"/>
      <c r="B94" s="50"/>
      <c r="C94" s="50"/>
      <c r="D94" s="43"/>
      <c r="E94" s="43"/>
      <c r="F94" s="47" t="str">
        <f>IFERROR(__xludf.DUMMYFUNCTION("""COMPUTED_VALUE"""),"")</f>
        <v/>
      </c>
      <c r="G94" s="47" t="str">
        <f t="shared" si="2"/>
        <v/>
      </c>
      <c r="H94" s="48"/>
    </row>
    <row r="95">
      <c r="A95" s="50"/>
      <c r="B95" s="50"/>
      <c r="C95" s="50"/>
      <c r="D95" s="43"/>
      <c r="E95" s="43"/>
      <c r="F95" s="47" t="str">
        <f>IFERROR(__xludf.DUMMYFUNCTION("""COMPUTED_VALUE"""),"")</f>
        <v/>
      </c>
      <c r="G95" s="47" t="str">
        <f t="shared" si="2"/>
        <v/>
      </c>
      <c r="H95" s="48"/>
    </row>
    <row r="96">
      <c r="A96" s="50"/>
      <c r="B96" s="50"/>
      <c r="C96" s="50"/>
      <c r="D96" s="43"/>
      <c r="E96" s="43"/>
      <c r="F96" s="47" t="str">
        <f>IFERROR(__xludf.DUMMYFUNCTION("""COMPUTED_VALUE"""),"")</f>
        <v/>
      </c>
      <c r="G96" s="47" t="str">
        <f t="shared" si="2"/>
        <v/>
      </c>
      <c r="H96" s="48"/>
    </row>
    <row r="97">
      <c r="A97" s="50"/>
      <c r="B97" s="50"/>
      <c r="C97" s="50"/>
      <c r="D97" s="43"/>
      <c r="E97" s="43"/>
      <c r="F97" s="47" t="str">
        <f>IFERROR(__xludf.DUMMYFUNCTION("""COMPUTED_VALUE"""),"")</f>
        <v/>
      </c>
      <c r="G97" s="47" t="str">
        <f t="shared" si="2"/>
        <v/>
      </c>
      <c r="H97" s="48"/>
    </row>
    <row r="98">
      <c r="A98" s="50"/>
      <c r="B98" s="50"/>
      <c r="C98" s="50"/>
      <c r="D98" s="43"/>
      <c r="E98" s="43"/>
      <c r="F98" s="47" t="str">
        <f>IFERROR(__xludf.DUMMYFUNCTION("""COMPUTED_VALUE"""),"")</f>
        <v/>
      </c>
      <c r="G98" s="47" t="str">
        <f t="shared" si="2"/>
        <v/>
      </c>
      <c r="H98" s="48"/>
    </row>
    <row r="99">
      <c r="A99" s="50"/>
      <c r="B99" s="50"/>
      <c r="C99" s="50"/>
      <c r="D99" s="43"/>
      <c r="E99" s="43"/>
      <c r="F99" s="47" t="str">
        <f>IFERROR(__xludf.DUMMYFUNCTION("""COMPUTED_VALUE"""),"")</f>
        <v/>
      </c>
      <c r="G99" s="47" t="str">
        <f t="shared" si="2"/>
        <v/>
      </c>
      <c r="H99" s="48"/>
    </row>
    <row r="100">
      <c r="A100" s="50"/>
      <c r="B100" s="50"/>
      <c r="C100" s="50"/>
      <c r="D100" s="43"/>
      <c r="E100" s="43"/>
      <c r="F100" s="47" t="str">
        <f>IFERROR(__xludf.DUMMYFUNCTION("""COMPUTED_VALUE"""),"")</f>
        <v/>
      </c>
      <c r="G100" s="47" t="str">
        <f t="shared" si="2"/>
        <v/>
      </c>
      <c r="H100" s="48"/>
    </row>
    <row r="101">
      <c r="A101" s="50"/>
      <c r="B101" s="50"/>
      <c r="C101" s="50"/>
      <c r="D101" s="43"/>
      <c r="E101" s="43"/>
      <c r="F101" s="47" t="str">
        <f>IFERROR(__xludf.DUMMYFUNCTION("""COMPUTED_VALUE"""),"")</f>
        <v/>
      </c>
      <c r="G101" s="47" t="str">
        <f t="shared" si="2"/>
        <v/>
      </c>
      <c r="H101" s="48"/>
    </row>
    <row r="102">
      <c r="A102" s="50"/>
      <c r="B102" s="50"/>
      <c r="C102" s="50"/>
      <c r="D102" s="43"/>
      <c r="E102" s="43"/>
      <c r="F102" s="47" t="str">
        <f>IFERROR(__xludf.DUMMYFUNCTION("""COMPUTED_VALUE"""),"")</f>
        <v/>
      </c>
      <c r="G102" s="47" t="str">
        <f t="shared" si="2"/>
        <v/>
      </c>
      <c r="H102" s="48"/>
    </row>
    <row r="103">
      <c r="A103" s="50"/>
      <c r="B103" s="50"/>
      <c r="C103" s="50"/>
      <c r="D103" s="43"/>
      <c r="E103" s="43"/>
      <c r="F103" s="47" t="str">
        <f>IFERROR(__xludf.DUMMYFUNCTION("""COMPUTED_VALUE"""),"")</f>
        <v/>
      </c>
      <c r="G103" s="47" t="str">
        <f t="shared" si="2"/>
        <v/>
      </c>
      <c r="H103" s="48"/>
    </row>
    <row r="104">
      <c r="A104" s="50"/>
      <c r="B104" s="50"/>
      <c r="C104" s="50"/>
      <c r="D104" s="43"/>
      <c r="E104" s="43"/>
      <c r="F104" s="47" t="str">
        <f>IFERROR(__xludf.DUMMYFUNCTION("""COMPUTED_VALUE"""),"")</f>
        <v/>
      </c>
      <c r="G104" s="47" t="str">
        <f t="shared" si="2"/>
        <v/>
      </c>
      <c r="H104" s="48"/>
    </row>
    <row r="105">
      <c r="A105" s="50"/>
      <c r="B105" s="50"/>
      <c r="C105" s="50"/>
      <c r="D105" s="43"/>
      <c r="E105" s="43"/>
      <c r="F105" s="47" t="str">
        <f>IFERROR(__xludf.DUMMYFUNCTION("""COMPUTED_VALUE"""),"")</f>
        <v/>
      </c>
      <c r="G105" s="47" t="str">
        <f t="shared" si="2"/>
        <v/>
      </c>
      <c r="H105" s="48"/>
    </row>
    <row r="106">
      <c r="A106" s="50"/>
      <c r="B106" s="50"/>
      <c r="C106" s="50"/>
      <c r="D106" s="43"/>
      <c r="E106" s="43"/>
      <c r="F106" s="47" t="str">
        <f>IFERROR(__xludf.DUMMYFUNCTION("""COMPUTED_VALUE"""),"")</f>
        <v/>
      </c>
      <c r="G106" s="47" t="str">
        <f t="shared" si="2"/>
        <v/>
      </c>
      <c r="H106" s="48"/>
    </row>
    <row r="107">
      <c r="A107" s="50"/>
      <c r="B107" s="50"/>
      <c r="C107" s="50"/>
      <c r="D107" s="43"/>
      <c r="E107" s="43"/>
      <c r="F107" s="47" t="str">
        <f>IFERROR(__xludf.DUMMYFUNCTION("""COMPUTED_VALUE"""),"")</f>
        <v/>
      </c>
      <c r="G107" s="47" t="str">
        <f t="shared" si="2"/>
        <v/>
      </c>
      <c r="H107" s="48"/>
    </row>
    <row r="108">
      <c r="A108" s="50"/>
      <c r="B108" s="50"/>
      <c r="C108" s="50"/>
      <c r="D108" s="43"/>
      <c r="E108" s="43"/>
      <c r="F108" s="47" t="str">
        <f>IFERROR(__xludf.DUMMYFUNCTION("""COMPUTED_VALUE"""),"")</f>
        <v/>
      </c>
      <c r="G108" s="47" t="str">
        <f t="shared" si="2"/>
        <v/>
      </c>
      <c r="H108" s="48"/>
    </row>
    <row r="109">
      <c r="A109" s="50"/>
      <c r="B109" s="50"/>
      <c r="C109" s="50"/>
      <c r="D109" s="43"/>
      <c r="E109" s="43"/>
      <c r="F109" s="47" t="str">
        <f>IFERROR(__xludf.DUMMYFUNCTION("""COMPUTED_VALUE"""),"")</f>
        <v/>
      </c>
      <c r="G109" s="47" t="str">
        <f t="shared" si="2"/>
        <v/>
      </c>
      <c r="H109" s="48"/>
    </row>
    <row r="110">
      <c r="A110" s="50"/>
      <c r="B110" s="50"/>
      <c r="C110" s="50"/>
      <c r="D110" s="43"/>
      <c r="E110" s="43"/>
      <c r="F110" s="47" t="str">
        <f>IFERROR(__xludf.DUMMYFUNCTION("""COMPUTED_VALUE"""),"")</f>
        <v/>
      </c>
      <c r="G110" s="47" t="str">
        <f t="shared" si="2"/>
        <v/>
      </c>
      <c r="H110" s="48"/>
    </row>
    <row r="111">
      <c r="A111" s="50"/>
      <c r="B111" s="50"/>
      <c r="C111" s="50"/>
      <c r="D111" s="43"/>
      <c r="E111" s="43"/>
      <c r="F111" s="47" t="str">
        <f>IFERROR(__xludf.DUMMYFUNCTION("""COMPUTED_VALUE"""),"")</f>
        <v/>
      </c>
      <c r="G111" s="47" t="str">
        <f t="shared" si="2"/>
        <v/>
      </c>
      <c r="H111" s="48"/>
    </row>
    <row r="112">
      <c r="A112" s="50"/>
      <c r="B112" s="50"/>
      <c r="C112" s="50"/>
      <c r="D112" s="43"/>
      <c r="E112" s="43"/>
      <c r="F112" s="47" t="str">
        <f>IFERROR(__xludf.DUMMYFUNCTION("""COMPUTED_VALUE"""),"")</f>
        <v/>
      </c>
      <c r="G112" s="47" t="str">
        <f t="shared" si="2"/>
        <v/>
      </c>
      <c r="H112" s="48"/>
    </row>
    <row r="113">
      <c r="A113" s="50"/>
      <c r="B113" s="50"/>
      <c r="C113" s="50"/>
      <c r="D113" s="43"/>
      <c r="E113" s="43"/>
      <c r="F113" s="47" t="str">
        <f>IFERROR(__xludf.DUMMYFUNCTION("""COMPUTED_VALUE"""),"")</f>
        <v/>
      </c>
      <c r="G113" s="47" t="str">
        <f t="shared" si="2"/>
        <v/>
      </c>
      <c r="H113" s="48"/>
    </row>
    <row r="114">
      <c r="A114" s="50"/>
      <c r="B114" s="50"/>
      <c r="C114" s="50"/>
      <c r="D114" s="43"/>
      <c r="E114" s="43"/>
      <c r="F114" s="47" t="str">
        <f>IFERROR(__xludf.DUMMYFUNCTION("""COMPUTED_VALUE"""),"")</f>
        <v/>
      </c>
      <c r="G114" s="47" t="str">
        <f t="shared" si="2"/>
        <v/>
      </c>
      <c r="H114" s="48"/>
    </row>
    <row r="115">
      <c r="A115" s="50"/>
      <c r="B115" s="50"/>
      <c r="C115" s="50"/>
      <c r="D115" s="43"/>
      <c r="E115" s="43"/>
      <c r="F115" s="47" t="str">
        <f>IFERROR(__xludf.DUMMYFUNCTION("""COMPUTED_VALUE"""),"")</f>
        <v/>
      </c>
      <c r="G115" s="47" t="str">
        <f t="shared" si="2"/>
        <v/>
      </c>
      <c r="H115" s="48"/>
    </row>
    <row r="116">
      <c r="A116" s="50"/>
      <c r="B116" s="50"/>
      <c r="C116" s="50"/>
      <c r="D116" s="43"/>
      <c r="E116" s="43"/>
      <c r="F116" s="47" t="str">
        <f>IFERROR(__xludf.DUMMYFUNCTION("""COMPUTED_VALUE"""),"")</f>
        <v/>
      </c>
      <c r="G116" s="47" t="str">
        <f t="shared" si="2"/>
        <v/>
      </c>
      <c r="H116" s="48"/>
    </row>
    <row r="117">
      <c r="A117" s="50"/>
      <c r="B117" s="50"/>
      <c r="C117" s="50"/>
      <c r="D117" s="43"/>
      <c r="E117" s="43"/>
      <c r="F117" s="47" t="str">
        <f>IFERROR(__xludf.DUMMYFUNCTION("""COMPUTED_VALUE"""),"")</f>
        <v/>
      </c>
      <c r="G117" s="47" t="str">
        <f t="shared" si="2"/>
        <v/>
      </c>
      <c r="H117" s="48"/>
    </row>
    <row r="118">
      <c r="A118" s="50"/>
      <c r="B118" s="50"/>
      <c r="C118" s="50"/>
      <c r="D118" s="43"/>
      <c r="E118" s="43"/>
      <c r="F118" s="47" t="str">
        <f>IFERROR(__xludf.DUMMYFUNCTION("""COMPUTED_VALUE"""),"")</f>
        <v/>
      </c>
      <c r="G118" s="47" t="str">
        <f t="shared" si="2"/>
        <v/>
      </c>
      <c r="H118" s="48"/>
    </row>
    <row r="119">
      <c r="A119" s="50"/>
      <c r="B119" s="50"/>
      <c r="C119" s="50"/>
      <c r="D119" s="43"/>
      <c r="E119" s="43"/>
      <c r="F119" s="47" t="str">
        <f>IFERROR(__xludf.DUMMYFUNCTION("""COMPUTED_VALUE"""),"")</f>
        <v/>
      </c>
      <c r="G119" s="47" t="str">
        <f t="shared" si="2"/>
        <v/>
      </c>
      <c r="H119" s="48"/>
    </row>
    <row r="120">
      <c r="A120" s="50"/>
      <c r="B120" s="50"/>
      <c r="C120" s="50"/>
      <c r="D120" s="43"/>
      <c r="E120" s="43"/>
      <c r="F120" s="47" t="str">
        <f>IFERROR(__xludf.DUMMYFUNCTION("""COMPUTED_VALUE"""),"")</f>
        <v/>
      </c>
      <c r="G120" s="47" t="str">
        <f t="shared" si="2"/>
        <v/>
      </c>
      <c r="H120" s="48"/>
    </row>
    <row r="121">
      <c r="A121" s="50"/>
      <c r="B121" s="50"/>
      <c r="C121" s="50"/>
      <c r="D121" s="43"/>
      <c r="E121" s="43"/>
      <c r="F121" s="47" t="str">
        <f>IFERROR(__xludf.DUMMYFUNCTION("""COMPUTED_VALUE"""),"")</f>
        <v/>
      </c>
      <c r="G121" s="47" t="str">
        <f t="shared" si="2"/>
        <v/>
      </c>
      <c r="H121" s="48"/>
    </row>
    <row r="122">
      <c r="A122" s="50"/>
      <c r="B122" s="50"/>
      <c r="C122" s="50"/>
      <c r="D122" s="43"/>
      <c r="E122" s="43"/>
      <c r="F122" s="47" t="str">
        <f>IFERROR(__xludf.DUMMYFUNCTION("""COMPUTED_VALUE"""),"")</f>
        <v/>
      </c>
      <c r="G122" s="47" t="str">
        <f t="shared" si="2"/>
        <v/>
      </c>
      <c r="H122" s="48"/>
    </row>
    <row r="123">
      <c r="A123" s="50"/>
      <c r="B123" s="50"/>
      <c r="C123" s="50"/>
      <c r="D123" s="43"/>
      <c r="E123" s="43"/>
      <c r="F123" s="47" t="str">
        <f>IFERROR(__xludf.DUMMYFUNCTION("""COMPUTED_VALUE"""),"")</f>
        <v/>
      </c>
      <c r="G123" s="47" t="str">
        <f t="shared" si="2"/>
        <v/>
      </c>
      <c r="H123" s="48"/>
    </row>
    <row r="124">
      <c r="A124" s="50"/>
      <c r="B124" s="50"/>
      <c r="C124" s="50"/>
      <c r="D124" s="43"/>
      <c r="E124" s="43"/>
      <c r="F124" s="47" t="str">
        <f>IFERROR(__xludf.DUMMYFUNCTION("""COMPUTED_VALUE"""),"")</f>
        <v/>
      </c>
      <c r="G124" s="47" t="str">
        <f t="shared" si="2"/>
        <v/>
      </c>
      <c r="H124" s="48"/>
    </row>
    <row r="125">
      <c r="A125" s="50"/>
      <c r="B125" s="50"/>
      <c r="C125" s="50"/>
      <c r="D125" s="43"/>
      <c r="E125" s="43"/>
      <c r="F125" s="47" t="str">
        <f>IFERROR(__xludf.DUMMYFUNCTION("""COMPUTED_VALUE"""),"")</f>
        <v/>
      </c>
      <c r="G125" s="47" t="str">
        <f t="shared" si="2"/>
        <v/>
      </c>
      <c r="H125" s="48"/>
    </row>
    <row r="126">
      <c r="A126" s="50"/>
      <c r="B126" s="50"/>
      <c r="C126" s="50"/>
      <c r="D126" s="43"/>
      <c r="E126" s="43"/>
      <c r="F126" s="47" t="str">
        <f>IFERROR(__xludf.DUMMYFUNCTION("""COMPUTED_VALUE"""),"")</f>
        <v/>
      </c>
      <c r="G126" s="47" t="str">
        <f t="shared" si="2"/>
        <v/>
      </c>
      <c r="H126" s="48"/>
    </row>
    <row r="127">
      <c r="A127" s="50"/>
      <c r="B127" s="50"/>
      <c r="C127" s="50"/>
      <c r="D127" s="43"/>
      <c r="E127" s="43"/>
      <c r="F127" s="47" t="str">
        <f>IFERROR(__xludf.DUMMYFUNCTION("""COMPUTED_VALUE"""),"")</f>
        <v/>
      </c>
      <c r="G127" s="47" t="str">
        <f t="shared" si="2"/>
        <v/>
      </c>
      <c r="H127" s="48"/>
    </row>
    <row r="128">
      <c r="A128" s="50"/>
      <c r="B128" s="50"/>
      <c r="C128" s="50"/>
      <c r="D128" s="43"/>
      <c r="E128" s="43"/>
      <c r="F128" s="47" t="str">
        <f>IFERROR(__xludf.DUMMYFUNCTION("""COMPUTED_VALUE"""),"")</f>
        <v/>
      </c>
      <c r="G128" s="47" t="str">
        <f t="shared" si="2"/>
        <v/>
      </c>
      <c r="H128" s="48"/>
    </row>
    <row r="129">
      <c r="A129" s="50"/>
      <c r="B129" s="50"/>
      <c r="C129" s="50"/>
      <c r="D129" s="43"/>
      <c r="E129" s="43"/>
      <c r="F129" s="47" t="str">
        <f>IFERROR(__xludf.DUMMYFUNCTION("""COMPUTED_VALUE"""),"")</f>
        <v/>
      </c>
      <c r="G129" s="47" t="str">
        <f t="shared" si="2"/>
        <v/>
      </c>
      <c r="H129" s="48"/>
    </row>
    <row r="130">
      <c r="A130" s="50"/>
      <c r="B130" s="50"/>
      <c r="C130" s="50"/>
      <c r="D130" s="43"/>
      <c r="E130" s="43"/>
      <c r="F130" s="47" t="str">
        <f>IFERROR(__xludf.DUMMYFUNCTION("""COMPUTED_VALUE"""),"")</f>
        <v/>
      </c>
      <c r="G130" s="47" t="str">
        <f t="shared" si="2"/>
        <v/>
      </c>
      <c r="H130" s="48"/>
    </row>
    <row r="131">
      <c r="A131" s="50"/>
      <c r="B131" s="50"/>
      <c r="C131" s="50"/>
      <c r="D131" s="43"/>
      <c r="E131" s="43"/>
      <c r="F131" s="47" t="str">
        <f>IFERROR(__xludf.DUMMYFUNCTION("""COMPUTED_VALUE"""),"")</f>
        <v/>
      </c>
      <c r="G131" s="47" t="str">
        <f t="shared" si="2"/>
        <v/>
      </c>
      <c r="H131" s="48"/>
    </row>
    <row r="132">
      <c r="A132" s="50"/>
      <c r="B132" s="50"/>
      <c r="C132" s="50"/>
      <c r="D132" s="43"/>
      <c r="E132" s="43"/>
      <c r="F132" s="47" t="str">
        <f>IFERROR(__xludf.DUMMYFUNCTION("""COMPUTED_VALUE"""),"")</f>
        <v/>
      </c>
      <c r="G132" s="47" t="str">
        <f t="shared" si="2"/>
        <v/>
      </c>
      <c r="H132" s="48"/>
    </row>
    <row r="133">
      <c r="A133" s="50"/>
      <c r="B133" s="50"/>
      <c r="C133" s="50"/>
      <c r="D133" s="43"/>
      <c r="E133" s="43"/>
      <c r="F133" s="47" t="str">
        <f>IFERROR(__xludf.DUMMYFUNCTION("""COMPUTED_VALUE"""),"")</f>
        <v/>
      </c>
      <c r="G133" s="47" t="str">
        <f t="shared" si="2"/>
        <v/>
      </c>
      <c r="H133" s="48"/>
    </row>
    <row r="134">
      <c r="A134" s="50"/>
      <c r="B134" s="50"/>
      <c r="C134" s="50"/>
      <c r="D134" s="43"/>
      <c r="E134" s="43"/>
      <c r="F134" s="47" t="str">
        <f>IFERROR(__xludf.DUMMYFUNCTION("""COMPUTED_VALUE"""),"")</f>
        <v/>
      </c>
      <c r="G134" s="47" t="str">
        <f t="shared" si="2"/>
        <v/>
      </c>
      <c r="H134" s="48"/>
    </row>
    <row r="135">
      <c r="A135" s="50"/>
      <c r="B135" s="50"/>
      <c r="C135" s="50"/>
      <c r="D135" s="43"/>
      <c r="E135" s="43"/>
      <c r="F135" s="47" t="str">
        <f>IFERROR(__xludf.DUMMYFUNCTION("""COMPUTED_VALUE"""),"")</f>
        <v/>
      </c>
      <c r="G135" s="47" t="str">
        <f t="shared" si="2"/>
        <v/>
      </c>
      <c r="H135" s="48"/>
    </row>
    <row r="136">
      <c r="A136" s="50"/>
      <c r="B136" s="50"/>
      <c r="C136" s="50"/>
      <c r="D136" s="43"/>
      <c r="E136" s="43"/>
      <c r="F136" s="47" t="str">
        <f>IFERROR(__xludf.DUMMYFUNCTION("""COMPUTED_VALUE"""),"")</f>
        <v/>
      </c>
      <c r="G136" s="47" t="str">
        <f t="shared" si="2"/>
        <v/>
      </c>
      <c r="H136" s="48"/>
    </row>
    <row r="137">
      <c r="A137" s="50"/>
      <c r="B137" s="50"/>
      <c r="C137" s="50"/>
      <c r="D137" s="43"/>
      <c r="E137" s="43"/>
      <c r="F137" s="47" t="str">
        <f>IFERROR(__xludf.DUMMYFUNCTION("""COMPUTED_VALUE"""),"")</f>
        <v/>
      </c>
      <c r="G137" s="47" t="str">
        <f t="shared" si="2"/>
        <v/>
      </c>
      <c r="H137" s="48"/>
    </row>
    <row r="138">
      <c r="A138" s="50"/>
      <c r="B138" s="50"/>
      <c r="C138" s="50"/>
      <c r="D138" s="43"/>
      <c r="E138" s="43"/>
      <c r="F138" s="47" t="str">
        <f>IFERROR(__xludf.DUMMYFUNCTION("""COMPUTED_VALUE"""),"")</f>
        <v/>
      </c>
      <c r="G138" s="47" t="str">
        <f t="shared" si="2"/>
        <v/>
      </c>
      <c r="H138" s="48"/>
    </row>
    <row r="139">
      <c r="A139" s="50"/>
      <c r="B139" s="50"/>
      <c r="C139" s="50"/>
      <c r="D139" s="43"/>
      <c r="E139" s="43"/>
      <c r="F139" s="47" t="str">
        <f>IFERROR(__xludf.DUMMYFUNCTION("""COMPUTED_VALUE"""),"")</f>
        <v/>
      </c>
      <c r="G139" s="47" t="str">
        <f t="shared" si="2"/>
        <v/>
      </c>
      <c r="H139" s="48"/>
    </row>
    <row r="140">
      <c r="A140" s="50"/>
      <c r="B140" s="50"/>
      <c r="C140" s="50"/>
      <c r="D140" s="43"/>
      <c r="E140" s="43"/>
      <c r="F140" s="47" t="str">
        <f>IFERROR(__xludf.DUMMYFUNCTION("""COMPUTED_VALUE"""),"")</f>
        <v/>
      </c>
      <c r="G140" s="47" t="str">
        <f t="shared" si="2"/>
        <v/>
      </c>
      <c r="H140" s="48"/>
    </row>
    <row r="141">
      <c r="A141" s="50"/>
      <c r="B141" s="50"/>
      <c r="C141" s="50"/>
      <c r="D141" s="43"/>
      <c r="E141" s="43"/>
      <c r="F141" s="47" t="str">
        <f>IFERROR(__xludf.DUMMYFUNCTION("""COMPUTED_VALUE"""),"")</f>
        <v/>
      </c>
      <c r="G141" s="47" t="str">
        <f t="shared" si="2"/>
        <v/>
      </c>
      <c r="H141" s="48"/>
    </row>
    <row r="142">
      <c r="A142" s="50"/>
      <c r="B142" s="50"/>
      <c r="C142" s="50"/>
      <c r="D142" s="43"/>
      <c r="E142" s="43"/>
      <c r="F142" s="47" t="str">
        <f>IFERROR(__xludf.DUMMYFUNCTION("""COMPUTED_VALUE"""),"")</f>
        <v/>
      </c>
      <c r="G142" s="47" t="str">
        <f t="shared" si="2"/>
        <v/>
      </c>
      <c r="H142" s="48"/>
    </row>
    <row r="143">
      <c r="A143" s="50"/>
      <c r="B143" s="50"/>
      <c r="C143" s="50"/>
      <c r="D143" s="43"/>
      <c r="E143" s="43"/>
      <c r="F143" s="47" t="str">
        <f>IFERROR(__xludf.DUMMYFUNCTION("""COMPUTED_VALUE"""),"")</f>
        <v/>
      </c>
      <c r="G143" s="47" t="str">
        <f t="shared" si="2"/>
        <v/>
      </c>
      <c r="H143" s="48"/>
    </row>
    <row r="144">
      <c r="A144" s="50"/>
      <c r="B144" s="50"/>
      <c r="C144" s="50"/>
      <c r="D144" s="43"/>
      <c r="E144" s="43"/>
      <c r="F144" s="47" t="str">
        <f>IFERROR(__xludf.DUMMYFUNCTION("""COMPUTED_VALUE"""),"")</f>
        <v/>
      </c>
      <c r="G144" s="47" t="str">
        <f t="shared" si="2"/>
        <v/>
      </c>
      <c r="H144" s="48"/>
    </row>
    <row r="145">
      <c r="A145" s="50"/>
      <c r="B145" s="50"/>
      <c r="C145" s="50"/>
      <c r="D145" s="43"/>
      <c r="E145" s="43"/>
      <c r="F145" s="47" t="str">
        <f>IFERROR(__xludf.DUMMYFUNCTION("""COMPUTED_VALUE"""),"")</f>
        <v/>
      </c>
      <c r="G145" s="47" t="str">
        <f t="shared" si="2"/>
        <v/>
      </c>
      <c r="H145" s="48"/>
    </row>
    <row r="146">
      <c r="A146" s="50"/>
      <c r="B146" s="50"/>
      <c r="C146" s="50"/>
      <c r="D146" s="43"/>
      <c r="E146" s="43"/>
      <c r="F146" s="47" t="str">
        <f>IFERROR(__xludf.DUMMYFUNCTION("""COMPUTED_VALUE"""),"")</f>
        <v/>
      </c>
      <c r="G146" s="47" t="str">
        <f t="shared" si="2"/>
        <v/>
      </c>
      <c r="H146" s="48"/>
    </row>
    <row r="147">
      <c r="A147" s="50"/>
      <c r="B147" s="50"/>
      <c r="C147" s="50"/>
      <c r="D147" s="43"/>
      <c r="E147" s="43"/>
      <c r="F147" s="47" t="str">
        <f>IFERROR(__xludf.DUMMYFUNCTION("""COMPUTED_VALUE"""),"")</f>
        <v/>
      </c>
      <c r="G147" s="47" t="str">
        <f t="shared" si="2"/>
        <v/>
      </c>
      <c r="H147" s="48"/>
    </row>
    <row r="148">
      <c r="A148" s="50"/>
      <c r="B148" s="50"/>
      <c r="C148" s="50"/>
      <c r="D148" s="43"/>
      <c r="E148" s="43"/>
      <c r="F148" s="47" t="str">
        <f>IFERROR(__xludf.DUMMYFUNCTION("""COMPUTED_VALUE"""),"")</f>
        <v/>
      </c>
      <c r="G148" s="47" t="str">
        <f t="shared" si="2"/>
        <v/>
      </c>
      <c r="H148" s="48"/>
    </row>
    <row r="149">
      <c r="A149" s="50"/>
      <c r="B149" s="50"/>
      <c r="C149" s="50"/>
      <c r="D149" s="43"/>
      <c r="E149" s="43"/>
      <c r="F149" s="47" t="str">
        <f>IFERROR(__xludf.DUMMYFUNCTION("""COMPUTED_VALUE"""),"")</f>
        <v/>
      </c>
      <c r="G149" s="47" t="str">
        <f t="shared" si="2"/>
        <v/>
      </c>
      <c r="H149" s="48"/>
    </row>
    <row r="150">
      <c r="A150" s="50"/>
      <c r="B150" s="50"/>
      <c r="C150" s="50"/>
      <c r="D150" s="43"/>
      <c r="E150" s="43"/>
      <c r="F150" s="47" t="str">
        <f>IFERROR(__xludf.DUMMYFUNCTION("""COMPUTED_VALUE"""),"")</f>
        <v/>
      </c>
      <c r="G150" s="47" t="str">
        <f t="shared" si="2"/>
        <v/>
      </c>
      <c r="H150" s="48"/>
    </row>
    <row r="151">
      <c r="A151" s="50"/>
      <c r="B151" s="50"/>
      <c r="C151" s="50"/>
      <c r="D151" s="43"/>
      <c r="E151" s="43"/>
      <c r="F151" s="47" t="str">
        <f>IFERROR(__xludf.DUMMYFUNCTION("""COMPUTED_VALUE"""),"")</f>
        <v/>
      </c>
      <c r="G151" s="47" t="str">
        <f t="shared" si="2"/>
        <v/>
      </c>
      <c r="H151" s="48"/>
    </row>
    <row r="152">
      <c r="A152" s="50"/>
      <c r="B152" s="50"/>
      <c r="C152" s="50"/>
      <c r="D152" s="43"/>
      <c r="E152" s="43"/>
      <c r="F152" s="47" t="str">
        <f>IFERROR(__xludf.DUMMYFUNCTION("""COMPUTED_VALUE"""),"")</f>
        <v/>
      </c>
      <c r="G152" s="47" t="str">
        <f t="shared" si="2"/>
        <v/>
      </c>
      <c r="H152" s="48"/>
    </row>
    <row r="153">
      <c r="A153" s="50"/>
      <c r="B153" s="50"/>
      <c r="C153" s="50"/>
      <c r="D153" s="43"/>
      <c r="E153" s="43"/>
      <c r="F153" s="47" t="str">
        <f>IFERROR(__xludf.DUMMYFUNCTION("""COMPUTED_VALUE"""),"")</f>
        <v/>
      </c>
      <c r="G153" s="47" t="str">
        <f t="shared" si="2"/>
        <v/>
      </c>
      <c r="H153" s="48"/>
    </row>
    <row r="154">
      <c r="A154" s="50"/>
      <c r="B154" s="50"/>
      <c r="C154" s="50"/>
      <c r="D154" s="43"/>
      <c r="E154" s="43"/>
      <c r="F154" s="47" t="str">
        <f>IFERROR(__xludf.DUMMYFUNCTION("""COMPUTED_VALUE"""),"")</f>
        <v/>
      </c>
      <c r="G154" s="47" t="str">
        <f t="shared" si="2"/>
        <v/>
      </c>
      <c r="H154" s="48"/>
    </row>
    <row r="155">
      <c r="A155" s="50"/>
      <c r="B155" s="50"/>
      <c r="C155" s="50"/>
      <c r="D155" s="43"/>
      <c r="E155" s="43"/>
      <c r="F155" s="47" t="str">
        <f>IFERROR(__xludf.DUMMYFUNCTION("""COMPUTED_VALUE"""),"")</f>
        <v/>
      </c>
      <c r="G155" s="47" t="str">
        <f t="shared" si="2"/>
        <v/>
      </c>
      <c r="H155" s="48"/>
    </row>
    <row r="156">
      <c r="A156" s="50"/>
      <c r="B156" s="50"/>
      <c r="C156" s="50"/>
      <c r="D156" s="43"/>
      <c r="E156" s="43"/>
      <c r="F156" s="47" t="str">
        <f>IFERROR(__xludf.DUMMYFUNCTION("""COMPUTED_VALUE"""),"")</f>
        <v/>
      </c>
      <c r="G156" s="47" t="str">
        <f t="shared" si="2"/>
        <v/>
      </c>
      <c r="H156" s="48"/>
    </row>
    <row r="157">
      <c r="A157" s="50"/>
      <c r="B157" s="50"/>
      <c r="C157" s="50"/>
      <c r="D157" s="43"/>
      <c r="E157" s="43"/>
      <c r="F157" s="47" t="str">
        <f>IFERROR(__xludf.DUMMYFUNCTION("""COMPUTED_VALUE"""),"")</f>
        <v/>
      </c>
      <c r="G157" s="47" t="str">
        <f t="shared" si="2"/>
        <v/>
      </c>
      <c r="H157" s="48"/>
    </row>
    <row r="158">
      <c r="A158" s="50"/>
      <c r="B158" s="50"/>
      <c r="C158" s="50"/>
      <c r="D158" s="43"/>
      <c r="E158" s="43"/>
      <c r="F158" s="47" t="str">
        <f>IFERROR(__xludf.DUMMYFUNCTION("""COMPUTED_VALUE"""),"")</f>
        <v/>
      </c>
      <c r="G158" s="47" t="str">
        <f t="shared" si="2"/>
        <v/>
      </c>
      <c r="H158" s="48"/>
    </row>
    <row r="159">
      <c r="A159" s="50"/>
      <c r="B159" s="50"/>
      <c r="C159" s="50"/>
      <c r="D159" s="43"/>
      <c r="E159" s="43"/>
      <c r="F159" s="47" t="str">
        <f>IFERROR(__xludf.DUMMYFUNCTION("""COMPUTED_VALUE"""),"")</f>
        <v/>
      </c>
      <c r="G159" s="47" t="str">
        <f t="shared" si="2"/>
        <v/>
      </c>
      <c r="H159" s="48"/>
    </row>
    <row r="160">
      <c r="A160" s="50"/>
      <c r="B160" s="50"/>
      <c r="C160" s="50"/>
      <c r="D160" s="43"/>
      <c r="E160" s="43"/>
      <c r="F160" s="47" t="str">
        <f>IFERROR(__xludf.DUMMYFUNCTION("""COMPUTED_VALUE"""),"")</f>
        <v/>
      </c>
      <c r="G160" s="47" t="str">
        <f t="shared" si="2"/>
        <v/>
      </c>
      <c r="H160" s="48"/>
    </row>
    <row r="161">
      <c r="A161" s="50"/>
      <c r="B161" s="50"/>
      <c r="C161" s="50"/>
      <c r="D161" s="43"/>
      <c r="E161" s="43"/>
      <c r="F161" s="47" t="str">
        <f>IFERROR(__xludf.DUMMYFUNCTION("""COMPUTED_VALUE"""),"")</f>
        <v/>
      </c>
      <c r="G161" s="47" t="str">
        <f t="shared" si="2"/>
        <v/>
      </c>
      <c r="H161" s="48"/>
    </row>
    <row r="162">
      <c r="A162" s="50"/>
      <c r="B162" s="50"/>
      <c r="C162" s="50"/>
      <c r="D162" s="43"/>
      <c r="E162" s="43"/>
      <c r="F162" s="47" t="str">
        <f>IFERROR(__xludf.DUMMYFUNCTION("""COMPUTED_VALUE"""),"")</f>
        <v/>
      </c>
      <c r="G162" s="47" t="str">
        <f t="shared" si="2"/>
        <v/>
      </c>
      <c r="H162" s="48"/>
    </row>
    <row r="163">
      <c r="A163" s="50"/>
      <c r="B163" s="50"/>
      <c r="C163" s="50"/>
      <c r="D163" s="43"/>
      <c r="E163" s="43"/>
      <c r="F163" s="47" t="str">
        <f>IFERROR(__xludf.DUMMYFUNCTION("""COMPUTED_VALUE"""),"")</f>
        <v/>
      </c>
      <c r="G163" s="47" t="str">
        <f t="shared" si="2"/>
        <v/>
      </c>
      <c r="H163" s="48"/>
    </row>
    <row r="164">
      <c r="A164" s="50"/>
      <c r="B164" s="50"/>
      <c r="C164" s="50"/>
      <c r="D164" s="43"/>
      <c r="E164" s="43"/>
      <c r="F164" s="47" t="str">
        <f>IFERROR(__xludf.DUMMYFUNCTION("""COMPUTED_VALUE"""),"")</f>
        <v/>
      </c>
      <c r="G164" s="47" t="str">
        <f t="shared" si="2"/>
        <v/>
      </c>
      <c r="H164" s="48"/>
    </row>
    <row r="165">
      <c r="A165" s="50"/>
      <c r="B165" s="50"/>
      <c r="C165" s="50"/>
      <c r="D165" s="43"/>
      <c r="E165" s="43"/>
      <c r="F165" s="47" t="str">
        <f>IFERROR(__xludf.DUMMYFUNCTION("""COMPUTED_VALUE"""),"")</f>
        <v/>
      </c>
      <c r="G165" s="47" t="str">
        <f t="shared" si="2"/>
        <v/>
      </c>
      <c r="H165" s="48"/>
    </row>
    <row r="166">
      <c r="A166" s="50"/>
      <c r="B166" s="50"/>
      <c r="C166" s="50"/>
      <c r="D166" s="43"/>
      <c r="E166" s="43"/>
      <c r="F166" s="47" t="str">
        <f>IFERROR(__xludf.DUMMYFUNCTION("""COMPUTED_VALUE"""),"")</f>
        <v/>
      </c>
      <c r="G166" s="47" t="str">
        <f t="shared" si="2"/>
        <v/>
      </c>
      <c r="H166" s="48"/>
    </row>
    <row r="167">
      <c r="A167" s="50"/>
      <c r="B167" s="50"/>
      <c r="C167" s="50"/>
      <c r="D167" s="43"/>
      <c r="E167" s="43"/>
      <c r="F167" s="47" t="str">
        <f>IFERROR(__xludf.DUMMYFUNCTION("""COMPUTED_VALUE"""),"")</f>
        <v/>
      </c>
      <c r="G167" s="47" t="str">
        <f t="shared" si="2"/>
        <v/>
      </c>
      <c r="H167" s="48"/>
    </row>
    <row r="168">
      <c r="A168" s="50"/>
      <c r="B168" s="50"/>
      <c r="C168" s="50"/>
      <c r="D168" s="43"/>
      <c r="E168" s="43"/>
      <c r="F168" s="47" t="str">
        <f>IFERROR(__xludf.DUMMYFUNCTION("""COMPUTED_VALUE"""),"")</f>
        <v/>
      </c>
      <c r="G168" s="47" t="str">
        <f t="shared" si="2"/>
        <v/>
      </c>
      <c r="H168" s="48"/>
    </row>
    <row r="169">
      <c r="A169" s="50"/>
      <c r="B169" s="50"/>
      <c r="C169" s="50"/>
      <c r="D169" s="43"/>
      <c r="E169" s="43"/>
      <c r="F169" s="47" t="str">
        <f>IFERROR(__xludf.DUMMYFUNCTION("""COMPUTED_VALUE"""),"")</f>
        <v/>
      </c>
      <c r="G169" s="47" t="str">
        <f t="shared" si="2"/>
        <v/>
      </c>
      <c r="H169" s="48"/>
    </row>
    <row r="170">
      <c r="A170" s="50"/>
      <c r="B170" s="50"/>
      <c r="C170" s="50"/>
      <c r="D170" s="43"/>
      <c r="E170" s="43"/>
      <c r="F170" s="47" t="str">
        <f>IFERROR(__xludf.DUMMYFUNCTION("""COMPUTED_VALUE"""),"")</f>
        <v/>
      </c>
      <c r="G170" s="47" t="str">
        <f t="shared" si="2"/>
        <v/>
      </c>
      <c r="H170" s="48"/>
    </row>
    <row r="171">
      <c r="A171" s="50"/>
      <c r="B171" s="50"/>
      <c r="C171" s="50"/>
      <c r="D171" s="43"/>
      <c r="E171" s="43"/>
      <c r="F171" s="47" t="str">
        <f>IFERROR(__xludf.DUMMYFUNCTION("""COMPUTED_VALUE"""),"")</f>
        <v/>
      </c>
      <c r="G171" s="47" t="str">
        <f t="shared" si="2"/>
        <v/>
      </c>
      <c r="H171" s="48"/>
    </row>
    <row r="172">
      <c r="A172" s="50"/>
      <c r="B172" s="50"/>
      <c r="C172" s="50"/>
      <c r="D172" s="43"/>
      <c r="E172" s="43"/>
      <c r="F172" s="47" t="str">
        <f>IFERROR(__xludf.DUMMYFUNCTION("""COMPUTED_VALUE"""),"")</f>
        <v/>
      </c>
      <c r="G172" s="47" t="str">
        <f t="shared" si="2"/>
        <v/>
      </c>
      <c r="H172" s="48"/>
    </row>
    <row r="173">
      <c r="A173" s="50"/>
      <c r="B173" s="50"/>
      <c r="C173" s="50"/>
      <c r="D173" s="43"/>
      <c r="E173" s="43"/>
      <c r="F173" s="47" t="str">
        <f>IFERROR(__xludf.DUMMYFUNCTION("""COMPUTED_VALUE"""),"")</f>
        <v/>
      </c>
      <c r="G173" s="47" t="str">
        <f t="shared" si="2"/>
        <v/>
      </c>
      <c r="H173" s="48"/>
    </row>
    <row r="174">
      <c r="A174" s="50"/>
      <c r="B174" s="50"/>
      <c r="C174" s="50"/>
      <c r="D174" s="43"/>
      <c r="E174" s="43"/>
      <c r="F174" s="47" t="str">
        <f>IFERROR(__xludf.DUMMYFUNCTION("""COMPUTED_VALUE"""),"")</f>
        <v/>
      </c>
      <c r="G174" s="47" t="str">
        <f t="shared" si="2"/>
        <v/>
      </c>
      <c r="H174" s="48"/>
    </row>
    <row r="175">
      <c r="A175" s="50"/>
      <c r="B175" s="50"/>
      <c r="C175" s="50"/>
      <c r="D175" s="43"/>
      <c r="E175" s="43"/>
      <c r="F175" s="47" t="str">
        <f>IFERROR(__xludf.DUMMYFUNCTION("""COMPUTED_VALUE"""),"")</f>
        <v/>
      </c>
      <c r="G175" s="47" t="str">
        <f t="shared" si="2"/>
        <v/>
      </c>
      <c r="H175" s="48"/>
    </row>
    <row r="176">
      <c r="A176" s="50"/>
      <c r="B176" s="50"/>
      <c r="C176" s="50"/>
      <c r="D176" s="43"/>
      <c r="E176" s="43"/>
      <c r="F176" s="47" t="str">
        <f>IFERROR(__xludf.DUMMYFUNCTION("""COMPUTED_VALUE"""),"")</f>
        <v/>
      </c>
      <c r="G176" s="47" t="str">
        <f t="shared" si="2"/>
        <v/>
      </c>
      <c r="H176" s="48"/>
    </row>
    <row r="177">
      <c r="A177" s="50"/>
      <c r="B177" s="50"/>
      <c r="C177" s="50"/>
      <c r="D177" s="43"/>
      <c r="E177" s="43"/>
      <c r="F177" s="47" t="str">
        <f>IFERROR(__xludf.DUMMYFUNCTION("""COMPUTED_VALUE"""),"")</f>
        <v/>
      </c>
      <c r="G177" s="47" t="str">
        <f t="shared" si="2"/>
        <v/>
      </c>
      <c r="H177" s="48"/>
    </row>
    <row r="178">
      <c r="A178" s="50"/>
      <c r="B178" s="50"/>
      <c r="C178" s="50"/>
      <c r="D178" s="43"/>
      <c r="E178" s="43"/>
      <c r="F178" s="47" t="str">
        <f>IFERROR(__xludf.DUMMYFUNCTION("""COMPUTED_VALUE"""),"")</f>
        <v/>
      </c>
      <c r="G178" s="47" t="str">
        <f t="shared" si="2"/>
        <v/>
      </c>
      <c r="H178" s="48"/>
    </row>
    <row r="179">
      <c r="A179" s="50"/>
      <c r="B179" s="50"/>
      <c r="C179" s="50"/>
      <c r="D179" s="43"/>
      <c r="E179" s="43"/>
      <c r="F179" s="47" t="str">
        <f>IFERROR(__xludf.DUMMYFUNCTION("""COMPUTED_VALUE"""),"")</f>
        <v/>
      </c>
      <c r="G179" s="47" t="str">
        <f t="shared" si="2"/>
        <v/>
      </c>
      <c r="H179" s="48"/>
    </row>
    <row r="180">
      <c r="A180" s="50"/>
      <c r="B180" s="50"/>
      <c r="C180" s="50"/>
      <c r="D180" s="43"/>
      <c r="E180" s="43"/>
      <c r="F180" s="47" t="str">
        <f>IFERROR(__xludf.DUMMYFUNCTION("""COMPUTED_VALUE"""),"")</f>
        <v/>
      </c>
      <c r="G180" s="47" t="str">
        <f t="shared" si="2"/>
        <v/>
      </c>
      <c r="H180" s="48"/>
    </row>
    <row r="181">
      <c r="A181" s="50"/>
      <c r="B181" s="50"/>
      <c r="C181" s="50"/>
      <c r="D181" s="43"/>
      <c r="E181" s="43"/>
      <c r="F181" s="47" t="str">
        <f>IFERROR(__xludf.DUMMYFUNCTION("""COMPUTED_VALUE"""),"")</f>
        <v/>
      </c>
      <c r="G181" s="47" t="str">
        <f t="shared" si="2"/>
        <v/>
      </c>
      <c r="H181" s="48"/>
    </row>
    <row r="182">
      <c r="A182" s="50"/>
      <c r="B182" s="50"/>
      <c r="C182" s="50"/>
      <c r="D182" s="43"/>
      <c r="E182" s="43"/>
      <c r="F182" s="47" t="str">
        <f>IFERROR(__xludf.DUMMYFUNCTION("""COMPUTED_VALUE"""),"")</f>
        <v/>
      </c>
      <c r="G182" s="47" t="str">
        <f t="shared" si="2"/>
        <v/>
      </c>
      <c r="H182" s="48"/>
    </row>
    <row r="183">
      <c r="A183" s="50"/>
      <c r="B183" s="50"/>
      <c r="C183" s="50"/>
      <c r="D183" s="43"/>
      <c r="E183" s="43"/>
      <c r="F183" s="47" t="str">
        <f>IFERROR(__xludf.DUMMYFUNCTION("""COMPUTED_VALUE"""),"")</f>
        <v/>
      </c>
      <c r="G183" s="47" t="str">
        <f t="shared" si="2"/>
        <v/>
      </c>
      <c r="H183" s="48"/>
    </row>
    <row r="184">
      <c r="A184" s="50"/>
      <c r="B184" s="50"/>
      <c r="C184" s="50"/>
      <c r="D184" s="43"/>
      <c r="E184" s="43"/>
      <c r="F184" s="47" t="str">
        <f>IFERROR(__xludf.DUMMYFUNCTION("""COMPUTED_VALUE"""),"")</f>
        <v/>
      </c>
      <c r="G184" s="47" t="str">
        <f t="shared" si="2"/>
        <v/>
      </c>
      <c r="H184" s="48"/>
    </row>
    <row r="185">
      <c r="A185" s="50"/>
      <c r="B185" s="50"/>
      <c r="C185" s="50"/>
      <c r="D185" s="43"/>
      <c r="E185" s="43"/>
      <c r="F185" s="47" t="str">
        <f>IFERROR(__xludf.DUMMYFUNCTION("""COMPUTED_VALUE"""),"")</f>
        <v/>
      </c>
      <c r="G185" s="47" t="str">
        <f t="shared" si="2"/>
        <v/>
      </c>
      <c r="H185" s="48"/>
    </row>
    <row r="186">
      <c r="A186" s="50"/>
      <c r="B186" s="50"/>
      <c r="C186" s="50"/>
      <c r="D186" s="43"/>
      <c r="E186" s="43"/>
      <c r="F186" s="47" t="str">
        <f>IFERROR(__xludf.DUMMYFUNCTION("""COMPUTED_VALUE"""),"")</f>
        <v/>
      </c>
      <c r="G186" s="47" t="str">
        <f t="shared" si="2"/>
        <v/>
      </c>
      <c r="H186" s="48"/>
    </row>
    <row r="187">
      <c r="A187" s="50"/>
      <c r="B187" s="50"/>
      <c r="C187" s="50"/>
      <c r="D187" s="43"/>
      <c r="E187" s="43"/>
      <c r="F187" s="47" t="str">
        <f>IFERROR(__xludf.DUMMYFUNCTION("""COMPUTED_VALUE"""),"")</f>
        <v/>
      </c>
      <c r="G187" s="47" t="str">
        <f t="shared" si="2"/>
        <v/>
      </c>
      <c r="H187" s="48"/>
    </row>
    <row r="188">
      <c r="A188" s="50"/>
      <c r="B188" s="50"/>
      <c r="C188" s="50"/>
      <c r="D188" s="43"/>
      <c r="E188" s="43"/>
      <c r="F188" s="47" t="str">
        <f>IFERROR(__xludf.DUMMYFUNCTION("""COMPUTED_VALUE"""),"")</f>
        <v/>
      </c>
      <c r="G188" s="47" t="str">
        <f t="shared" si="2"/>
        <v/>
      </c>
      <c r="H188" s="48"/>
    </row>
    <row r="189">
      <c r="A189" s="50"/>
      <c r="B189" s="50"/>
      <c r="C189" s="50"/>
      <c r="D189" s="43"/>
      <c r="E189" s="43"/>
      <c r="F189" s="47" t="str">
        <f>IFERROR(__xludf.DUMMYFUNCTION("""COMPUTED_VALUE"""),"")</f>
        <v/>
      </c>
      <c r="G189" s="47" t="str">
        <f t="shared" si="2"/>
        <v/>
      </c>
      <c r="H189" s="48"/>
    </row>
    <row r="190">
      <c r="A190" s="50"/>
      <c r="B190" s="50"/>
      <c r="C190" s="50"/>
      <c r="D190" s="43"/>
      <c r="E190" s="43"/>
      <c r="F190" s="47" t="str">
        <f>IFERROR(__xludf.DUMMYFUNCTION("""COMPUTED_VALUE"""),"")</f>
        <v/>
      </c>
      <c r="G190" s="47" t="str">
        <f t="shared" si="2"/>
        <v/>
      </c>
      <c r="H190" s="48"/>
    </row>
    <row r="191">
      <c r="A191" s="50"/>
      <c r="B191" s="50"/>
      <c r="C191" s="50"/>
      <c r="D191" s="43"/>
      <c r="E191" s="43"/>
      <c r="F191" s="47" t="str">
        <f>IFERROR(__xludf.DUMMYFUNCTION("""COMPUTED_VALUE"""),"")</f>
        <v/>
      </c>
      <c r="G191" s="47" t="str">
        <f t="shared" si="2"/>
        <v/>
      </c>
      <c r="H191" s="48"/>
    </row>
    <row r="192">
      <c r="A192" s="50"/>
      <c r="B192" s="50"/>
      <c r="C192" s="50"/>
      <c r="D192" s="43"/>
      <c r="E192" s="43"/>
      <c r="F192" s="47" t="str">
        <f>IFERROR(__xludf.DUMMYFUNCTION("""COMPUTED_VALUE"""),"")</f>
        <v/>
      </c>
      <c r="G192" s="47" t="str">
        <f t="shared" si="2"/>
        <v/>
      </c>
      <c r="H192" s="48"/>
    </row>
    <row r="193">
      <c r="A193" s="50"/>
      <c r="B193" s="50"/>
      <c r="C193" s="50"/>
      <c r="D193" s="43"/>
      <c r="E193" s="43"/>
      <c r="F193" s="47" t="str">
        <f>IFERROR(__xludf.DUMMYFUNCTION("""COMPUTED_VALUE"""),"")</f>
        <v/>
      </c>
      <c r="G193" s="47" t="str">
        <f t="shared" si="2"/>
        <v/>
      </c>
      <c r="H193" s="48"/>
    </row>
    <row r="194">
      <c r="A194" s="50"/>
      <c r="B194" s="50"/>
      <c r="C194" s="50"/>
      <c r="D194" s="43"/>
      <c r="E194" s="43"/>
      <c r="F194" s="47" t="str">
        <f>IFERROR(__xludf.DUMMYFUNCTION("""COMPUTED_VALUE"""),"")</f>
        <v/>
      </c>
      <c r="G194" s="47" t="str">
        <f t="shared" si="2"/>
        <v/>
      </c>
      <c r="H194" s="48"/>
    </row>
    <row r="195">
      <c r="A195" s="50"/>
      <c r="B195" s="50"/>
      <c r="C195" s="50"/>
      <c r="D195" s="43"/>
      <c r="E195" s="43"/>
      <c r="F195" s="47" t="str">
        <f>IFERROR(__xludf.DUMMYFUNCTION("""COMPUTED_VALUE"""),"")</f>
        <v/>
      </c>
      <c r="G195" s="47" t="str">
        <f t="shared" si="2"/>
        <v/>
      </c>
      <c r="H195" s="48"/>
    </row>
    <row r="196">
      <c r="A196" s="50"/>
      <c r="B196" s="50"/>
      <c r="C196" s="50"/>
      <c r="D196" s="43"/>
      <c r="E196" s="43"/>
      <c r="F196" s="47" t="str">
        <f>IFERROR(__xludf.DUMMYFUNCTION("""COMPUTED_VALUE"""),"")</f>
        <v/>
      </c>
      <c r="G196" s="47" t="str">
        <f t="shared" si="2"/>
        <v/>
      </c>
      <c r="H196" s="48"/>
    </row>
    <row r="197">
      <c r="A197" s="50"/>
      <c r="B197" s="50"/>
      <c r="C197" s="50"/>
      <c r="D197" s="43"/>
      <c r="E197" s="43"/>
      <c r="F197" s="47" t="str">
        <f>IFERROR(__xludf.DUMMYFUNCTION("""COMPUTED_VALUE"""),"")</f>
        <v/>
      </c>
      <c r="G197" s="47" t="str">
        <f t="shared" si="2"/>
        <v/>
      </c>
      <c r="H197" s="48"/>
    </row>
    <row r="198">
      <c r="A198" s="50"/>
      <c r="B198" s="50"/>
      <c r="C198" s="50"/>
      <c r="D198" s="43"/>
      <c r="E198" s="43"/>
      <c r="F198" s="47" t="str">
        <f>IFERROR(__xludf.DUMMYFUNCTION("""COMPUTED_VALUE"""),"")</f>
        <v/>
      </c>
      <c r="G198" s="47" t="str">
        <f t="shared" si="2"/>
        <v/>
      </c>
      <c r="H198" s="48"/>
    </row>
    <row r="199">
      <c r="A199" s="50"/>
      <c r="B199" s="50"/>
      <c r="C199" s="50"/>
      <c r="D199" s="43"/>
      <c r="E199" s="43"/>
      <c r="F199" s="47" t="str">
        <f>IFERROR(__xludf.DUMMYFUNCTION("""COMPUTED_VALUE"""),"")</f>
        <v/>
      </c>
      <c r="G199" s="47" t="str">
        <f t="shared" si="2"/>
        <v/>
      </c>
      <c r="H199" s="48"/>
    </row>
    <row r="200">
      <c r="A200" s="50"/>
      <c r="B200" s="50"/>
      <c r="C200" s="50"/>
      <c r="D200" s="43"/>
      <c r="E200" s="43"/>
      <c r="F200" s="47" t="str">
        <f>IFERROR(__xludf.DUMMYFUNCTION("""COMPUTED_VALUE"""),"")</f>
        <v/>
      </c>
      <c r="G200" s="47" t="str">
        <f t="shared" si="2"/>
        <v/>
      </c>
      <c r="H200" s="48"/>
    </row>
    <row r="201">
      <c r="A201" s="50"/>
      <c r="B201" s="50"/>
      <c r="C201" s="50"/>
      <c r="D201" s="43"/>
      <c r="E201" s="43"/>
      <c r="F201" s="47" t="str">
        <f>IFERROR(__xludf.DUMMYFUNCTION("""COMPUTED_VALUE"""),"")</f>
        <v/>
      </c>
      <c r="G201" s="47" t="str">
        <f t="shared" si="2"/>
        <v/>
      </c>
      <c r="H201" s="48"/>
    </row>
    <row r="202">
      <c r="A202" s="50"/>
      <c r="B202" s="50"/>
      <c r="C202" s="50"/>
      <c r="D202" s="43"/>
      <c r="E202" s="43"/>
      <c r="F202" s="47" t="str">
        <f>IFERROR(__xludf.DUMMYFUNCTION("""COMPUTED_VALUE"""),"")</f>
        <v/>
      </c>
      <c r="G202" s="47" t="str">
        <f t="shared" si="2"/>
        <v/>
      </c>
      <c r="H202" s="48"/>
    </row>
    <row r="203">
      <c r="A203" s="50"/>
      <c r="B203" s="50"/>
      <c r="C203" s="50"/>
      <c r="D203" s="43"/>
      <c r="E203" s="43"/>
      <c r="F203" s="47" t="str">
        <f>IFERROR(__xludf.DUMMYFUNCTION("""COMPUTED_VALUE"""),"")</f>
        <v/>
      </c>
      <c r="G203" s="47" t="str">
        <f t="shared" si="2"/>
        <v/>
      </c>
      <c r="H203" s="48"/>
    </row>
    <row r="204">
      <c r="A204" s="50"/>
      <c r="B204" s="50"/>
      <c r="C204" s="50"/>
      <c r="D204" s="43"/>
      <c r="E204" s="43"/>
      <c r="F204" s="47" t="str">
        <f>IFERROR(__xludf.DUMMYFUNCTION("""COMPUTED_VALUE"""),"")</f>
        <v/>
      </c>
      <c r="G204" s="47" t="str">
        <f t="shared" si="2"/>
        <v/>
      </c>
      <c r="H204" s="48"/>
    </row>
    <row r="205">
      <c r="A205" s="50"/>
      <c r="B205" s="50"/>
      <c r="C205" s="50"/>
      <c r="D205" s="43"/>
      <c r="E205" s="43"/>
      <c r="F205" s="47" t="str">
        <f>IFERROR(__xludf.DUMMYFUNCTION("""COMPUTED_VALUE"""),"")</f>
        <v/>
      </c>
      <c r="G205" s="47" t="str">
        <f t="shared" si="2"/>
        <v/>
      </c>
      <c r="H205" s="48"/>
    </row>
    <row r="206">
      <c r="A206" s="50"/>
      <c r="B206" s="50"/>
      <c r="C206" s="50"/>
      <c r="D206" s="43"/>
      <c r="E206" s="43"/>
      <c r="F206" s="47" t="str">
        <f>IFERROR(__xludf.DUMMYFUNCTION("""COMPUTED_VALUE"""),"")</f>
        <v/>
      </c>
      <c r="G206" s="47" t="str">
        <f t="shared" si="2"/>
        <v/>
      </c>
      <c r="H206" s="48"/>
    </row>
    <row r="207">
      <c r="A207" s="50"/>
      <c r="B207" s="50"/>
      <c r="C207" s="50"/>
      <c r="D207" s="43"/>
      <c r="E207" s="43"/>
      <c r="F207" s="47" t="str">
        <f>IFERROR(__xludf.DUMMYFUNCTION("""COMPUTED_VALUE"""),"")</f>
        <v/>
      </c>
      <c r="G207" s="47" t="str">
        <f t="shared" si="2"/>
        <v/>
      </c>
      <c r="H207" s="48"/>
    </row>
    <row r="208">
      <c r="A208" s="50"/>
      <c r="B208" s="50"/>
      <c r="C208" s="50"/>
      <c r="D208" s="43"/>
      <c r="E208" s="43"/>
      <c r="F208" s="47" t="str">
        <f>IFERROR(__xludf.DUMMYFUNCTION("""COMPUTED_VALUE"""),"")</f>
        <v/>
      </c>
      <c r="G208" s="47" t="str">
        <f t="shared" si="2"/>
        <v/>
      </c>
      <c r="H208" s="48"/>
    </row>
    <row r="209">
      <c r="A209" s="50"/>
      <c r="B209" s="50"/>
      <c r="C209" s="50"/>
      <c r="D209" s="43"/>
      <c r="E209" s="43"/>
      <c r="F209" s="47" t="str">
        <f>IFERROR(__xludf.DUMMYFUNCTION("""COMPUTED_VALUE"""),"")</f>
        <v/>
      </c>
      <c r="G209" s="47" t="str">
        <f t="shared" si="2"/>
        <v/>
      </c>
      <c r="H209" s="48"/>
    </row>
    <row r="210">
      <c r="A210" s="50"/>
      <c r="B210" s="50"/>
      <c r="C210" s="50"/>
      <c r="D210" s="43"/>
      <c r="E210" s="43"/>
      <c r="F210" s="47" t="str">
        <f>IFERROR(__xludf.DUMMYFUNCTION("""COMPUTED_VALUE"""),"")</f>
        <v/>
      </c>
      <c r="G210" s="47" t="str">
        <f t="shared" si="2"/>
        <v/>
      </c>
      <c r="H210" s="48"/>
    </row>
    <row r="211">
      <c r="A211" s="50"/>
      <c r="B211" s="50"/>
      <c r="C211" s="50"/>
      <c r="D211" s="43"/>
      <c r="E211" s="43"/>
      <c r="F211" s="47" t="str">
        <f>IFERROR(__xludf.DUMMYFUNCTION("""COMPUTED_VALUE"""),"")</f>
        <v/>
      </c>
      <c r="G211" s="47" t="str">
        <f t="shared" si="2"/>
        <v/>
      </c>
      <c r="H211" s="48"/>
    </row>
    <row r="212">
      <c r="A212" s="50"/>
      <c r="B212" s="50"/>
      <c r="C212" s="50"/>
      <c r="D212" s="43"/>
      <c r="E212" s="43"/>
      <c r="F212" s="47" t="str">
        <f>IFERROR(__xludf.DUMMYFUNCTION("""COMPUTED_VALUE"""),"")</f>
        <v/>
      </c>
      <c r="G212" s="47" t="str">
        <f t="shared" si="2"/>
        <v/>
      </c>
      <c r="H212" s="48"/>
    </row>
    <row r="213">
      <c r="A213" s="50"/>
      <c r="B213" s="50"/>
      <c r="C213" s="50"/>
      <c r="D213" s="43"/>
      <c r="E213" s="43"/>
      <c r="F213" s="47" t="str">
        <f>IFERROR(__xludf.DUMMYFUNCTION("""COMPUTED_VALUE"""),"")</f>
        <v/>
      </c>
      <c r="G213" s="47" t="str">
        <f t="shared" si="2"/>
        <v/>
      </c>
      <c r="H213" s="48"/>
    </row>
    <row r="214">
      <c r="A214" s="50"/>
      <c r="B214" s="50"/>
      <c r="C214" s="50"/>
      <c r="D214" s="43"/>
      <c r="E214" s="43"/>
      <c r="F214" s="47" t="str">
        <f>IFERROR(__xludf.DUMMYFUNCTION("""COMPUTED_VALUE"""),"")</f>
        <v/>
      </c>
      <c r="G214" s="47" t="str">
        <f t="shared" si="2"/>
        <v/>
      </c>
      <c r="H214" s="48"/>
    </row>
    <row r="215">
      <c r="A215" s="50"/>
      <c r="B215" s="50"/>
      <c r="C215" s="50"/>
      <c r="D215" s="43"/>
      <c r="E215" s="43"/>
      <c r="F215" s="47" t="str">
        <f>IFERROR(__xludf.DUMMYFUNCTION("""COMPUTED_VALUE"""),"")</f>
        <v/>
      </c>
      <c r="G215" s="47" t="str">
        <f t="shared" si="2"/>
        <v/>
      </c>
      <c r="H215" s="48"/>
    </row>
    <row r="216">
      <c r="A216" s="50"/>
      <c r="B216" s="50"/>
      <c r="C216" s="50"/>
      <c r="D216" s="43"/>
      <c r="E216" s="43"/>
      <c r="F216" s="47" t="str">
        <f>IFERROR(__xludf.DUMMYFUNCTION("""COMPUTED_VALUE"""),"")</f>
        <v/>
      </c>
      <c r="G216" s="47" t="str">
        <f t="shared" si="2"/>
        <v/>
      </c>
      <c r="H216" s="48"/>
    </row>
    <row r="217">
      <c r="A217" s="50"/>
      <c r="B217" s="50"/>
      <c r="C217" s="50"/>
      <c r="D217" s="43"/>
      <c r="E217" s="43"/>
      <c r="F217" s="47" t="str">
        <f>IFERROR(__xludf.DUMMYFUNCTION("""COMPUTED_VALUE"""),"")</f>
        <v/>
      </c>
      <c r="G217" s="47" t="str">
        <f t="shared" si="2"/>
        <v/>
      </c>
      <c r="H217" s="48"/>
    </row>
    <row r="218">
      <c r="A218" s="50"/>
      <c r="B218" s="50"/>
      <c r="C218" s="50"/>
      <c r="D218" s="43"/>
      <c r="E218" s="43"/>
      <c r="F218" s="47" t="str">
        <f>IFERROR(__xludf.DUMMYFUNCTION("""COMPUTED_VALUE"""),"")</f>
        <v/>
      </c>
      <c r="G218" s="47" t="str">
        <f t="shared" si="2"/>
        <v/>
      </c>
      <c r="H218" s="48"/>
    </row>
    <row r="219">
      <c r="A219" s="50"/>
      <c r="B219" s="50"/>
      <c r="C219" s="50"/>
      <c r="D219" s="43"/>
      <c r="E219" s="43"/>
      <c r="F219" s="47" t="str">
        <f>IFERROR(__xludf.DUMMYFUNCTION("""COMPUTED_VALUE"""),"")</f>
        <v/>
      </c>
      <c r="G219" s="47" t="str">
        <f t="shared" si="2"/>
        <v/>
      </c>
      <c r="H219" s="48"/>
    </row>
    <row r="220">
      <c r="A220" s="50"/>
      <c r="B220" s="50"/>
      <c r="C220" s="50"/>
      <c r="D220" s="43"/>
      <c r="E220" s="43"/>
      <c r="F220" s="47" t="str">
        <f>IFERROR(__xludf.DUMMYFUNCTION("""COMPUTED_VALUE"""),"")</f>
        <v/>
      </c>
      <c r="G220" s="47" t="str">
        <f t="shared" si="2"/>
        <v/>
      </c>
      <c r="H220" s="48"/>
    </row>
    <row r="221">
      <c r="A221" s="50"/>
      <c r="B221" s="50"/>
      <c r="C221" s="50"/>
      <c r="D221" s="43"/>
      <c r="E221" s="43"/>
      <c r="F221" s="47" t="str">
        <f>IFERROR(__xludf.DUMMYFUNCTION("""COMPUTED_VALUE"""),"")</f>
        <v/>
      </c>
      <c r="G221" s="47" t="str">
        <f t="shared" si="2"/>
        <v/>
      </c>
      <c r="H221" s="48"/>
    </row>
    <row r="222">
      <c r="A222" s="50"/>
      <c r="B222" s="50"/>
      <c r="C222" s="50"/>
      <c r="D222" s="43"/>
      <c r="E222" s="43"/>
      <c r="F222" s="47" t="str">
        <f>IFERROR(__xludf.DUMMYFUNCTION("""COMPUTED_VALUE"""),"")</f>
        <v/>
      </c>
      <c r="G222" s="47" t="str">
        <f t="shared" si="2"/>
        <v/>
      </c>
      <c r="H222" s="48"/>
    </row>
    <row r="223">
      <c r="A223" s="50"/>
      <c r="B223" s="50"/>
      <c r="C223" s="50"/>
      <c r="D223" s="43"/>
      <c r="E223" s="43"/>
      <c r="F223" s="47" t="str">
        <f>IFERROR(__xludf.DUMMYFUNCTION("""COMPUTED_VALUE"""),"")</f>
        <v/>
      </c>
      <c r="G223" s="47" t="str">
        <f t="shared" si="2"/>
        <v/>
      </c>
      <c r="H223" s="48"/>
    </row>
    <row r="224">
      <c r="A224" s="50"/>
      <c r="B224" s="50"/>
      <c r="C224" s="50"/>
      <c r="D224" s="43"/>
      <c r="E224" s="43"/>
      <c r="F224" s="47" t="str">
        <f>IFERROR(__xludf.DUMMYFUNCTION("""COMPUTED_VALUE"""),"")</f>
        <v/>
      </c>
      <c r="G224" s="47" t="str">
        <f t="shared" si="2"/>
        <v/>
      </c>
      <c r="H224" s="48"/>
    </row>
    <row r="225">
      <c r="A225" s="50"/>
      <c r="B225" s="50"/>
      <c r="C225" s="50"/>
      <c r="D225" s="43"/>
      <c r="E225" s="43"/>
      <c r="F225" s="47" t="str">
        <f>IFERROR(__xludf.DUMMYFUNCTION("""COMPUTED_VALUE"""),"")</f>
        <v/>
      </c>
      <c r="G225" s="47" t="str">
        <f t="shared" si="2"/>
        <v/>
      </c>
      <c r="H225" s="48"/>
    </row>
    <row r="226">
      <c r="A226" s="50"/>
      <c r="B226" s="50"/>
      <c r="C226" s="50"/>
      <c r="D226" s="43"/>
      <c r="E226" s="43"/>
      <c r="F226" s="47" t="str">
        <f>IFERROR(__xludf.DUMMYFUNCTION("""COMPUTED_VALUE"""),"")</f>
        <v/>
      </c>
      <c r="G226" s="47" t="str">
        <f t="shared" si="2"/>
        <v/>
      </c>
      <c r="H226" s="48"/>
    </row>
    <row r="227">
      <c r="A227" s="50"/>
      <c r="B227" s="50"/>
      <c r="C227" s="50"/>
      <c r="D227" s="43"/>
      <c r="E227" s="43"/>
      <c r="F227" s="47" t="str">
        <f>IFERROR(__xludf.DUMMYFUNCTION("""COMPUTED_VALUE"""),"")</f>
        <v/>
      </c>
      <c r="G227" s="47" t="str">
        <f t="shared" si="2"/>
        <v/>
      </c>
      <c r="H227" s="48"/>
    </row>
    <row r="228">
      <c r="A228" s="50"/>
      <c r="B228" s="50"/>
      <c r="C228" s="50"/>
      <c r="D228" s="43"/>
      <c r="E228" s="43"/>
      <c r="F228" s="47" t="str">
        <f>IFERROR(__xludf.DUMMYFUNCTION("""COMPUTED_VALUE"""),"")</f>
        <v/>
      </c>
      <c r="G228" s="47" t="str">
        <f t="shared" si="2"/>
        <v/>
      </c>
      <c r="H228" s="48"/>
    </row>
    <row r="229">
      <c r="A229" s="50"/>
      <c r="B229" s="50"/>
      <c r="C229" s="50"/>
      <c r="D229" s="43"/>
      <c r="E229" s="43"/>
      <c r="F229" s="47" t="str">
        <f>IFERROR(__xludf.DUMMYFUNCTION("""COMPUTED_VALUE"""),"")</f>
        <v/>
      </c>
      <c r="G229" s="47" t="str">
        <f t="shared" si="2"/>
        <v/>
      </c>
      <c r="H229" s="48"/>
    </row>
    <row r="230">
      <c r="A230" s="50"/>
      <c r="B230" s="50"/>
      <c r="C230" s="50"/>
      <c r="D230" s="43"/>
      <c r="E230" s="43"/>
      <c r="F230" s="47" t="str">
        <f>IFERROR(__xludf.DUMMYFUNCTION("""COMPUTED_VALUE"""),"")</f>
        <v/>
      </c>
      <c r="G230" s="47" t="str">
        <f t="shared" si="2"/>
        <v/>
      </c>
      <c r="H230" s="48"/>
    </row>
    <row r="231">
      <c r="A231" s="50"/>
      <c r="B231" s="50"/>
      <c r="C231" s="50"/>
      <c r="D231" s="43"/>
      <c r="E231" s="43"/>
      <c r="F231" s="47" t="str">
        <f>IFERROR(__xludf.DUMMYFUNCTION("""COMPUTED_VALUE"""),"")</f>
        <v/>
      </c>
      <c r="G231" s="47" t="str">
        <f t="shared" si="2"/>
        <v/>
      </c>
      <c r="H231" s="48"/>
    </row>
    <row r="232">
      <c r="A232" s="50"/>
      <c r="B232" s="50"/>
      <c r="C232" s="50"/>
      <c r="D232" s="43"/>
      <c r="E232" s="43"/>
      <c r="F232" s="47" t="str">
        <f>IFERROR(__xludf.DUMMYFUNCTION("""COMPUTED_VALUE"""),"")</f>
        <v/>
      </c>
      <c r="G232" s="47" t="str">
        <f t="shared" si="2"/>
        <v/>
      </c>
      <c r="H232" s="48"/>
    </row>
    <row r="233">
      <c r="A233" s="50"/>
      <c r="B233" s="50"/>
      <c r="C233" s="50"/>
      <c r="D233" s="43"/>
      <c r="E233" s="43"/>
      <c r="F233" s="47" t="str">
        <f>IFERROR(__xludf.DUMMYFUNCTION("""COMPUTED_VALUE"""),"")</f>
        <v/>
      </c>
      <c r="G233" s="47" t="str">
        <f t="shared" si="2"/>
        <v/>
      </c>
      <c r="H233" s="48"/>
    </row>
    <row r="234">
      <c r="A234" s="50"/>
      <c r="B234" s="50"/>
      <c r="C234" s="50"/>
      <c r="D234" s="43"/>
      <c r="E234" s="43"/>
      <c r="F234" s="47" t="str">
        <f>IFERROR(__xludf.DUMMYFUNCTION("""COMPUTED_VALUE"""),"")</f>
        <v/>
      </c>
      <c r="G234" s="47" t="str">
        <f t="shared" si="2"/>
        <v/>
      </c>
      <c r="H234" s="48"/>
    </row>
    <row r="235">
      <c r="A235" s="50"/>
      <c r="B235" s="50"/>
      <c r="C235" s="50"/>
      <c r="D235" s="43"/>
      <c r="E235" s="43"/>
      <c r="F235" s="47" t="str">
        <f>IFERROR(__xludf.DUMMYFUNCTION("""COMPUTED_VALUE"""),"")</f>
        <v/>
      </c>
      <c r="G235" s="47" t="str">
        <f t="shared" si="2"/>
        <v/>
      </c>
      <c r="H235" s="48"/>
    </row>
    <row r="236">
      <c r="A236" s="50"/>
      <c r="B236" s="50"/>
      <c r="C236" s="50"/>
      <c r="D236" s="43"/>
      <c r="E236" s="43"/>
      <c r="F236" s="47" t="str">
        <f>IFERROR(__xludf.DUMMYFUNCTION("""COMPUTED_VALUE"""),"")</f>
        <v/>
      </c>
      <c r="G236" s="47" t="str">
        <f t="shared" si="2"/>
        <v/>
      </c>
      <c r="H236" s="48"/>
    </row>
    <row r="237">
      <c r="A237" s="50"/>
      <c r="B237" s="50"/>
      <c r="C237" s="50"/>
      <c r="D237" s="43"/>
      <c r="E237" s="43"/>
      <c r="F237" s="47" t="str">
        <f>IFERROR(__xludf.DUMMYFUNCTION("""COMPUTED_VALUE"""),"")</f>
        <v/>
      </c>
      <c r="G237" s="47" t="str">
        <f t="shared" si="2"/>
        <v/>
      </c>
      <c r="H237" s="48"/>
    </row>
    <row r="238">
      <c r="A238" s="50"/>
      <c r="B238" s="50"/>
      <c r="C238" s="50"/>
      <c r="D238" s="43"/>
      <c r="E238" s="43"/>
      <c r="F238" s="47" t="str">
        <f>IFERROR(__xludf.DUMMYFUNCTION("""COMPUTED_VALUE"""),"")</f>
        <v/>
      </c>
      <c r="G238" s="47" t="str">
        <f t="shared" si="2"/>
        <v/>
      </c>
      <c r="H238" s="48"/>
    </row>
    <row r="239">
      <c r="A239" s="50"/>
      <c r="B239" s="50"/>
      <c r="C239" s="50"/>
      <c r="D239" s="43"/>
      <c r="E239" s="43"/>
      <c r="F239" s="47" t="str">
        <f>IFERROR(__xludf.DUMMYFUNCTION("""COMPUTED_VALUE"""),"")</f>
        <v/>
      </c>
      <c r="G239" s="47" t="str">
        <f t="shared" si="2"/>
        <v/>
      </c>
      <c r="H239" s="48"/>
    </row>
    <row r="240">
      <c r="A240" s="50"/>
      <c r="B240" s="50"/>
      <c r="C240" s="50"/>
      <c r="D240" s="43"/>
      <c r="E240" s="43"/>
      <c r="F240" s="47" t="str">
        <f>IFERROR(__xludf.DUMMYFUNCTION("""COMPUTED_VALUE"""),"")</f>
        <v/>
      </c>
      <c r="G240" s="47" t="str">
        <f t="shared" si="2"/>
        <v/>
      </c>
      <c r="H240" s="48"/>
    </row>
    <row r="241">
      <c r="A241" s="50"/>
      <c r="B241" s="50"/>
      <c r="C241" s="50"/>
      <c r="D241" s="43"/>
      <c r="E241" s="43"/>
      <c r="F241" s="47" t="str">
        <f>IFERROR(__xludf.DUMMYFUNCTION("""COMPUTED_VALUE"""),"")</f>
        <v/>
      </c>
      <c r="G241" s="47" t="str">
        <f t="shared" si="2"/>
        <v/>
      </c>
      <c r="H241" s="48"/>
    </row>
    <row r="242">
      <c r="A242" s="50"/>
      <c r="B242" s="50"/>
      <c r="C242" s="50"/>
      <c r="D242" s="43"/>
      <c r="E242" s="43"/>
      <c r="F242" s="47" t="str">
        <f>IFERROR(__xludf.DUMMYFUNCTION("""COMPUTED_VALUE"""),"")</f>
        <v/>
      </c>
      <c r="G242" s="47" t="str">
        <f t="shared" si="2"/>
        <v/>
      </c>
      <c r="H242" s="48"/>
    </row>
    <row r="243">
      <c r="A243" s="50"/>
      <c r="B243" s="50"/>
      <c r="C243" s="50"/>
      <c r="D243" s="43"/>
      <c r="E243" s="43"/>
      <c r="F243" s="47" t="str">
        <f>IFERROR(__xludf.DUMMYFUNCTION("""COMPUTED_VALUE"""),"")</f>
        <v/>
      </c>
      <c r="G243" s="47" t="str">
        <f t="shared" si="2"/>
        <v/>
      </c>
      <c r="H243" s="48"/>
    </row>
    <row r="244">
      <c r="A244" s="50"/>
      <c r="B244" s="50"/>
      <c r="C244" s="50"/>
      <c r="D244" s="43"/>
      <c r="E244" s="43"/>
      <c r="F244" s="47" t="str">
        <f>IFERROR(__xludf.DUMMYFUNCTION("""COMPUTED_VALUE"""),"")</f>
        <v/>
      </c>
      <c r="G244" s="47" t="str">
        <f t="shared" si="2"/>
        <v/>
      </c>
      <c r="H244" s="48"/>
    </row>
    <row r="245">
      <c r="A245" s="50"/>
      <c r="B245" s="50"/>
      <c r="C245" s="50"/>
      <c r="D245" s="43"/>
      <c r="E245" s="43"/>
      <c r="F245" s="47" t="str">
        <f>IFERROR(__xludf.DUMMYFUNCTION("""COMPUTED_VALUE"""),"")</f>
        <v/>
      </c>
      <c r="G245" s="47" t="str">
        <f t="shared" si="2"/>
        <v/>
      </c>
      <c r="H245" s="48"/>
    </row>
    <row r="246">
      <c r="A246" s="50"/>
      <c r="B246" s="50"/>
      <c r="C246" s="50"/>
      <c r="D246" s="43"/>
      <c r="E246" s="43"/>
      <c r="F246" s="47" t="str">
        <f>IFERROR(__xludf.DUMMYFUNCTION("""COMPUTED_VALUE"""),"")</f>
        <v/>
      </c>
      <c r="G246" s="47" t="str">
        <f t="shared" si="2"/>
        <v/>
      </c>
      <c r="H246" s="48"/>
    </row>
    <row r="247">
      <c r="A247" s="50"/>
      <c r="B247" s="50"/>
      <c r="C247" s="50"/>
      <c r="D247" s="43"/>
      <c r="E247" s="43"/>
      <c r="F247" s="47" t="str">
        <f>IFERROR(__xludf.DUMMYFUNCTION("""COMPUTED_VALUE"""),"")</f>
        <v/>
      </c>
      <c r="G247" s="47" t="str">
        <f t="shared" si="2"/>
        <v/>
      </c>
      <c r="H247" s="48"/>
    </row>
    <row r="248">
      <c r="A248" s="50"/>
      <c r="B248" s="50"/>
      <c r="C248" s="50"/>
      <c r="D248" s="43"/>
      <c r="E248" s="43"/>
      <c r="F248" s="47" t="str">
        <f>IFERROR(__xludf.DUMMYFUNCTION("""COMPUTED_VALUE"""),"")</f>
        <v/>
      </c>
      <c r="G248" s="47" t="str">
        <f t="shared" si="2"/>
        <v/>
      </c>
      <c r="H248" s="48"/>
    </row>
    <row r="249">
      <c r="A249" s="50"/>
      <c r="B249" s="50"/>
      <c r="C249" s="50"/>
      <c r="D249" s="43"/>
      <c r="E249" s="43"/>
      <c r="F249" s="47" t="str">
        <f>IFERROR(__xludf.DUMMYFUNCTION("""COMPUTED_VALUE"""),"")</f>
        <v/>
      </c>
      <c r="G249" s="47" t="str">
        <f t="shared" si="2"/>
        <v/>
      </c>
      <c r="H249" s="48"/>
    </row>
    <row r="250">
      <c r="A250" s="50"/>
      <c r="B250" s="50"/>
      <c r="C250" s="50"/>
      <c r="D250" s="43"/>
      <c r="E250" s="43"/>
      <c r="F250" s="47" t="str">
        <f>IFERROR(__xludf.DUMMYFUNCTION("""COMPUTED_VALUE"""),"")</f>
        <v/>
      </c>
      <c r="G250" s="47" t="str">
        <f t="shared" si="2"/>
        <v/>
      </c>
      <c r="H250" s="48"/>
    </row>
    <row r="251">
      <c r="A251" s="50"/>
      <c r="B251" s="50"/>
      <c r="C251" s="50"/>
      <c r="D251" s="43"/>
      <c r="E251" s="43"/>
      <c r="F251" s="47" t="str">
        <f>IFERROR(__xludf.DUMMYFUNCTION("""COMPUTED_VALUE"""),"")</f>
        <v/>
      </c>
      <c r="G251" s="47" t="str">
        <f t="shared" si="2"/>
        <v/>
      </c>
      <c r="H251" s="48"/>
    </row>
    <row r="252">
      <c r="A252" s="50"/>
      <c r="B252" s="50"/>
      <c r="C252" s="50"/>
      <c r="D252" s="43"/>
      <c r="E252" s="43"/>
      <c r="F252" s="47" t="str">
        <f>IFERROR(__xludf.DUMMYFUNCTION("""COMPUTED_VALUE"""),"")</f>
        <v/>
      </c>
      <c r="G252" s="47" t="str">
        <f t="shared" si="2"/>
        <v/>
      </c>
      <c r="H252" s="48"/>
    </row>
    <row r="253">
      <c r="A253" s="50"/>
      <c r="B253" s="50"/>
      <c r="C253" s="50"/>
      <c r="D253" s="43"/>
      <c r="E253" s="43"/>
      <c r="F253" s="47" t="str">
        <f>IFERROR(__xludf.DUMMYFUNCTION("""COMPUTED_VALUE"""),"")</f>
        <v/>
      </c>
      <c r="G253" s="47" t="str">
        <f t="shared" si="2"/>
        <v/>
      </c>
      <c r="H253" s="48"/>
    </row>
    <row r="254">
      <c r="A254" s="50"/>
      <c r="B254" s="50"/>
      <c r="C254" s="50"/>
      <c r="D254" s="43"/>
      <c r="E254" s="43"/>
      <c r="F254" s="47" t="str">
        <f>IFERROR(__xludf.DUMMYFUNCTION("""COMPUTED_VALUE"""),"")</f>
        <v/>
      </c>
      <c r="G254" s="47" t="str">
        <f t="shared" si="2"/>
        <v/>
      </c>
      <c r="H254" s="48"/>
    </row>
    <row r="255">
      <c r="A255" s="50"/>
      <c r="B255" s="50"/>
      <c r="C255" s="50"/>
      <c r="D255" s="43"/>
      <c r="E255" s="43"/>
      <c r="F255" s="47" t="str">
        <f>IFERROR(__xludf.DUMMYFUNCTION("""COMPUTED_VALUE"""),"")</f>
        <v/>
      </c>
      <c r="G255" s="47" t="str">
        <f t="shared" si="2"/>
        <v/>
      </c>
      <c r="H255" s="48"/>
    </row>
    <row r="256">
      <c r="A256" s="50"/>
      <c r="B256" s="50"/>
      <c r="C256" s="50"/>
      <c r="D256" s="43"/>
      <c r="E256" s="43"/>
      <c r="F256" s="47" t="str">
        <f>IFERROR(__xludf.DUMMYFUNCTION("""COMPUTED_VALUE"""),"")</f>
        <v/>
      </c>
      <c r="G256" s="47" t="str">
        <f t="shared" si="2"/>
        <v/>
      </c>
      <c r="H256" s="48"/>
    </row>
    <row r="257">
      <c r="A257" s="50"/>
      <c r="B257" s="50"/>
      <c r="C257" s="50"/>
      <c r="D257" s="43"/>
      <c r="E257" s="43"/>
      <c r="F257" s="47" t="str">
        <f>IFERROR(__xludf.DUMMYFUNCTION("""COMPUTED_VALUE"""),"")</f>
        <v/>
      </c>
      <c r="G257" s="47" t="str">
        <f t="shared" si="2"/>
        <v/>
      </c>
      <c r="H257" s="48"/>
    </row>
    <row r="258">
      <c r="A258" s="50"/>
      <c r="B258" s="50"/>
      <c r="C258" s="50"/>
      <c r="D258" s="43"/>
      <c r="E258" s="43"/>
      <c r="F258" s="47" t="str">
        <f>IFERROR(__xludf.DUMMYFUNCTION("""COMPUTED_VALUE"""),"")</f>
        <v/>
      </c>
      <c r="G258" s="47" t="str">
        <f t="shared" si="2"/>
        <v/>
      </c>
      <c r="H258" s="48"/>
    </row>
    <row r="259">
      <c r="A259" s="50"/>
      <c r="B259" s="50"/>
      <c r="C259" s="50"/>
      <c r="D259" s="43"/>
      <c r="E259" s="43"/>
      <c r="F259" s="47" t="str">
        <f>IFERROR(__xludf.DUMMYFUNCTION("""COMPUTED_VALUE"""),"")</f>
        <v/>
      </c>
      <c r="G259" s="47" t="str">
        <f t="shared" si="2"/>
        <v/>
      </c>
      <c r="H259" s="48"/>
    </row>
    <row r="260">
      <c r="A260" s="50"/>
      <c r="B260" s="50"/>
      <c r="C260" s="50"/>
      <c r="D260" s="43"/>
      <c r="E260" s="43"/>
      <c r="F260" s="47" t="str">
        <f>IFERROR(__xludf.DUMMYFUNCTION("""COMPUTED_VALUE"""),"")</f>
        <v/>
      </c>
      <c r="G260" s="47" t="str">
        <f t="shared" si="2"/>
        <v/>
      </c>
      <c r="H260" s="48"/>
    </row>
    <row r="261">
      <c r="A261" s="50"/>
      <c r="B261" s="50"/>
      <c r="C261" s="50"/>
      <c r="D261" s="43"/>
      <c r="E261" s="43"/>
      <c r="F261" s="47" t="str">
        <f>IFERROR(__xludf.DUMMYFUNCTION("""COMPUTED_VALUE"""),"")</f>
        <v/>
      </c>
      <c r="G261" s="47" t="str">
        <f t="shared" si="2"/>
        <v/>
      </c>
      <c r="H261" s="48"/>
    </row>
    <row r="262">
      <c r="A262" s="50"/>
      <c r="B262" s="50"/>
      <c r="C262" s="50"/>
      <c r="D262" s="43"/>
      <c r="E262" s="43"/>
      <c r="F262" s="47" t="str">
        <f>IFERROR(__xludf.DUMMYFUNCTION("""COMPUTED_VALUE"""),"")</f>
        <v/>
      </c>
      <c r="G262" s="47" t="str">
        <f t="shared" si="2"/>
        <v/>
      </c>
      <c r="H262" s="48"/>
    </row>
    <row r="263">
      <c r="A263" s="50"/>
      <c r="B263" s="50"/>
      <c r="C263" s="50"/>
      <c r="D263" s="43"/>
      <c r="E263" s="43"/>
      <c r="F263" s="47" t="str">
        <f>IFERROR(__xludf.DUMMYFUNCTION("""COMPUTED_VALUE"""),"")</f>
        <v/>
      </c>
      <c r="G263" s="47" t="str">
        <f t="shared" si="2"/>
        <v/>
      </c>
      <c r="H263" s="48"/>
    </row>
    <row r="264">
      <c r="A264" s="50"/>
      <c r="B264" s="50"/>
      <c r="C264" s="50"/>
      <c r="D264" s="43"/>
      <c r="E264" s="43"/>
      <c r="F264" s="47" t="str">
        <f>IFERROR(__xludf.DUMMYFUNCTION("""COMPUTED_VALUE"""),"")</f>
        <v/>
      </c>
      <c r="G264" s="47" t="str">
        <f t="shared" si="2"/>
        <v/>
      </c>
      <c r="H264" s="48"/>
    </row>
    <row r="265">
      <c r="A265" s="50"/>
      <c r="B265" s="50"/>
      <c r="C265" s="50"/>
      <c r="D265" s="43"/>
      <c r="E265" s="43"/>
      <c r="F265" s="47" t="str">
        <f>IFERROR(__xludf.DUMMYFUNCTION("""COMPUTED_VALUE"""),"")</f>
        <v/>
      </c>
      <c r="G265" s="47" t="str">
        <f t="shared" si="2"/>
        <v/>
      </c>
      <c r="H265" s="48"/>
    </row>
    <row r="266">
      <c r="A266" s="50"/>
      <c r="B266" s="50"/>
      <c r="C266" s="50"/>
      <c r="D266" s="43"/>
      <c r="E266" s="43"/>
      <c r="F266" s="47" t="str">
        <f>IFERROR(__xludf.DUMMYFUNCTION("""COMPUTED_VALUE"""),"")</f>
        <v/>
      </c>
      <c r="G266" s="47" t="str">
        <f t="shared" si="2"/>
        <v/>
      </c>
      <c r="H266" s="48"/>
    </row>
    <row r="267">
      <c r="A267" s="50"/>
      <c r="B267" s="50"/>
      <c r="C267" s="50"/>
      <c r="D267" s="43"/>
      <c r="E267" s="43"/>
      <c r="F267" s="47" t="str">
        <f>IFERROR(__xludf.DUMMYFUNCTION("""COMPUTED_VALUE"""),"")</f>
        <v/>
      </c>
      <c r="G267" s="47" t="str">
        <f t="shared" si="2"/>
        <v/>
      </c>
      <c r="H267" s="48"/>
    </row>
    <row r="268">
      <c r="A268" s="50"/>
      <c r="B268" s="50"/>
      <c r="C268" s="50"/>
      <c r="D268" s="43"/>
      <c r="E268" s="43"/>
      <c r="F268" s="47" t="str">
        <f>IFERROR(__xludf.DUMMYFUNCTION("""COMPUTED_VALUE"""),"")</f>
        <v/>
      </c>
      <c r="G268" s="47" t="str">
        <f t="shared" si="2"/>
        <v/>
      </c>
      <c r="H268" s="48"/>
    </row>
    <row r="269">
      <c r="A269" s="50"/>
      <c r="B269" s="50"/>
      <c r="C269" s="50"/>
      <c r="D269" s="43"/>
      <c r="E269" s="43"/>
      <c r="F269" s="47" t="str">
        <f>IFERROR(__xludf.DUMMYFUNCTION("""COMPUTED_VALUE"""),"")</f>
        <v/>
      </c>
      <c r="G269" s="47" t="str">
        <f t="shared" si="2"/>
        <v/>
      </c>
      <c r="H269" s="48"/>
    </row>
    <row r="270">
      <c r="A270" s="50"/>
      <c r="B270" s="50"/>
      <c r="C270" s="50"/>
      <c r="D270" s="43"/>
      <c r="E270" s="43"/>
      <c r="F270" s="47" t="str">
        <f>IFERROR(__xludf.DUMMYFUNCTION("""COMPUTED_VALUE"""),"")</f>
        <v/>
      </c>
      <c r="G270" s="47" t="str">
        <f t="shared" si="2"/>
        <v/>
      </c>
      <c r="H270" s="48"/>
    </row>
    <row r="271">
      <c r="A271" s="50"/>
      <c r="B271" s="50"/>
      <c r="C271" s="50"/>
      <c r="D271" s="43"/>
      <c r="E271" s="43"/>
      <c r="F271" s="47" t="str">
        <f>IFERROR(__xludf.DUMMYFUNCTION("""COMPUTED_VALUE"""),"")</f>
        <v/>
      </c>
      <c r="G271" s="47" t="str">
        <f t="shared" si="2"/>
        <v/>
      </c>
      <c r="H271" s="48"/>
    </row>
    <row r="272">
      <c r="A272" s="50"/>
      <c r="B272" s="50"/>
      <c r="C272" s="50"/>
      <c r="D272" s="43"/>
      <c r="E272" s="43"/>
      <c r="F272" s="47" t="str">
        <f>IFERROR(__xludf.DUMMYFUNCTION("""COMPUTED_VALUE"""),"")</f>
        <v/>
      </c>
      <c r="G272" s="47" t="str">
        <f t="shared" si="2"/>
        <v/>
      </c>
      <c r="H272" s="48"/>
    </row>
    <row r="273">
      <c r="A273" s="50"/>
      <c r="B273" s="50"/>
      <c r="C273" s="50"/>
      <c r="D273" s="43"/>
      <c r="E273" s="43"/>
      <c r="F273" s="47" t="str">
        <f>IFERROR(__xludf.DUMMYFUNCTION("""COMPUTED_VALUE"""),"")</f>
        <v/>
      </c>
      <c r="G273" s="47" t="str">
        <f t="shared" si="2"/>
        <v/>
      </c>
      <c r="H273" s="48"/>
    </row>
    <row r="274">
      <c r="A274" s="50"/>
      <c r="B274" s="50"/>
      <c r="C274" s="50"/>
      <c r="D274" s="43"/>
      <c r="E274" s="43"/>
      <c r="F274" s="47" t="str">
        <f>IFERROR(__xludf.DUMMYFUNCTION("""COMPUTED_VALUE"""),"")</f>
        <v/>
      </c>
      <c r="G274" s="47" t="str">
        <f t="shared" si="2"/>
        <v/>
      </c>
      <c r="H274" s="48"/>
    </row>
    <row r="275">
      <c r="A275" s="50"/>
      <c r="B275" s="50"/>
      <c r="C275" s="50"/>
      <c r="D275" s="43"/>
      <c r="E275" s="43"/>
      <c r="F275" s="47" t="str">
        <f>IFERROR(__xludf.DUMMYFUNCTION("""COMPUTED_VALUE"""),"")</f>
        <v/>
      </c>
      <c r="G275" s="47" t="str">
        <f t="shared" si="2"/>
        <v/>
      </c>
      <c r="H275" s="48"/>
    </row>
    <row r="276">
      <c r="A276" s="50"/>
      <c r="B276" s="50"/>
      <c r="C276" s="50"/>
      <c r="D276" s="43"/>
      <c r="E276" s="43"/>
      <c r="F276" s="47" t="str">
        <f>IFERROR(__xludf.DUMMYFUNCTION("""COMPUTED_VALUE"""),"")</f>
        <v/>
      </c>
      <c r="G276" s="47" t="str">
        <f t="shared" si="2"/>
        <v/>
      </c>
      <c r="H276" s="48"/>
    </row>
    <row r="277">
      <c r="A277" s="50"/>
      <c r="B277" s="50"/>
      <c r="C277" s="50"/>
      <c r="D277" s="43"/>
      <c r="E277" s="43"/>
      <c r="F277" s="47" t="str">
        <f>IFERROR(__xludf.DUMMYFUNCTION("""COMPUTED_VALUE"""),"")</f>
        <v/>
      </c>
      <c r="G277" s="47" t="str">
        <f t="shared" si="2"/>
        <v/>
      </c>
      <c r="H277" s="48"/>
    </row>
    <row r="278">
      <c r="A278" s="50"/>
      <c r="B278" s="50"/>
      <c r="C278" s="50"/>
      <c r="D278" s="43"/>
      <c r="E278" s="43"/>
      <c r="F278" s="47" t="str">
        <f>IFERROR(__xludf.DUMMYFUNCTION("""COMPUTED_VALUE"""),"")</f>
        <v/>
      </c>
      <c r="G278" s="47" t="str">
        <f t="shared" si="2"/>
        <v/>
      </c>
      <c r="H278" s="48"/>
    </row>
    <row r="279">
      <c r="A279" s="50"/>
      <c r="B279" s="50"/>
      <c r="C279" s="50"/>
      <c r="D279" s="43"/>
      <c r="E279" s="43"/>
      <c r="F279" s="47" t="str">
        <f>IFERROR(__xludf.DUMMYFUNCTION("""COMPUTED_VALUE"""),"")</f>
        <v/>
      </c>
      <c r="G279" s="47" t="str">
        <f t="shared" si="2"/>
        <v/>
      </c>
      <c r="H279" s="48"/>
    </row>
    <row r="280">
      <c r="A280" s="50"/>
      <c r="B280" s="50"/>
      <c r="C280" s="50"/>
      <c r="D280" s="43"/>
      <c r="E280" s="43"/>
      <c r="F280" s="47" t="str">
        <f>IFERROR(__xludf.DUMMYFUNCTION("""COMPUTED_VALUE"""),"")</f>
        <v/>
      </c>
      <c r="G280" s="47" t="str">
        <f t="shared" si="2"/>
        <v/>
      </c>
      <c r="H280" s="48"/>
    </row>
    <row r="281">
      <c r="A281" s="50"/>
      <c r="B281" s="50"/>
      <c r="C281" s="50"/>
      <c r="D281" s="43"/>
      <c r="E281" s="43"/>
      <c r="F281" s="47" t="str">
        <f>IFERROR(__xludf.DUMMYFUNCTION("""COMPUTED_VALUE"""),"")</f>
        <v/>
      </c>
      <c r="G281" s="47" t="str">
        <f t="shared" si="2"/>
        <v/>
      </c>
      <c r="H281" s="48"/>
    </row>
    <row r="282">
      <c r="A282" s="50"/>
      <c r="B282" s="50"/>
      <c r="C282" s="50"/>
      <c r="D282" s="43"/>
      <c r="E282" s="43"/>
      <c r="F282" s="47" t="str">
        <f>IFERROR(__xludf.DUMMYFUNCTION("""COMPUTED_VALUE"""),"")</f>
        <v/>
      </c>
      <c r="G282" s="47" t="str">
        <f t="shared" si="2"/>
        <v/>
      </c>
      <c r="H282" s="48"/>
    </row>
    <row r="283">
      <c r="A283" s="50"/>
      <c r="B283" s="50"/>
      <c r="C283" s="50"/>
      <c r="D283" s="43"/>
      <c r="E283" s="43"/>
      <c r="F283" s="47" t="str">
        <f>IFERROR(__xludf.DUMMYFUNCTION("""COMPUTED_VALUE"""),"")</f>
        <v/>
      </c>
      <c r="G283" s="47" t="str">
        <f t="shared" si="2"/>
        <v/>
      </c>
      <c r="H283" s="48"/>
    </row>
    <row r="284">
      <c r="A284" s="50"/>
      <c r="B284" s="50"/>
      <c r="C284" s="50"/>
      <c r="D284" s="43"/>
      <c r="E284" s="43"/>
      <c r="F284" s="47" t="str">
        <f>IFERROR(__xludf.DUMMYFUNCTION("""COMPUTED_VALUE"""),"")</f>
        <v/>
      </c>
      <c r="G284" s="47" t="str">
        <f t="shared" si="2"/>
        <v/>
      </c>
      <c r="H284" s="48"/>
    </row>
    <row r="285">
      <c r="A285" s="50"/>
      <c r="B285" s="50"/>
      <c r="C285" s="50"/>
      <c r="D285" s="43"/>
      <c r="E285" s="43"/>
      <c r="F285" s="47" t="str">
        <f>IFERROR(__xludf.DUMMYFUNCTION("""COMPUTED_VALUE"""),"")</f>
        <v/>
      </c>
      <c r="G285" s="47" t="str">
        <f t="shared" si="2"/>
        <v/>
      </c>
      <c r="H285" s="48"/>
    </row>
    <row r="286">
      <c r="A286" s="50"/>
      <c r="B286" s="50"/>
      <c r="C286" s="50"/>
      <c r="D286" s="43"/>
      <c r="E286" s="43"/>
      <c r="F286" s="47" t="str">
        <f>IFERROR(__xludf.DUMMYFUNCTION("""COMPUTED_VALUE"""),"")</f>
        <v/>
      </c>
      <c r="G286" s="47" t="str">
        <f t="shared" si="2"/>
        <v/>
      </c>
      <c r="H286" s="48"/>
    </row>
    <row r="287">
      <c r="A287" s="50"/>
      <c r="B287" s="50"/>
      <c r="C287" s="50"/>
      <c r="D287" s="43"/>
      <c r="E287" s="43"/>
      <c r="F287" s="47" t="str">
        <f>IFERROR(__xludf.DUMMYFUNCTION("""COMPUTED_VALUE"""),"")</f>
        <v/>
      </c>
      <c r="G287" s="47" t="str">
        <f t="shared" si="2"/>
        <v/>
      </c>
      <c r="H287" s="48"/>
    </row>
    <row r="288">
      <c r="A288" s="50"/>
      <c r="B288" s="50"/>
      <c r="C288" s="50"/>
      <c r="D288" s="43"/>
      <c r="E288" s="43"/>
      <c r="F288" s="47" t="str">
        <f>IFERROR(__xludf.DUMMYFUNCTION("""COMPUTED_VALUE"""),"")</f>
        <v/>
      </c>
      <c r="G288" s="47" t="str">
        <f t="shared" si="2"/>
        <v/>
      </c>
      <c r="H288" s="48"/>
    </row>
    <row r="289">
      <c r="A289" s="50"/>
      <c r="B289" s="50"/>
      <c r="C289" s="50"/>
      <c r="D289" s="43"/>
      <c r="E289" s="43"/>
      <c r="F289" s="47" t="str">
        <f>IFERROR(__xludf.DUMMYFUNCTION("""COMPUTED_VALUE"""),"")</f>
        <v/>
      </c>
      <c r="G289" s="47" t="str">
        <f t="shared" si="2"/>
        <v/>
      </c>
      <c r="H289" s="48"/>
    </row>
    <row r="290">
      <c r="A290" s="50"/>
      <c r="B290" s="50"/>
      <c r="C290" s="50"/>
      <c r="D290" s="43"/>
      <c r="E290" s="43"/>
      <c r="F290" s="47" t="str">
        <f>IFERROR(__xludf.DUMMYFUNCTION("""COMPUTED_VALUE"""),"")</f>
        <v/>
      </c>
      <c r="G290" s="47" t="str">
        <f t="shared" si="2"/>
        <v/>
      </c>
      <c r="H290" s="48"/>
    </row>
    <row r="291">
      <c r="A291" s="50"/>
      <c r="B291" s="50"/>
      <c r="C291" s="50"/>
      <c r="D291" s="43"/>
      <c r="E291" s="43"/>
      <c r="F291" s="47" t="str">
        <f>IFERROR(__xludf.DUMMYFUNCTION("""COMPUTED_VALUE"""),"")</f>
        <v/>
      </c>
      <c r="G291" s="47" t="str">
        <f t="shared" si="2"/>
        <v/>
      </c>
      <c r="H291" s="48"/>
    </row>
    <row r="292">
      <c r="A292" s="50"/>
      <c r="B292" s="50"/>
      <c r="C292" s="50"/>
      <c r="D292" s="43"/>
      <c r="E292" s="43"/>
      <c r="F292" s="47" t="str">
        <f>IFERROR(__xludf.DUMMYFUNCTION("""COMPUTED_VALUE"""),"")</f>
        <v/>
      </c>
      <c r="G292" s="47" t="str">
        <f t="shared" si="2"/>
        <v/>
      </c>
      <c r="H292" s="48"/>
    </row>
    <row r="293">
      <c r="A293" s="50"/>
      <c r="B293" s="50"/>
      <c r="C293" s="50"/>
      <c r="D293" s="43"/>
      <c r="E293" s="43"/>
      <c r="F293" s="47" t="str">
        <f>IFERROR(__xludf.DUMMYFUNCTION("""COMPUTED_VALUE"""),"")</f>
        <v/>
      </c>
      <c r="G293" s="47" t="str">
        <f t="shared" si="2"/>
        <v/>
      </c>
      <c r="H293" s="48"/>
    </row>
    <row r="294">
      <c r="A294" s="50"/>
      <c r="B294" s="50"/>
      <c r="C294" s="50"/>
      <c r="D294" s="43"/>
      <c r="E294" s="43"/>
      <c r="F294" s="47" t="str">
        <f>IFERROR(__xludf.DUMMYFUNCTION("""COMPUTED_VALUE"""),"")</f>
        <v/>
      </c>
      <c r="G294" s="47" t="str">
        <f t="shared" si="2"/>
        <v/>
      </c>
      <c r="H294" s="48"/>
    </row>
    <row r="295">
      <c r="A295" s="50"/>
      <c r="B295" s="50"/>
      <c r="C295" s="50"/>
      <c r="D295" s="43"/>
      <c r="E295" s="43"/>
      <c r="F295" s="47" t="str">
        <f>IFERROR(__xludf.DUMMYFUNCTION("""COMPUTED_VALUE"""),"")</f>
        <v/>
      </c>
      <c r="G295" s="47" t="str">
        <f t="shared" si="2"/>
        <v/>
      </c>
      <c r="H295" s="48"/>
    </row>
    <row r="296">
      <c r="A296" s="50"/>
      <c r="B296" s="50"/>
      <c r="C296" s="50"/>
      <c r="D296" s="43"/>
      <c r="E296" s="43"/>
      <c r="F296" s="47" t="str">
        <f>IFERROR(__xludf.DUMMYFUNCTION("""COMPUTED_VALUE"""),"")</f>
        <v/>
      </c>
      <c r="G296" s="47" t="str">
        <f t="shared" si="2"/>
        <v/>
      </c>
      <c r="H296" s="48"/>
    </row>
    <row r="297">
      <c r="A297" s="50"/>
      <c r="B297" s="50"/>
      <c r="C297" s="50"/>
      <c r="D297" s="43"/>
      <c r="E297" s="43"/>
      <c r="F297" s="47" t="str">
        <f>IFERROR(__xludf.DUMMYFUNCTION("""COMPUTED_VALUE"""),"")</f>
        <v/>
      </c>
      <c r="G297" s="47" t="str">
        <f t="shared" si="2"/>
        <v/>
      </c>
      <c r="H297" s="48"/>
    </row>
    <row r="298">
      <c r="A298" s="50"/>
      <c r="B298" s="50"/>
      <c r="C298" s="50"/>
      <c r="D298" s="43"/>
      <c r="E298" s="43"/>
      <c r="F298" s="47" t="str">
        <f>IFERROR(__xludf.DUMMYFUNCTION("""COMPUTED_VALUE"""),"")</f>
        <v/>
      </c>
      <c r="G298" s="47" t="str">
        <f t="shared" si="2"/>
        <v/>
      </c>
      <c r="H298" s="48"/>
    </row>
    <row r="299">
      <c r="A299" s="50"/>
      <c r="B299" s="50"/>
      <c r="C299" s="50"/>
      <c r="D299" s="43"/>
      <c r="E299" s="43"/>
      <c r="F299" s="47" t="str">
        <f>IFERROR(__xludf.DUMMYFUNCTION("""COMPUTED_VALUE"""),"")</f>
        <v/>
      </c>
      <c r="G299" s="47" t="str">
        <f t="shared" si="2"/>
        <v/>
      </c>
      <c r="H299" s="48"/>
    </row>
    <row r="300">
      <c r="A300" s="50"/>
      <c r="B300" s="50"/>
      <c r="C300" s="50"/>
      <c r="D300" s="43"/>
      <c r="E300" s="43"/>
      <c r="F300" s="47" t="str">
        <f>IFERROR(__xludf.DUMMYFUNCTION("""COMPUTED_VALUE"""),"")</f>
        <v/>
      </c>
      <c r="G300" s="47" t="str">
        <f t="shared" si="2"/>
        <v/>
      </c>
      <c r="H300" s="48"/>
    </row>
    <row r="301">
      <c r="A301" s="50"/>
      <c r="B301" s="50"/>
      <c r="C301" s="50"/>
      <c r="D301" s="43"/>
      <c r="E301" s="43"/>
      <c r="F301" s="47" t="str">
        <f>IFERROR(__xludf.DUMMYFUNCTION("""COMPUTED_VALUE"""),"")</f>
        <v/>
      </c>
      <c r="G301" s="47" t="str">
        <f t="shared" si="2"/>
        <v/>
      </c>
      <c r="H301" s="48"/>
    </row>
    <row r="302">
      <c r="A302" s="50"/>
      <c r="B302" s="50"/>
      <c r="C302" s="50"/>
      <c r="D302" s="43"/>
      <c r="E302" s="43"/>
      <c r="F302" s="47" t="str">
        <f>IFERROR(__xludf.DUMMYFUNCTION("""COMPUTED_VALUE"""),"")</f>
        <v/>
      </c>
      <c r="G302" s="47" t="str">
        <f t="shared" si="2"/>
        <v/>
      </c>
      <c r="H302" s="48"/>
    </row>
    <row r="303">
      <c r="A303" s="50"/>
      <c r="B303" s="50"/>
      <c r="C303" s="50"/>
      <c r="D303" s="43"/>
      <c r="E303" s="43"/>
      <c r="F303" s="47" t="str">
        <f>IFERROR(__xludf.DUMMYFUNCTION("""COMPUTED_VALUE"""),"")</f>
        <v/>
      </c>
      <c r="G303" s="47" t="str">
        <f t="shared" si="2"/>
        <v/>
      </c>
      <c r="H303" s="48"/>
    </row>
    <row r="304">
      <c r="A304" s="50"/>
      <c r="B304" s="50"/>
      <c r="C304" s="50"/>
      <c r="D304" s="43"/>
      <c r="E304" s="43"/>
      <c r="F304" s="47" t="str">
        <f>IFERROR(__xludf.DUMMYFUNCTION("""COMPUTED_VALUE"""),"")</f>
        <v/>
      </c>
      <c r="G304" s="47" t="str">
        <f t="shared" si="2"/>
        <v/>
      </c>
      <c r="H304" s="48"/>
    </row>
    <row r="305">
      <c r="A305" s="50"/>
      <c r="B305" s="50"/>
      <c r="C305" s="50"/>
      <c r="D305" s="43"/>
      <c r="E305" s="43"/>
      <c r="F305" s="47" t="str">
        <f>IFERROR(__xludf.DUMMYFUNCTION("""COMPUTED_VALUE"""),"")</f>
        <v/>
      </c>
      <c r="G305" s="47" t="str">
        <f t="shared" si="2"/>
        <v/>
      </c>
      <c r="H305" s="48"/>
    </row>
    <row r="306">
      <c r="A306" s="50"/>
      <c r="B306" s="50"/>
      <c r="C306" s="50"/>
      <c r="D306" s="43"/>
      <c r="E306" s="43"/>
      <c r="F306" s="47" t="str">
        <f>IFERROR(__xludf.DUMMYFUNCTION("""COMPUTED_VALUE"""),"")</f>
        <v/>
      </c>
      <c r="G306" s="47" t="str">
        <f t="shared" si="2"/>
        <v/>
      </c>
      <c r="H306" s="48"/>
    </row>
    <row r="307">
      <c r="A307" s="50"/>
      <c r="B307" s="50"/>
      <c r="C307" s="50"/>
      <c r="D307" s="43"/>
      <c r="E307" s="43"/>
      <c r="F307" s="47" t="str">
        <f>IFERROR(__xludf.DUMMYFUNCTION("""COMPUTED_VALUE"""),"")</f>
        <v/>
      </c>
      <c r="G307" s="47" t="str">
        <f t="shared" si="2"/>
        <v/>
      </c>
      <c r="H307" s="48"/>
    </row>
    <row r="308">
      <c r="A308" s="50"/>
      <c r="B308" s="50"/>
      <c r="C308" s="50"/>
      <c r="D308" s="43"/>
      <c r="E308" s="43"/>
      <c r="F308" s="47" t="str">
        <f>IFERROR(__xludf.DUMMYFUNCTION("""COMPUTED_VALUE"""),"")</f>
        <v/>
      </c>
      <c r="G308" s="47" t="str">
        <f t="shared" si="2"/>
        <v/>
      </c>
      <c r="H308" s="48"/>
    </row>
    <row r="309">
      <c r="A309" s="50"/>
      <c r="B309" s="50"/>
      <c r="C309" s="50"/>
      <c r="D309" s="43"/>
      <c r="E309" s="43"/>
      <c r="F309" s="47" t="str">
        <f>IFERROR(__xludf.DUMMYFUNCTION("""COMPUTED_VALUE"""),"")</f>
        <v/>
      </c>
      <c r="G309" s="47" t="str">
        <f t="shared" si="2"/>
        <v/>
      </c>
      <c r="H309" s="48"/>
    </row>
    <row r="310">
      <c r="A310" s="50"/>
      <c r="B310" s="50"/>
      <c r="C310" s="50"/>
      <c r="D310" s="43"/>
      <c r="E310" s="43"/>
      <c r="F310" s="47" t="str">
        <f>IFERROR(__xludf.DUMMYFUNCTION("""COMPUTED_VALUE"""),"")</f>
        <v/>
      </c>
      <c r="G310" s="47" t="str">
        <f t="shared" si="2"/>
        <v/>
      </c>
      <c r="H310" s="48"/>
    </row>
    <row r="311">
      <c r="A311" s="50"/>
      <c r="B311" s="50"/>
      <c r="C311" s="50"/>
      <c r="D311" s="43"/>
      <c r="E311" s="43"/>
      <c r="F311" s="47" t="str">
        <f>IFERROR(__xludf.DUMMYFUNCTION("""COMPUTED_VALUE"""),"")</f>
        <v/>
      </c>
      <c r="G311" s="47" t="str">
        <f t="shared" si="2"/>
        <v/>
      </c>
      <c r="H311" s="48"/>
    </row>
    <row r="312">
      <c r="A312" s="50"/>
      <c r="B312" s="50"/>
      <c r="C312" s="50"/>
      <c r="D312" s="43"/>
      <c r="E312" s="43"/>
      <c r="F312" s="47" t="str">
        <f>IFERROR(__xludf.DUMMYFUNCTION("""COMPUTED_VALUE"""),"")</f>
        <v/>
      </c>
      <c r="G312" s="47" t="str">
        <f t="shared" si="2"/>
        <v/>
      </c>
      <c r="H312" s="48"/>
    </row>
    <row r="313">
      <c r="A313" s="50"/>
      <c r="B313" s="50"/>
      <c r="C313" s="50"/>
      <c r="D313" s="43"/>
      <c r="E313" s="43"/>
      <c r="F313" s="47" t="str">
        <f>IFERROR(__xludf.DUMMYFUNCTION("""COMPUTED_VALUE"""),"")</f>
        <v/>
      </c>
      <c r="G313" s="47" t="str">
        <f t="shared" si="2"/>
        <v/>
      </c>
      <c r="H313" s="48"/>
    </row>
    <row r="314">
      <c r="A314" s="50"/>
      <c r="B314" s="50"/>
      <c r="C314" s="50"/>
      <c r="D314" s="43"/>
      <c r="E314" s="43"/>
      <c r="F314" s="47" t="str">
        <f>IFERROR(__xludf.DUMMYFUNCTION("""COMPUTED_VALUE"""),"")</f>
        <v/>
      </c>
      <c r="G314" s="47" t="str">
        <f t="shared" si="2"/>
        <v/>
      </c>
      <c r="H314" s="48"/>
    </row>
    <row r="315">
      <c r="A315" s="50"/>
      <c r="B315" s="50"/>
      <c r="C315" s="50"/>
      <c r="D315" s="43"/>
      <c r="E315" s="43"/>
      <c r="F315" s="47" t="str">
        <f>IFERROR(__xludf.DUMMYFUNCTION("""COMPUTED_VALUE"""),"")</f>
        <v/>
      </c>
      <c r="G315" s="47" t="str">
        <f t="shared" si="2"/>
        <v/>
      </c>
      <c r="H315" s="48"/>
    </row>
    <row r="316">
      <c r="A316" s="50"/>
      <c r="B316" s="50"/>
      <c r="C316" s="50"/>
      <c r="D316" s="43"/>
      <c r="E316" s="43"/>
      <c r="F316" s="47" t="str">
        <f>IFERROR(__xludf.DUMMYFUNCTION("""COMPUTED_VALUE"""),"")</f>
        <v/>
      </c>
      <c r="G316" s="47" t="str">
        <f t="shared" si="2"/>
        <v/>
      </c>
      <c r="H316" s="48"/>
    </row>
    <row r="317">
      <c r="A317" s="50"/>
      <c r="B317" s="50"/>
      <c r="C317" s="50"/>
      <c r="D317" s="43"/>
      <c r="E317" s="43"/>
      <c r="F317" s="47" t="str">
        <f>IFERROR(__xludf.DUMMYFUNCTION("""COMPUTED_VALUE"""),"")</f>
        <v/>
      </c>
      <c r="G317" s="47" t="str">
        <f t="shared" si="2"/>
        <v/>
      </c>
      <c r="H317" s="48"/>
    </row>
    <row r="318">
      <c r="A318" s="50"/>
      <c r="B318" s="50"/>
      <c r="C318" s="50"/>
      <c r="D318" s="43"/>
      <c r="E318" s="43"/>
      <c r="F318" s="47" t="str">
        <f>IFERROR(__xludf.DUMMYFUNCTION("""COMPUTED_VALUE"""),"")</f>
        <v/>
      </c>
      <c r="G318" s="47" t="str">
        <f t="shared" si="2"/>
        <v/>
      </c>
      <c r="H318" s="48"/>
    </row>
    <row r="319">
      <c r="A319" s="50"/>
      <c r="B319" s="50"/>
      <c r="C319" s="50"/>
      <c r="D319" s="43"/>
      <c r="E319" s="43"/>
      <c r="F319" s="47" t="str">
        <f>IFERROR(__xludf.DUMMYFUNCTION("""COMPUTED_VALUE"""),"")</f>
        <v/>
      </c>
      <c r="G319" s="47" t="str">
        <f t="shared" si="2"/>
        <v/>
      </c>
      <c r="H319" s="48"/>
    </row>
    <row r="320">
      <c r="A320" s="50"/>
      <c r="B320" s="50"/>
      <c r="C320" s="50"/>
      <c r="D320" s="43"/>
      <c r="E320" s="43"/>
      <c r="F320" s="47" t="str">
        <f>IFERROR(__xludf.DUMMYFUNCTION("""COMPUTED_VALUE"""),"")</f>
        <v/>
      </c>
      <c r="G320" s="47" t="str">
        <f t="shared" si="2"/>
        <v/>
      </c>
      <c r="H320" s="48"/>
    </row>
    <row r="321">
      <c r="A321" s="50"/>
      <c r="B321" s="50"/>
      <c r="C321" s="50"/>
      <c r="D321" s="43"/>
      <c r="E321" s="43"/>
      <c r="F321" s="47" t="str">
        <f>IFERROR(__xludf.DUMMYFUNCTION("""COMPUTED_VALUE"""),"")</f>
        <v/>
      </c>
      <c r="G321" s="47" t="str">
        <f t="shared" si="2"/>
        <v/>
      </c>
      <c r="H321" s="48"/>
    </row>
    <row r="322">
      <c r="A322" s="50"/>
      <c r="B322" s="50"/>
      <c r="C322" s="50"/>
      <c r="D322" s="43"/>
      <c r="E322" s="43"/>
      <c r="F322" s="47" t="str">
        <f>IFERROR(__xludf.DUMMYFUNCTION("""COMPUTED_VALUE"""),"")</f>
        <v/>
      </c>
      <c r="G322" s="47" t="str">
        <f t="shared" si="2"/>
        <v/>
      </c>
      <c r="H322" s="48"/>
    </row>
    <row r="323">
      <c r="A323" s="50"/>
      <c r="B323" s="50"/>
      <c r="C323" s="50"/>
      <c r="D323" s="43"/>
      <c r="E323" s="43"/>
      <c r="F323" s="47" t="str">
        <f>IFERROR(__xludf.DUMMYFUNCTION("""COMPUTED_VALUE"""),"")</f>
        <v/>
      </c>
      <c r="G323" s="47" t="str">
        <f t="shared" si="2"/>
        <v/>
      </c>
      <c r="H323" s="48"/>
    </row>
    <row r="324">
      <c r="A324" s="50"/>
      <c r="B324" s="50"/>
      <c r="C324" s="50"/>
      <c r="D324" s="43"/>
      <c r="E324" s="43"/>
      <c r="F324" s="47" t="str">
        <f>IFERROR(__xludf.DUMMYFUNCTION("""COMPUTED_VALUE"""),"")</f>
        <v/>
      </c>
      <c r="G324" s="47" t="str">
        <f t="shared" si="2"/>
        <v/>
      </c>
      <c r="H324" s="48"/>
    </row>
    <row r="325">
      <c r="A325" s="50"/>
      <c r="B325" s="50"/>
      <c r="C325" s="50"/>
      <c r="D325" s="43"/>
      <c r="E325" s="43"/>
      <c r="F325" s="47" t="str">
        <f>IFERROR(__xludf.DUMMYFUNCTION("""COMPUTED_VALUE"""),"")</f>
        <v/>
      </c>
      <c r="G325" s="47" t="str">
        <f t="shared" si="2"/>
        <v/>
      </c>
      <c r="H325" s="48"/>
    </row>
    <row r="326">
      <c r="A326" s="50"/>
      <c r="B326" s="50"/>
      <c r="C326" s="50"/>
      <c r="D326" s="43"/>
      <c r="E326" s="43"/>
      <c r="F326" s="47" t="str">
        <f>IFERROR(__xludf.DUMMYFUNCTION("""COMPUTED_VALUE"""),"")</f>
        <v/>
      </c>
      <c r="G326" s="47" t="str">
        <f t="shared" si="2"/>
        <v/>
      </c>
      <c r="H326" s="48"/>
    </row>
    <row r="327">
      <c r="A327" s="50"/>
      <c r="B327" s="50"/>
      <c r="C327" s="50"/>
      <c r="D327" s="43"/>
      <c r="E327" s="43"/>
      <c r="F327" s="47" t="str">
        <f>IFERROR(__xludf.DUMMYFUNCTION("""COMPUTED_VALUE"""),"")</f>
        <v/>
      </c>
      <c r="G327" s="47" t="str">
        <f t="shared" si="2"/>
        <v/>
      </c>
      <c r="H327" s="48"/>
    </row>
    <row r="328">
      <c r="A328" s="50"/>
      <c r="B328" s="50"/>
      <c r="C328" s="50"/>
      <c r="D328" s="43"/>
      <c r="E328" s="43"/>
      <c r="F328" s="47" t="str">
        <f>IFERROR(__xludf.DUMMYFUNCTION("""COMPUTED_VALUE"""),"")</f>
        <v/>
      </c>
      <c r="G328" s="47" t="str">
        <f t="shared" si="2"/>
        <v/>
      </c>
      <c r="H328" s="48"/>
    </row>
    <row r="329">
      <c r="A329" s="50"/>
      <c r="B329" s="50"/>
      <c r="C329" s="50"/>
      <c r="D329" s="43"/>
      <c r="E329" s="43"/>
      <c r="F329" s="47" t="str">
        <f>IFERROR(__xludf.DUMMYFUNCTION("""COMPUTED_VALUE"""),"")</f>
        <v/>
      </c>
      <c r="G329" s="47" t="str">
        <f t="shared" si="2"/>
        <v/>
      </c>
      <c r="H329" s="48"/>
    </row>
    <row r="330">
      <c r="A330" s="50"/>
      <c r="B330" s="50"/>
      <c r="C330" s="50"/>
      <c r="D330" s="43"/>
      <c r="E330" s="43"/>
      <c r="F330" s="47" t="str">
        <f>IFERROR(__xludf.DUMMYFUNCTION("""COMPUTED_VALUE"""),"")</f>
        <v/>
      </c>
      <c r="G330" s="47" t="str">
        <f t="shared" si="2"/>
        <v/>
      </c>
      <c r="H330" s="48"/>
    </row>
    <row r="331">
      <c r="A331" s="50"/>
      <c r="B331" s="50"/>
      <c r="C331" s="50"/>
      <c r="D331" s="43"/>
      <c r="E331" s="43"/>
      <c r="F331" s="47" t="str">
        <f>IFERROR(__xludf.DUMMYFUNCTION("""COMPUTED_VALUE"""),"")</f>
        <v/>
      </c>
      <c r="G331" s="47" t="str">
        <f t="shared" si="2"/>
        <v/>
      </c>
      <c r="H331" s="48"/>
    </row>
    <row r="332">
      <c r="A332" s="50"/>
      <c r="B332" s="50"/>
      <c r="C332" s="50"/>
      <c r="D332" s="43"/>
      <c r="E332" s="43"/>
      <c r="F332" s="47" t="str">
        <f>IFERROR(__xludf.DUMMYFUNCTION("""COMPUTED_VALUE"""),"")</f>
        <v/>
      </c>
      <c r="G332" s="47" t="str">
        <f t="shared" si="2"/>
        <v/>
      </c>
      <c r="H332" s="48"/>
    </row>
    <row r="333">
      <c r="A333" s="50"/>
      <c r="B333" s="50"/>
      <c r="C333" s="50"/>
      <c r="D333" s="43"/>
      <c r="E333" s="43"/>
      <c r="F333" s="47" t="str">
        <f>IFERROR(__xludf.DUMMYFUNCTION("""COMPUTED_VALUE"""),"")</f>
        <v/>
      </c>
      <c r="G333" s="47" t="str">
        <f t="shared" si="2"/>
        <v/>
      </c>
      <c r="H333" s="48"/>
    </row>
    <row r="334">
      <c r="A334" s="50"/>
      <c r="B334" s="50"/>
      <c r="C334" s="50"/>
      <c r="D334" s="43"/>
      <c r="E334" s="43"/>
      <c r="F334" s="47" t="str">
        <f>IFERROR(__xludf.DUMMYFUNCTION("""COMPUTED_VALUE"""),"")</f>
        <v/>
      </c>
      <c r="G334" s="47" t="str">
        <f t="shared" si="2"/>
        <v/>
      </c>
      <c r="H334" s="48"/>
    </row>
    <row r="335">
      <c r="A335" s="50"/>
      <c r="B335" s="50"/>
      <c r="C335" s="50"/>
      <c r="D335" s="43"/>
      <c r="E335" s="43"/>
      <c r="F335" s="47" t="str">
        <f>IFERROR(__xludf.DUMMYFUNCTION("""COMPUTED_VALUE"""),"")</f>
        <v/>
      </c>
      <c r="G335" s="47" t="str">
        <f t="shared" si="2"/>
        <v/>
      </c>
      <c r="H335" s="48"/>
    </row>
    <row r="336">
      <c r="A336" s="50"/>
      <c r="B336" s="50"/>
      <c r="C336" s="50"/>
      <c r="D336" s="43"/>
      <c r="E336" s="43"/>
      <c r="F336" s="47" t="str">
        <f>IFERROR(__xludf.DUMMYFUNCTION("""COMPUTED_VALUE"""),"")</f>
        <v/>
      </c>
      <c r="G336" s="47" t="str">
        <f t="shared" si="2"/>
        <v/>
      </c>
      <c r="H336" s="48"/>
    </row>
    <row r="337">
      <c r="A337" s="50"/>
      <c r="B337" s="50"/>
      <c r="C337" s="50"/>
      <c r="D337" s="43"/>
      <c r="E337" s="43"/>
      <c r="F337" s="47" t="str">
        <f>IFERROR(__xludf.DUMMYFUNCTION("""COMPUTED_VALUE"""),"")</f>
        <v/>
      </c>
      <c r="G337" s="47" t="str">
        <f t="shared" si="2"/>
        <v/>
      </c>
      <c r="H337" s="48"/>
    </row>
    <row r="338">
      <c r="A338" s="50"/>
      <c r="B338" s="50"/>
      <c r="C338" s="50"/>
      <c r="D338" s="43"/>
      <c r="E338" s="43"/>
      <c r="F338" s="47" t="str">
        <f>IFERROR(__xludf.DUMMYFUNCTION("""COMPUTED_VALUE"""),"")</f>
        <v/>
      </c>
      <c r="G338" s="47" t="str">
        <f t="shared" si="2"/>
        <v/>
      </c>
      <c r="H338" s="48"/>
    </row>
    <row r="339">
      <c r="A339" s="50"/>
      <c r="B339" s="50"/>
      <c r="C339" s="50"/>
      <c r="D339" s="43"/>
      <c r="E339" s="43"/>
      <c r="F339" s="47" t="str">
        <f>IFERROR(__xludf.DUMMYFUNCTION("""COMPUTED_VALUE"""),"")</f>
        <v/>
      </c>
      <c r="G339" s="47" t="str">
        <f t="shared" si="2"/>
        <v/>
      </c>
      <c r="H339" s="48"/>
    </row>
    <row r="340">
      <c r="A340" s="50"/>
      <c r="B340" s="50"/>
      <c r="C340" s="50"/>
      <c r="D340" s="43"/>
      <c r="E340" s="43"/>
      <c r="F340" s="47" t="str">
        <f>IFERROR(__xludf.DUMMYFUNCTION("""COMPUTED_VALUE"""),"")</f>
        <v/>
      </c>
      <c r="G340" s="47" t="str">
        <f t="shared" si="2"/>
        <v/>
      </c>
      <c r="H340" s="48"/>
    </row>
    <row r="341">
      <c r="A341" s="50"/>
      <c r="B341" s="50"/>
      <c r="C341" s="50"/>
      <c r="D341" s="43"/>
      <c r="E341" s="43"/>
      <c r="F341" s="47" t="str">
        <f>IFERROR(__xludf.DUMMYFUNCTION("""COMPUTED_VALUE"""),"")</f>
        <v/>
      </c>
      <c r="G341" s="47" t="str">
        <f t="shared" si="2"/>
        <v/>
      </c>
      <c r="H341" s="48"/>
    </row>
    <row r="342">
      <c r="A342" s="50"/>
      <c r="B342" s="50"/>
      <c r="C342" s="50"/>
      <c r="D342" s="43"/>
      <c r="E342" s="43"/>
      <c r="F342" s="47" t="str">
        <f>IFERROR(__xludf.DUMMYFUNCTION("""COMPUTED_VALUE"""),"")</f>
        <v/>
      </c>
      <c r="G342" s="47" t="str">
        <f t="shared" si="2"/>
        <v/>
      </c>
      <c r="H342" s="48"/>
    </row>
    <row r="343">
      <c r="A343" s="50"/>
      <c r="B343" s="50"/>
      <c r="C343" s="50"/>
      <c r="D343" s="43"/>
      <c r="E343" s="43"/>
      <c r="F343" s="47" t="str">
        <f>IFERROR(__xludf.DUMMYFUNCTION("""COMPUTED_VALUE"""),"")</f>
        <v/>
      </c>
      <c r="G343" s="47" t="str">
        <f t="shared" si="2"/>
        <v/>
      </c>
      <c r="H343" s="48"/>
    </row>
    <row r="344">
      <c r="A344" s="50"/>
      <c r="B344" s="50"/>
      <c r="C344" s="50"/>
      <c r="D344" s="43"/>
      <c r="E344" s="43"/>
      <c r="F344" s="47" t="str">
        <f>IFERROR(__xludf.DUMMYFUNCTION("""COMPUTED_VALUE"""),"")</f>
        <v/>
      </c>
      <c r="G344" s="48"/>
      <c r="H344" s="48"/>
    </row>
    <row r="345">
      <c r="A345" s="50"/>
      <c r="B345" s="50"/>
      <c r="C345" s="50"/>
      <c r="D345" s="43"/>
      <c r="E345" s="43"/>
      <c r="F345" s="47" t="str">
        <f>IFERROR(__xludf.DUMMYFUNCTION("""COMPUTED_VALUE"""),"")</f>
        <v/>
      </c>
      <c r="G345" s="48"/>
      <c r="H345" s="48"/>
    </row>
    <row r="346">
      <c r="A346" s="50"/>
      <c r="B346" s="50"/>
      <c r="C346" s="50"/>
      <c r="D346" s="43"/>
      <c r="E346" s="43"/>
      <c r="F346" s="47"/>
      <c r="G346" s="48"/>
      <c r="H346" s="48"/>
    </row>
    <row r="347">
      <c r="A347" s="50"/>
      <c r="B347" s="50"/>
      <c r="C347" s="50"/>
      <c r="D347" s="43"/>
      <c r="E347" s="43"/>
      <c r="F347" s="47"/>
      <c r="G347" s="48"/>
      <c r="H347" s="48"/>
    </row>
    <row r="348">
      <c r="A348" s="50"/>
      <c r="B348" s="50"/>
      <c r="C348" s="50"/>
      <c r="D348" s="43"/>
      <c r="E348" s="43"/>
      <c r="F348" s="47"/>
      <c r="G348" s="48"/>
      <c r="H348" s="48"/>
    </row>
    <row r="349">
      <c r="A349" s="50"/>
      <c r="B349" s="50"/>
      <c r="C349" s="50"/>
      <c r="D349" s="43"/>
      <c r="E349" s="43"/>
      <c r="F349" s="47"/>
      <c r="G349" s="48"/>
      <c r="H349" s="48"/>
    </row>
    <row r="350">
      <c r="A350" s="50"/>
      <c r="B350" s="50"/>
      <c r="C350" s="50"/>
      <c r="D350" s="43"/>
      <c r="E350" s="43"/>
      <c r="F350" s="47"/>
      <c r="G350" s="48"/>
      <c r="H350" s="48"/>
    </row>
    <row r="351">
      <c r="A351" s="50"/>
      <c r="B351" s="50"/>
      <c r="C351" s="50"/>
      <c r="D351" s="43"/>
      <c r="E351" s="43"/>
      <c r="F351" s="47"/>
      <c r="G351" s="48"/>
      <c r="H351" s="48"/>
    </row>
    <row r="352">
      <c r="A352" s="50"/>
      <c r="B352" s="50"/>
      <c r="C352" s="50"/>
      <c r="D352" s="43"/>
      <c r="E352" s="43"/>
      <c r="F352" s="47"/>
      <c r="G352" s="48"/>
      <c r="H352" s="48"/>
    </row>
    <row r="353">
      <c r="A353" s="50"/>
      <c r="B353" s="50"/>
      <c r="C353" s="50"/>
      <c r="D353" s="43"/>
      <c r="E353" s="43"/>
      <c r="F353" s="47"/>
      <c r="G353" s="48"/>
      <c r="H353" s="48"/>
    </row>
    <row r="354">
      <c r="A354" s="50"/>
      <c r="B354" s="50"/>
      <c r="C354" s="50"/>
      <c r="D354" s="43"/>
      <c r="E354" s="43"/>
      <c r="F354" s="47"/>
      <c r="G354" s="48"/>
      <c r="H354" s="48"/>
    </row>
    <row r="355">
      <c r="A355" s="50"/>
      <c r="B355" s="50"/>
      <c r="C355" s="50"/>
      <c r="D355" s="43"/>
      <c r="E355" s="43"/>
      <c r="F355" s="47"/>
      <c r="G355" s="48"/>
      <c r="H355" s="48"/>
    </row>
    <row r="356">
      <c r="A356" s="50"/>
      <c r="B356" s="50"/>
      <c r="C356" s="50"/>
      <c r="D356" s="43"/>
      <c r="E356" s="43"/>
      <c r="F356" s="47"/>
      <c r="G356" s="48"/>
      <c r="H356" s="48"/>
    </row>
    <row r="357">
      <c r="A357" s="50"/>
      <c r="B357" s="50"/>
      <c r="C357" s="50"/>
      <c r="D357" s="43"/>
      <c r="E357" s="43"/>
      <c r="F357" s="47"/>
      <c r="G357" s="48"/>
      <c r="H357" s="48"/>
    </row>
    <row r="358">
      <c r="A358" s="50"/>
      <c r="B358" s="50"/>
      <c r="C358" s="50"/>
      <c r="D358" s="43"/>
      <c r="E358" s="43"/>
      <c r="F358" s="47"/>
      <c r="G358" s="48"/>
      <c r="H358" s="48"/>
    </row>
    <row r="359">
      <c r="A359" s="50"/>
      <c r="B359" s="50"/>
      <c r="C359" s="50"/>
      <c r="D359" s="43"/>
      <c r="E359" s="43"/>
      <c r="F359" s="47"/>
      <c r="G359" s="48"/>
      <c r="H359" s="48"/>
    </row>
    <row r="360">
      <c r="A360" s="50"/>
      <c r="B360" s="50"/>
      <c r="C360" s="50"/>
      <c r="D360" s="43"/>
      <c r="E360" s="43"/>
      <c r="F360" s="47"/>
      <c r="G360" s="48"/>
      <c r="H360" s="48"/>
    </row>
    <row r="361">
      <c r="A361" s="50"/>
      <c r="B361" s="50"/>
      <c r="C361" s="50"/>
      <c r="D361" s="43"/>
      <c r="E361" s="43"/>
      <c r="F361" s="47"/>
      <c r="G361" s="48"/>
      <c r="H361" s="48"/>
    </row>
    <row r="362">
      <c r="A362" s="50"/>
      <c r="B362" s="50"/>
      <c r="C362" s="50"/>
      <c r="D362" s="43"/>
      <c r="E362" s="43"/>
      <c r="F362" s="47"/>
      <c r="G362" s="48"/>
      <c r="H362" s="48"/>
    </row>
    <row r="363">
      <c r="A363" s="50"/>
      <c r="B363" s="50"/>
      <c r="C363" s="50"/>
      <c r="D363" s="43"/>
      <c r="E363" s="43"/>
      <c r="F363" s="47"/>
      <c r="G363" s="48"/>
      <c r="H363" s="48"/>
    </row>
    <row r="364">
      <c r="A364" s="50"/>
      <c r="B364" s="50"/>
      <c r="C364" s="50"/>
      <c r="D364" s="43"/>
      <c r="E364" s="43"/>
      <c r="F364" s="47"/>
      <c r="G364" s="48"/>
      <c r="H364" s="48"/>
    </row>
    <row r="365">
      <c r="A365" s="50"/>
      <c r="B365" s="50"/>
      <c r="C365" s="50"/>
      <c r="D365" s="43"/>
      <c r="E365" s="43"/>
      <c r="F365" s="47"/>
      <c r="G365" s="48"/>
      <c r="H365" s="48"/>
    </row>
    <row r="366">
      <c r="A366" s="50"/>
      <c r="B366" s="50"/>
      <c r="C366" s="50"/>
      <c r="D366" s="43"/>
      <c r="E366" s="43"/>
      <c r="F366" s="47"/>
      <c r="G366" s="48"/>
      <c r="H366" s="48"/>
    </row>
    <row r="367">
      <c r="A367" s="50"/>
      <c r="B367" s="50"/>
      <c r="C367" s="50"/>
      <c r="D367" s="43"/>
      <c r="E367" s="43"/>
      <c r="F367" s="47"/>
      <c r="G367" s="48"/>
      <c r="H367" s="48"/>
    </row>
    <row r="368">
      <c r="A368" s="50"/>
      <c r="B368" s="50"/>
      <c r="C368" s="50"/>
      <c r="D368" s="43"/>
      <c r="E368" s="43"/>
      <c r="F368" s="47"/>
      <c r="G368" s="48"/>
      <c r="H368" s="48"/>
    </row>
    <row r="369">
      <c r="A369" s="50"/>
      <c r="B369" s="50"/>
      <c r="C369" s="50"/>
      <c r="D369" s="43"/>
      <c r="E369" s="43"/>
      <c r="F369" s="47"/>
      <c r="G369" s="48"/>
      <c r="H369" s="48"/>
    </row>
    <row r="370">
      <c r="A370" s="50"/>
      <c r="B370" s="50"/>
      <c r="C370" s="50"/>
      <c r="D370" s="43"/>
      <c r="E370" s="43"/>
      <c r="F370" s="47"/>
      <c r="G370" s="48"/>
      <c r="H370" s="48"/>
    </row>
    <row r="371">
      <c r="A371" s="50"/>
      <c r="B371" s="50"/>
      <c r="C371" s="50"/>
      <c r="D371" s="43"/>
      <c r="E371" s="43"/>
      <c r="F371" s="47"/>
      <c r="G371" s="48"/>
      <c r="H371" s="48"/>
    </row>
    <row r="372">
      <c r="A372" s="50"/>
      <c r="B372" s="50"/>
      <c r="C372" s="50"/>
      <c r="D372" s="43"/>
      <c r="E372" s="43"/>
      <c r="F372" s="47"/>
      <c r="G372" s="48"/>
      <c r="H372" s="48"/>
    </row>
    <row r="373">
      <c r="A373" s="50"/>
      <c r="B373" s="50"/>
      <c r="C373" s="50"/>
      <c r="D373" s="43"/>
      <c r="E373" s="43"/>
      <c r="F373" s="47"/>
      <c r="G373" s="48"/>
      <c r="H373" s="48"/>
    </row>
    <row r="374">
      <c r="A374" s="50"/>
      <c r="B374" s="50"/>
      <c r="C374" s="50"/>
      <c r="D374" s="43"/>
      <c r="E374" s="43"/>
      <c r="F374" s="47"/>
      <c r="G374" s="48"/>
      <c r="H374" s="48"/>
    </row>
    <row r="375">
      <c r="A375" s="50"/>
      <c r="B375" s="50"/>
      <c r="C375" s="50"/>
      <c r="D375" s="43"/>
      <c r="E375" s="43"/>
      <c r="F375" s="47"/>
      <c r="G375" s="48"/>
      <c r="H375" s="48"/>
    </row>
    <row r="376">
      <c r="A376" s="50"/>
      <c r="B376" s="50"/>
      <c r="C376" s="50"/>
      <c r="D376" s="43"/>
      <c r="E376" s="43"/>
      <c r="F376" s="47"/>
      <c r="G376" s="48"/>
      <c r="H376" s="48"/>
    </row>
    <row r="377">
      <c r="A377" s="50"/>
      <c r="B377" s="50"/>
      <c r="C377" s="50"/>
      <c r="D377" s="43"/>
      <c r="E377" s="43"/>
      <c r="F377" s="47"/>
      <c r="G377" s="48"/>
      <c r="H377" s="48"/>
    </row>
    <row r="378">
      <c r="A378" s="50"/>
      <c r="B378" s="50"/>
      <c r="C378" s="50"/>
      <c r="D378" s="43"/>
      <c r="E378" s="43"/>
      <c r="F378" s="47"/>
      <c r="G378" s="48"/>
      <c r="H378" s="48"/>
    </row>
    <row r="379">
      <c r="A379" s="50"/>
      <c r="B379" s="50"/>
      <c r="C379" s="50"/>
      <c r="D379" s="43"/>
      <c r="E379" s="43"/>
      <c r="F379" s="47"/>
      <c r="G379" s="48"/>
      <c r="H379" s="48"/>
    </row>
    <row r="380">
      <c r="A380" s="50"/>
      <c r="B380" s="50"/>
      <c r="C380" s="50"/>
      <c r="D380" s="43"/>
      <c r="E380" s="43"/>
      <c r="F380" s="47"/>
      <c r="G380" s="48"/>
      <c r="H380" s="48"/>
    </row>
    <row r="381">
      <c r="A381" s="50"/>
      <c r="B381" s="50"/>
      <c r="C381" s="50"/>
      <c r="D381" s="43"/>
      <c r="E381" s="43"/>
      <c r="F381" s="47"/>
      <c r="G381" s="48"/>
      <c r="H381" s="48"/>
    </row>
    <row r="382">
      <c r="A382" s="50"/>
      <c r="B382" s="50"/>
      <c r="C382" s="50"/>
      <c r="D382" s="43"/>
      <c r="E382" s="43"/>
      <c r="F382" s="47"/>
      <c r="G382" s="48"/>
      <c r="H382" s="48"/>
    </row>
    <row r="383">
      <c r="A383" s="50"/>
      <c r="B383" s="50"/>
      <c r="C383" s="50"/>
      <c r="D383" s="43"/>
      <c r="E383" s="43"/>
      <c r="F383" s="47"/>
      <c r="G383" s="48"/>
      <c r="H383" s="48"/>
    </row>
    <row r="384">
      <c r="A384" s="50"/>
      <c r="B384" s="50"/>
      <c r="C384" s="50"/>
      <c r="D384" s="43"/>
      <c r="E384" s="43"/>
      <c r="F384" s="47"/>
      <c r="G384" s="48"/>
      <c r="H384" s="48"/>
    </row>
    <row r="385">
      <c r="A385" s="50"/>
      <c r="B385" s="50"/>
      <c r="C385" s="50"/>
      <c r="D385" s="43"/>
      <c r="E385" s="43"/>
      <c r="F385" s="47"/>
      <c r="G385" s="48"/>
      <c r="H385" s="48"/>
    </row>
    <row r="386">
      <c r="A386" s="50"/>
      <c r="B386" s="50"/>
      <c r="C386" s="50"/>
      <c r="D386" s="43"/>
      <c r="E386" s="43"/>
      <c r="F386" s="47"/>
      <c r="G386" s="48"/>
      <c r="H386" s="48"/>
    </row>
    <row r="387">
      <c r="A387" s="50"/>
      <c r="B387" s="50"/>
      <c r="C387" s="50"/>
      <c r="D387" s="43"/>
      <c r="E387" s="43"/>
      <c r="F387" s="47"/>
      <c r="G387" s="48"/>
      <c r="H387" s="48"/>
    </row>
    <row r="388">
      <c r="A388" s="50"/>
      <c r="B388" s="50"/>
      <c r="C388" s="50"/>
      <c r="D388" s="43"/>
      <c r="E388" s="43"/>
      <c r="F388" s="47"/>
      <c r="G388" s="48"/>
      <c r="H388" s="48"/>
    </row>
    <row r="389">
      <c r="A389" s="50"/>
      <c r="B389" s="50"/>
      <c r="C389" s="50"/>
      <c r="D389" s="43"/>
      <c r="E389" s="43"/>
      <c r="F389" s="47"/>
      <c r="G389" s="48"/>
      <c r="H389" s="48"/>
    </row>
    <row r="390">
      <c r="A390" s="50"/>
      <c r="B390" s="50"/>
      <c r="C390" s="50"/>
      <c r="D390" s="43"/>
      <c r="E390" s="43"/>
      <c r="F390" s="47"/>
      <c r="G390" s="48"/>
      <c r="H390" s="48"/>
    </row>
    <row r="391">
      <c r="A391" s="50"/>
      <c r="B391" s="50"/>
      <c r="C391" s="50"/>
      <c r="D391" s="43"/>
      <c r="E391" s="43"/>
      <c r="F391" s="47"/>
      <c r="G391" s="48"/>
      <c r="H391" s="48"/>
    </row>
    <row r="392">
      <c r="A392" s="50"/>
      <c r="B392" s="50"/>
      <c r="C392" s="50"/>
      <c r="D392" s="43"/>
      <c r="E392" s="43"/>
      <c r="F392" s="47"/>
      <c r="G392" s="48"/>
      <c r="H392" s="48"/>
    </row>
    <row r="393">
      <c r="A393" s="50"/>
      <c r="B393" s="50"/>
      <c r="C393" s="50"/>
      <c r="D393" s="43"/>
      <c r="E393" s="43"/>
      <c r="F393" s="47"/>
      <c r="G393" s="48"/>
      <c r="H393" s="48"/>
    </row>
    <row r="394">
      <c r="A394" s="50"/>
      <c r="B394" s="50"/>
      <c r="C394" s="50"/>
      <c r="D394" s="43"/>
      <c r="E394" s="43"/>
      <c r="F394" s="47"/>
      <c r="G394" s="48"/>
      <c r="H394" s="48"/>
    </row>
    <row r="395">
      <c r="A395" s="50"/>
      <c r="B395" s="50"/>
      <c r="C395" s="50"/>
      <c r="D395" s="43"/>
      <c r="E395" s="43"/>
      <c r="F395" s="47"/>
      <c r="G395" s="48"/>
      <c r="H395" s="48"/>
    </row>
    <row r="396">
      <c r="A396" s="50"/>
      <c r="B396" s="50"/>
      <c r="C396" s="50"/>
      <c r="D396" s="43"/>
      <c r="E396" s="43"/>
      <c r="F396" s="47"/>
      <c r="G396" s="48"/>
      <c r="H396" s="48"/>
    </row>
    <row r="397">
      <c r="A397" s="50"/>
      <c r="B397" s="50"/>
      <c r="C397" s="50"/>
      <c r="D397" s="43"/>
      <c r="E397" s="43"/>
      <c r="F397" s="47"/>
      <c r="G397" s="48"/>
      <c r="H397" s="48"/>
    </row>
    <row r="398">
      <c r="A398" s="50"/>
      <c r="B398" s="50"/>
      <c r="C398" s="50"/>
      <c r="D398" s="43"/>
      <c r="E398" s="43"/>
      <c r="F398" s="47"/>
      <c r="G398" s="48"/>
      <c r="H398" s="48"/>
    </row>
    <row r="399">
      <c r="A399" s="50"/>
      <c r="B399" s="50"/>
      <c r="C399" s="50"/>
      <c r="D399" s="43"/>
      <c r="E399" s="43"/>
      <c r="F399" s="47"/>
      <c r="G399" s="48"/>
      <c r="H399" s="48"/>
    </row>
    <row r="400">
      <c r="A400" s="50"/>
      <c r="B400" s="50"/>
      <c r="C400" s="50"/>
      <c r="D400" s="43"/>
      <c r="E400" s="43"/>
      <c r="F400" s="47"/>
      <c r="G400" s="48"/>
      <c r="H400" s="48"/>
    </row>
    <row r="401">
      <c r="A401" s="50"/>
      <c r="B401" s="50"/>
      <c r="C401" s="50"/>
      <c r="D401" s="43"/>
      <c r="E401" s="43"/>
      <c r="F401" s="47"/>
      <c r="G401" s="48"/>
      <c r="H401" s="48"/>
    </row>
    <row r="402">
      <c r="A402" s="50"/>
      <c r="B402" s="50"/>
      <c r="C402" s="50"/>
      <c r="D402" s="43"/>
      <c r="E402" s="43"/>
      <c r="F402" s="47"/>
      <c r="G402" s="48"/>
      <c r="H402" s="48"/>
    </row>
    <row r="403">
      <c r="A403" s="50"/>
      <c r="B403" s="50"/>
      <c r="C403" s="50"/>
      <c r="D403" s="43"/>
      <c r="E403" s="43"/>
      <c r="F403" s="47"/>
      <c r="G403" s="48"/>
      <c r="H403" s="48"/>
    </row>
    <row r="404">
      <c r="A404" s="50"/>
      <c r="B404" s="50"/>
      <c r="C404" s="50"/>
      <c r="D404" s="43"/>
      <c r="E404" s="43"/>
      <c r="F404" s="47"/>
      <c r="G404" s="48"/>
      <c r="H404" s="48"/>
    </row>
    <row r="405">
      <c r="A405" s="50"/>
      <c r="B405" s="50"/>
      <c r="C405" s="50"/>
      <c r="D405" s="43"/>
      <c r="E405" s="43"/>
      <c r="F405" s="47"/>
      <c r="G405" s="48"/>
      <c r="H405" s="48"/>
    </row>
    <row r="406">
      <c r="A406" s="50"/>
      <c r="B406" s="50"/>
      <c r="C406" s="50"/>
      <c r="D406" s="43"/>
      <c r="E406" s="43"/>
      <c r="F406" s="47"/>
      <c r="G406" s="48"/>
      <c r="H406" s="48"/>
    </row>
    <row r="407">
      <c r="A407" s="50"/>
      <c r="B407" s="50"/>
      <c r="C407" s="50"/>
      <c r="D407" s="43"/>
      <c r="E407" s="43"/>
      <c r="F407" s="47"/>
      <c r="G407" s="48"/>
      <c r="H407" s="48"/>
    </row>
    <row r="408">
      <c r="A408" s="50"/>
      <c r="B408" s="50"/>
      <c r="C408" s="50"/>
      <c r="D408" s="43"/>
      <c r="E408" s="43"/>
      <c r="F408" s="47"/>
      <c r="G408" s="48"/>
      <c r="H408" s="48"/>
    </row>
    <row r="409">
      <c r="A409" s="50"/>
      <c r="B409" s="50"/>
      <c r="C409" s="50"/>
      <c r="D409" s="43"/>
      <c r="E409" s="43"/>
      <c r="F409" s="47"/>
      <c r="G409" s="48"/>
      <c r="H409" s="48"/>
    </row>
    <row r="410">
      <c r="A410" s="50"/>
      <c r="B410" s="50"/>
      <c r="C410" s="50"/>
      <c r="D410" s="43"/>
      <c r="E410" s="43"/>
      <c r="F410" s="47"/>
      <c r="G410" s="48"/>
      <c r="H410" s="48"/>
    </row>
    <row r="411">
      <c r="A411" s="50"/>
      <c r="B411" s="50"/>
      <c r="C411" s="50"/>
      <c r="D411" s="43"/>
      <c r="E411" s="43"/>
      <c r="F411" s="47"/>
      <c r="G411" s="48"/>
      <c r="H411" s="48"/>
    </row>
    <row r="412">
      <c r="A412" s="50"/>
      <c r="B412" s="50"/>
      <c r="C412" s="50"/>
      <c r="D412" s="43"/>
      <c r="E412" s="43"/>
      <c r="F412" s="47"/>
      <c r="G412" s="48"/>
      <c r="H412" s="48"/>
    </row>
    <row r="413">
      <c r="A413" s="50"/>
      <c r="B413" s="50"/>
      <c r="C413" s="50"/>
      <c r="D413" s="43"/>
      <c r="E413" s="43"/>
      <c r="F413" s="47"/>
      <c r="G413" s="48"/>
      <c r="H413" s="48"/>
    </row>
    <row r="414">
      <c r="A414" s="50"/>
      <c r="B414" s="50"/>
      <c r="C414" s="50"/>
      <c r="D414" s="43"/>
      <c r="E414" s="43"/>
      <c r="F414" s="47"/>
      <c r="G414" s="48"/>
      <c r="H414" s="48"/>
    </row>
    <row r="415">
      <c r="A415" s="50"/>
      <c r="B415" s="50"/>
      <c r="C415" s="50"/>
      <c r="D415" s="43"/>
      <c r="E415" s="43"/>
      <c r="F415" s="47"/>
      <c r="G415" s="48"/>
      <c r="H415" s="48"/>
    </row>
    <row r="416">
      <c r="A416" s="50"/>
      <c r="B416" s="50"/>
      <c r="C416" s="50"/>
      <c r="D416" s="43"/>
      <c r="E416" s="43"/>
      <c r="F416" s="47"/>
      <c r="G416" s="48"/>
      <c r="H416" s="48"/>
    </row>
    <row r="417">
      <c r="A417" s="50"/>
      <c r="B417" s="50"/>
      <c r="C417" s="50"/>
      <c r="D417" s="43"/>
      <c r="E417" s="43"/>
      <c r="F417" s="47"/>
      <c r="G417" s="48"/>
      <c r="H417" s="48"/>
    </row>
    <row r="418">
      <c r="A418" s="50"/>
      <c r="B418" s="50"/>
      <c r="C418" s="50"/>
      <c r="D418" s="43"/>
      <c r="E418" s="43"/>
      <c r="F418" s="47"/>
      <c r="G418" s="48"/>
      <c r="H418" s="48"/>
    </row>
    <row r="419">
      <c r="A419" s="50"/>
      <c r="B419" s="50"/>
      <c r="C419" s="50"/>
      <c r="D419" s="43"/>
      <c r="E419" s="43"/>
      <c r="F419" s="47"/>
      <c r="G419" s="48"/>
      <c r="H419" s="48"/>
    </row>
    <row r="420">
      <c r="A420" s="50"/>
      <c r="B420" s="50"/>
      <c r="C420" s="50"/>
      <c r="D420" s="43"/>
      <c r="E420" s="43"/>
      <c r="F420" s="47"/>
      <c r="G420" s="48"/>
      <c r="H420" s="48"/>
    </row>
    <row r="421">
      <c r="A421" s="50"/>
      <c r="B421" s="50"/>
      <c r="C421" s="50"/>
      <c r="D421" s="43"/>
      <c r="E421" s="43"/>
      <c r="F421" s="47"/>
      <c r="G421" s="48"/>
      <c r="H421" s="48"/>
    </row>
    <row r="422">
      <c r="A422" s="50"/>
      <c r="B422" s="50"/>
      <c r="C422" s="50"/>
      <c r="D422" s="43"/>
      <c r="E422" s="43"/>
      <c r="F422" s="47"/>
      <c r="G422" s="48"/>
      <c r="H422" s="48"/>
    </row>
    <row r="423">
      <c r="A423" s="50"/>
      <c r="B423" s="50"/>
      <c r="C423" s="50"/>
      <c r="D423" s="43"/>
      <c r="E423" s="43"/>
      <c r="F423" s="47"/>
      <c r="G423" s="48"/>
      <c r="H423" s="48"/>
    </row>
    <row r="424">
      <c r="A424" s="50"/>
      <c r="B424" s="50"/>
      <c r="C424" s="50"/>
      <c r="D424" s="43"/>
      <c r="E424" s="43"/>
      <c r="F424" s="47"/>
      <c r="G424" s="48"/>
      <c r="H424" s="48"/>
    </row>
    <row r="425">
      <c r="A425" s="50"/>
      <c r="B425" s="50"/>
      <c r="C425" s="50"/>
      <c r="D425" s="43"/>
      <c r="E425" s="43"/>
      <c r="F425" s="47"/>
      <c r="G425" s="48"/>
      <c r="H425" s="48"/>
    </row>
    <row r="426">
      <c r="A426" s="50"/>
      <c r="B426" s="50"/>
      <c r="C426" s="50"/>
      <c r="D426" s="43"/>
      <c r="E426" s="43"/>
      <c r="F426" s="47"/>
      <c r="G426" s="48"/>
      <c r="H426" s="48"/>
    </row>
    <row r="427">
      <c r="A427" s="50"/>
      <c r="B427" s="50"/>
      <c r="C427" s="50"/>
      <c r="D427" s="43"/>
      <c r="E427" s="43"/>
      <c r="F427" s="47"/>
      <c r="G427" s="48"/>
      <c r="H427" s="48"/>
    </row>
    <row r="428">
      <c r="A428" s="50"/>
      <c r="B428" s="50"/>
      <c r="C428" s="50"/>
      <c r="D428" s="43"/>
      <c r="E428" s="43"/>
      <c r="F428" s="47"/>
      <c r="G428" s="48"/>
      <c r="H428" s="48"/>
    </row>
    <row r="429">
      <c r="A429" s="50"/>
      <c r="B429" s="50"/>
      <c r="C429" s="50"/>
      <c r="D429" s="43"/>
      <c r="E429" s="43"/>
      <c r="F429" s="47"/>
      <c r="G429" s="48"/>
      <c r="H429" s="48"/>
    </row>
    <row r="430">
      <c r="A430" s="50"/>
      <c r="B430" s="50"/>
      <c r="C430" s="50"/>
      <c r="D430" s="43"/>
      <c r="E430" s="43"/>
      <c r="F430" s="47"/>
      <c r="G430" s="48"/>
      <c r="H430" s="48"/>
    </row>
    <row r="431">
      <c r="A431" s="50"/>
      <c r="B431" s="50"/>
      <c r="C431" s="50"/>
      <c r="D431" s="43"/>
      <c r="E431" s="43"/>
      <c r="F431" s="47"/>
      <c r="G431" s="48"/>
      <c r="H431" s="48"/>
    </row>
    <row r="432">
      <c r="A432" s="50"/>
      <c r="B432" s="50"/>
      <c r="C432" s="50"/>
      <c r="D432" s="43"/>
      <c r="E432" s="43"/>
      <c r="F432" s="47"/>
      <c r="G432" s="48"/>
      <c r="H432" s="48"/>
    </row>
    <row r="433">
      <c r="A433" s="50"/>
      <c r="B433" s="50"/>
      <c r="C433" s="50"/>
      <c r="D433" s="43"/>
      <c r="E433" s="43"/>
      <c r="F433" s="47"/>
      <c r="G433" s="48"/>
      <c r="H433" s="48"/>
    </row>
    <row r="434">
      <c r="A434" s="50"/>
      <c r="B434" s="50"/>
      <c r="C434" s="50"/>
      <c r="D434" s="43"/>
      <c r="E434" s="43"/>
      <c r="F434" s="47"/>
      <c r="G434" s="48"/>
      <c r="H434" s="48"/>
    </row>
    <row r="435">
      <c r="A435" s="50"/>
      <c r="B435" s="50"/>
      <c r="C435" s="50"/>
      <c r="D435" s="43"/>
      <c r="E435" s="43"/>
      <c r="F435" s="47"/>
      <c r="G435" s="48"/>
      <c r="H435" s="48"/>
    </row>
    <row r="436">
      <c r="A436" s="50"/>
      <c r="B436" s="50"/>
      <c r="C436" s="50"/>
      <c r="D436" s="43"/>
      <c r="E436" s="43"/>
      <c r="F436" s="47"/>
      <c r="G436" s="48"/>
      <c r="H436" s="48"/>
    </row>
    <row r="437">
      <c r="A437" s="50"/>
      <c r="B437" s="50"/>
      <c r="C437" s="50"/>
      <c r="D437" s="43"/>
      <c r="E437" s="43"/>
      <c r="F437" s="47"/>
      <c r="G437" s="48"/>
      <c r="H437" s="48"/>
    </row>
    <row r="438">
      <c r="A438" s="50"/>
      <c r="B438" s="50"/>
      <c r="C438" s="50"/>
      <c r="D438" s="43"/>
      <c r="E438" s="43"/>
      <c r="F438" s="47"/>
      <c r="G438" s="48"/>
      <c r="H438" s="48"/>
    </row>
    <row r="439">
      <c r="A439" s="50"/>
      <c r="B439" s="50"/>
      <c r="C439" s="50"/>
      <c r="D439" s="43"/>
      <c r="E439" s="43"/>
      <c r="F439" s="47"/>
      <c r="G439" s="48"/>
      <c r="H439" s="48"/>
    </row>
    <row r="440">
      <c r="A440" s="50"/>
      <c r="B440" s="50"/>
      <c r="C440" s="50"/>
      <c r="D440" s="43"/>
      <c r="E440" s="43"/>
      <c r="F440" s="47"/>
      <c r="G440" s="48"/>
      <c r="H440" s="48"/>
    </row>
    <row r="441">
      <c r="A441" s="50"/>
      <c r="B441" s="50"/>
      <c r="C441" s="50"/>
      <c r="D441" s="43"/>
      <c r="E441" s="43"/>
      <c r="F441" s="47"/>
      <c r="G441" s="48"/>
      <c r="H441" s="48"/>
    </row>
    <row r="442">
      <c r="A442" s="50"/>
      <c r="B442" s="50"/>
      <c r="C442" s="50"/>
      <c r="D442" s="43"/>
      <c r="E442" s="43"/>
      <c r="F442" s="47"/>
      <c r="G442" s="48"/>
      <c r="H442" s="48"/>
    </row>
    <row r="443">
      <c r="A443" s="50"/>
      <c r="B443" s="50"/>
      <c r="C443" s="50"/>
      <c r="D443" s="43"/>
      <c r="E443" s="43"/>
      <c r="F443" s="47"/>
      <c r="G443" s="48"/>
      <c r="H443" s="48"/>
    </row>
    <row r="444">
      <c r="A444" s="50"/>
      <c r="B444" s="50"/>
      <c r="C444" s="50"/>
      <c r="D444" s="43"/>
      <c r="E444" s="43"/>
      <c r="F444" s="47"/>
      <c r="G444" s="48"/>
      <c r="H444" s="48"/>
    </row>
    <row r="445">
      <c r="A445" s="50"/>
      <c r="B445" s="50"/>
      <c r="C445" s="50"/>
      <c r="D445" s="43"/>
      <c r="E445" s="43"/>
      <c r="F445" s="47"/>
      <c r="G445" s="48"/>
      <c r="H445" s="48"/>
    </row>
    <row r="446">
      <c r="A446" s="50"/>
      <c r="B446" s="50"/>
      <c r="C446" s="50"/>
      <c r="D446" s="43"/>
      <c r="E446" s="43"/>
      <c r="F446" s="47"/>
      <c r="G446" s="48"/>
      <c r="H446" s="48"/>
    </row>
    <row r="447">
      <c r="A447" s="50"/>
      <c r="B447" s="50"/>
      <c r="C447" s="50"/>
      <c r="D447" s="43"/>
      <c r="E447" s="43"/>
      <c r="F447" s="47"/>
      <c r="G447" s="48"/>
      <c r="H447" s="48"/>
    </row>
    <row r="448">
      <c r="A448" s="50"/>
      <c r="B448" s="50"/>
      <c r="C448" s="50"/>
      <c r="D448" s="43"/>
      <c r="E448" s="43"/>
      <c r="F448" s="47"/>
      <c r="G448" s="48"/>
      <c r="H448" s="48"/>
    </row>
    <row r="449">
      <c r="A449" s="50"/>
      <c r="B449" s="50"/>
      <c r="C449" s="50"/>
      <c r="D449" s="43"/>
      <c r="E449" s="43"/>
      <c r="F449" s="47"/>
      <c r="G449" s="48"/>
      <c r="H449" s="48"/>
    </row>
    <row r="450">
      <c r="A450" s="50"/>
      <c r="B450" s="50"/>
      <c r="C450" s="50"/>
      <c r="D450" s="43"/>
      <c r="E450" s="43"/>
      <c r="F450" s="47"/>
      <c r="G450" s="48"/>
      <c r="H450" s="48"/>
    </row>
    <row r="451">
      <c r="A451" s="50"/>
      <c r="B451" s="50"/>
      <c r="C451" s="50"/>
      <c r="D451" s="43"/>
      <c r="E451" s="43"/>
      <c r="F451" s="47"/>
      <c r="G451" s="48"/>
      <c r="H451" s="48"/>
    </row>
    <row r="452">
      <c r="A452" s="50"/>
      <c r="B452" s="50"/>
      <c r="C452" s="50"/>
      <c r="D452" s="43"/>
      <c r="E452" s="43"/>
      <c r="F452" s="47"/>
      <c r="G452" s="48"/>
      <c r="H452" s="48"/>
    </row>
    <row r="453">
      <c r="A453" s="50"/>
      <c r="B453" s="50"/>
      <c r="C453" s="50"/>
      <c r="D453" s="43"/>
      <c r="E453" s="43"/>
      <c r="F453" s="47"/>
      <c r="G453" s="48"/>
      <c r="H453" s="48"/>
    </row>
    <row r="454">
      <c r="A454" s="50"/>
      <c r="B454" s="50"/>
      <c r="C454" s="50"/>
      <c r="D454" s="43"/>
      <c r="E454" s="43"/>
      <c r="F454" s="47"/>
      <c r="G454" s="48"/>
      <c r="H454" s="48"/>
    </row>
    <row r="455">
      <c r="A455" s="50"/>
      <c r="B455" s="50"/>
      <c r="C455" s="50"/>
      <c r="D455" s="43"/>
      <c r="E455" s="43"/>
      <c r="F455" s="47"/>
      <c r="G455" s="48"/>
      <c r="H455" s="48"/>
    </row>
    <row r="456">
      <c r="A456" s="50"/>
      <c r="B456" s="50"/>
      <c r="C456" s="50"/>
      <c r="D456" s="43"/>
      <c r="E456" s="43"/>
      <c r="F456" s="47"/>
      <c r="G456" s="48"/>
      <c r="H456" s="48"/>
    </row>
    <row r="457">
      <c r="A457" s="50"/>
      <c r="B457" s="50"/>
      <c r="C457" s="50"/>
      <c r="D457" s="43"/>
      <c r="E457" s="43"/>
      <c r="F457" s="47"/>
      <c r="G457" s="48"/>
      <c r="H457" s="48"/>
    </row>
    <row r="458">
      <c r="A458" s="50"/>
      <c r="B458" s="50"/>
      <c r="C458" s="50"/>
      <c r="D458" s="43"/>
      <c r="E458" s="43"/>
      <c r="F458" s="47"/>
      <c r="G458" s="48"/>
      <c r="H458" s="48"/>
    </row>
    <row r="459">
      <c r="A459" s="50"/>
      <c r="B459" s="50"/>
      <c r="C459" s="50"/>
      <c r="D459" s="43"/>
      <c r="E459" s="43"/>
      <c r="F459" s="47"/>
      <c r="G459" s="48"/>
      <c r="H459" s="48"/>
    </row>
    <row r="460">
      <c r="A460" s="50"/>
      <c r="B460" s="50"/>
      <c r="C460" s="50"/>
      <c r="D460" s="43"/>
      <c r="E460" s="43"/>
      <c r="F460" s="47"/>
      <c r="G460" s="48"/>
      <c r="H460" s="48"/>
    </row>
    <row r="461">
      <c r="A461" s="50"/>
      <c r="B461" s="50"/>
      <c r="C461" s="50"/>
      <c r="D461" s="43"/>
      <c r="E461" s="43"/>
      <c r="F461" s="47"/>
      <c r="G461" s="48"/>
      <c r="H461" s="48"/>
    </row>
    <row r="462">
      <c r="A462" s="50"/>
      <c r="B462" s="50"/>
      <c r="C462" s="50"/>
      <c r="D462" s="43"/>
      <c r="E462" s="43"/>
      <c r="F462" s="47"/>
      <c r="G462" s="48"/>
      <c r="H462" s="48"/>
    </row>
    <row r="463">
      <c r="A463" s="50"/>
      <c r="B463" s="50"/>
      <c r="C463" s="50"/>
      <c r="D463" s="43"/>
      <c r="E463" s="43"/>
      <c r="F463" s="47"/>
      <c r="G463" s="48"/>
      <c r="H463" s="48"/>
    </row>
    <row r="464">
      <c r="A464" s="50"/>
      <c r="B464" s="50"/>
      <c r="C464" s="50"/>
      <c r="D464" s="43"/>
      <c r="E464" s="43"/>
      <c r="F464" s="47"/>
      <c r="G464" s="48"/>
      <c r="H464" s="48"/>
    </row>
    <row r="465">
      <c r="A465" s="50"/>
      <c r="B465" s="50"/>
      <c r="C465" s="50"/>
      <c r="D465" s="43"/>
      <c r="E465" s="43"/>
      <c r="F465" s="47"/>
      <c r="G465" s="48"/>
      <c r="H465" s="48"/>
    </row>
    <row r="466">
      <c r="A466" s="50"/>
      <c r="B466" s="50"/>
      <c r="C466" s="50"/>
      <c r="D466" s="43"/>
      <c r="E466" s="43"/>
      <c r="F466" s="47"/>
      <c r="G466" s="48"/>
      <c r="H466" s="48"/>
    </row>
    <row r="467">
      <c r="A467" s="50"/>
      <c r="B467" s="50"/>
      <c r="C467" s="50"/>
      <c r="D467" s="43"/>
      <c r="E467" s="43"/>
      <c r="F467" s="47"/>
      <c r="G467" s="48"/>
      <c r="H467" s="48"/>
    </row>
    <row r="468">
      <c r="A468" s="50"/>
      <c r="B468" s="50"/>
      <c r="C468" s="50"/>
      <c r="D468" s="43"/>
      <c r="E468" s="43"/>
      <c r="F468" s="47"/>
      <c r="G468" s="48"/>
      <c r="H468" s="48"/>
    </row>
    <row r="469">
      <c r="A469" s="50"/>
      <c r="B469" s="50"/>
      <c r="C469" s="50"/>
      <c r="D469" s="43"/>
      <c r="E469" s="43"/>
      <c r="F469" s="47"/>
      <c r="G469" s="48"/>
      <c r="H469" s="48"/>
    </row>
    <row r="470">
      <c r="A470" s="50"/>
      <c r="B470" s="50"/>
      <c r="C470" s="50"/>
      <c r="D470" s="43"/>
      <c r="E470" s="43"/>
      <c r="F470" s="47"/>
      <c r="G470" s="48"/>
      <c r="H470" s="48"/>
    </row>
    <row r="471">
      <c r="A471" s="50"/>
      <c r="B471" s="50"/>
      <c r="C471" s="50"/>
      <c r="D471" s="43"/>
      <c r="E471" s="43"/>
      <c r="F471" s="47"/>
      <c r="G471" s="48"/>
      <c r="H471" s="48"/>
    </row>
    <row r="472">
      <c r="A472" s="50"/>
      <c r="B472" s="50"/>
      <c r="C472" s="50"/>
      <c r="D472" s="43"/>
      <c r="E472" s="43"/>
      <c r="F472" s="47"/>
      <c r="G472" s="48"/>
      <c r="H472" s="48"/>
    </row>
    <row r="473">
      <c r="A473" s="50"/>
      <c r="B473" s="50"/>
      <c r="C473" s="50"/>
      <c r="D473" s="43"/>
      <c r="E473" s="43"/>
      <c r="F473" s="47"/>
      <c r="G473" s="48"/>
      <c r="H473" s="48"/>
    </row>
    <row r="474">
      <c r="A474" s="50"/>
      <c r="B474" s="50"/>
      <c r="C474" s="50"/>
      <c r="D474" s="43"/>
      <c r="E474" s="43"/>
      <c r="F474" s="47"/>
      <c r="G474" s="48"/>
      <c r="H474" s="48"/>
    </row>
    <row r="475">
      <c r="A475" s="50"/>
      <c r="B475" s="50"/>
      <c r="C475" s="50"/>
      <c r="D475" s="43"/>
      <c r="E475" s="43"/>
      <c r="F475" s="47"/>
      <c r="G475" s="48"/>
      <c r="H475" s="48"/>
    </row>
    <row r="476">
      <c r="A476" s="50"/>
      <c r="B476" s="50"/>
      <c r="C476" s="50"/>
      <c r="D476" s="43"/>
      <c r="E476" s="43"/>
      <c r="F476" s="47"/>
      <c r="G476" s="48"/>
      <c r="H476" s="48"/>
    </row>
    <row r="477">
      <c r="A477" s="50"/>
      <c r="B477" s="50"/>
      <c r="C477" s="50"/>
      <c r="D477" s="43"/>
      <c r="E477" s="43"/>
      <c r="F477" s="47"/>
      <c r="G477" s="48"/>
      <c r="H477" s="48"/>
    </row>
    <row r="478">
      <c r="A478" s="50"/>
      <c r="B478" s="50"/>
      <c r="C478" s="50"/>
      <c r="D478" s="43"/>
      <c r="E478" s="43"/>
      <c r="F478" s="47"/>
      <c r="G478" s="48"/>
      <c r="H478" s="48"/>
    </row>
    <row r="479">
      <c r="A479" s="50"/>
      <c r="B479" s="50"/>
      <c r="C479" s="50"/>
      <c r="D479" s="43"/>
      <c r="E479" s="43"/>
      <c r="F479" s="47"/>
      <c r="G479" s="48"/>
      <c r="H479" s="48"/>
    </row>
    <row r="480">
      <c r="A480" s="50"/>
      <c r="B480" s="50"/>
      <c r="C480" s="50"/>
      <c r="D480" s="43"/>
      <c r="E480" s="43"/>
      <c r="F480" s="47"/>
      <c r="G480" s="48"/>
      <c r="H480" s="48"/>
    </row>
    <row r="481">
      <c r="A481" s="50"/>
      <c r="B481" s="50"/>
      <c r="C481" s="50"/>
      <c r="D481" s="43"/>
      <c r="E481" s="43"/>
      <c r="F481" s="47"/>
      <c r="G481" s="48"/>
      <c r="H481" s="48"/>
    </row>
    <row r="482">
      <c r="A482" s="50"/>
      <c r="B482" s="50"/>
      <c r="C482" s="50"/>
      <c r="D482" s="43"/>
      <c r="E482" s="43"/>
      <c r="F482" s="47"/>
      <c r="G482" s="48"/>
      <c r="H482" s="48"/>
    </row>
    <row r="483">
      <c r="A483" s="50"/>
      <c r="B483" s="50"/>
      <c r="C483" s="50"/>
      <c r="D483" s="43"/>
      <c r="E483" s="43"/>
      <c r="F483" s="47"/>
      <c r="G483" s="48"/>
      <c r="H483" s="48"/>
    </row>
    <row r="484">
      <c r="A484" s="50"/>
      <c r="B484" s="50"/>
      <c r="C484" s="50"/>
      <c r="D484" s="43"/>
      <c r="E484" s="43"/>
      <c r="F484" s="47"/>
      <c r="G484" s="48"/>
      <c r="H484" s="48"/>
    </row>
    <row r="485">
      <c r="A485" s="50"/>
      <c r="B485" s="50"/>
      <c r="C485" s="50"/>
      <c r="D485" s="43"/>
      <c r="E485" s="43"/>
      <c r="F485" s="47"/>
      <c r="G485" s="48"/>
      <c r="H485" s="48"/>
    </row>
    <row r="486">
      <c r="A486" s="50"/>
      <c r="B486" s="50"/>
      <c r="C486" s="50"/>
      <c r="D486" s="43"/>
      <c r="E486" s="43"/>
      <c r="F486" s="47"/>
      <c r="G486" s="48"/>
      <c r="H486" s="48"/>
    </row>
    <row r="487">
      <c r="A487" s="50"/>
      <c r="B487" s="50"/>
      <c r="C487" s="50"/>
      <c r="D487" s="43"/>
      <c r="E487" s="43"/>
      <c r="F487" s="47"/>
      <c r="G487" s="48"/>
      <c r="H487" s="48"/>
    </row>
    <row r="488">
      <c r="A488" s="50"/>
      <c r="B488" s="50"/>
      <c r="C488" s="50"/>
      <c r="D488" s="43"/>
      <c r="E488" s="43"/>
      <c r="F488" s="47"/>
      <c r="G488" s="48"/>
      <c r="H488" s="48"/>
    </row>
    <row r="489">
      <c r="A489" s="50"/>
      <c r="B489" s="50"/>
      <c r="C489" s="50"/>
      <c r="D489" s="43"/>
      <c r="E489" s="43"/>
      <c r="F489" s="47"/>
      <c r="G489" s="48"/>
      <c r="H489" s="48"/>
    </row>
    <row r="490">
      <c r="A490" s="50"/>
      <c r="B490" s="50"/>
      <c r="C490" s="50"/>
      <c r="D490" s="43"/>
      <c r="E490" s="43"/>
      <c r="F490" s="47"/>
      <c r="G490" s="48"/>
      <c r="H490" s="48"/>
    </row>
    <row r="491">
      <c r="A491" s="50"/>
      <c r="B491" s="50"/>
      <c r="C491" s="50"/>
      <c r="D491" s="43"/>
      <c r="E491" s="43"/>
      <c r="F491" s="47"/>
      <c r="G491" s="48"/>
      <c r="H491" s="48"/>
    </row>
    <row r="492">
      <c r="A492" s="50"/>
      <c r="B492" s="50"/>
      <c r="C492" s="50"/>
      <c r="D492" s="43"/>
      <c r="E492" s="43"/>
      <c r="F492" s="47"/>
      <c r="G492" s="48"/>
      <c r="H492" s="48"/>
    </row>
    <row r="493">
      <c r="A493" s="50"/>
      <c r="B493" s="50"/>
      <c r="C493" s="50"/>
      <c r="D493" s="43"/>
      <c r="E493" s="43"/>
      <c r="F493" s="47"/>
      <c r="G493" s="48"/>
      <c r="H493" s="48"/>
    </row>
    <row r="494">
      <c r="A494" s="50"/>
      <c r="B494" s="50"/>
      <c r="C494" s="50"/>
      <c r="D494" s="43"/>
      <c r="E494" s="43"/>
      <c r="F494" s="47"/>
      <c r="G494" s="48"/>
      <c r="H494" s="48"/>
    </row>
    <row r="495">
      <c r="A495" s="50"/>
      <c r="B495" s="50"/>
      <c r="C495" s="50"/>
      <c r="D495" s="43"/>
      <c r="E495" s="43"/>
      <c r="F495" s="47"/>
      <c r="G495" s="48"/>
      <c r="H495" s="48"/>
    </row>
    <row r="496">
      <c r="A496" s="50"/>
      <c r="B496" s="50"/>
      <c r="C496" s="50"/>
      <c r="D496" s="43"/>
      <c r="E496" s="43"/>
      <c r="F496" s="47"/>
      <c r="G496" s="48"/>
      <c r="H496" s="48"/>
    </row>
    <row r="497">
      <c r="A497" s="50"/>
      <c r="B497" s="50"/>
      <c r="C497" s="50"/>
      <c r="D497" s="43"/>
      <c r="E497" s="43"/>
      <c r="F497" s="47"/>
      <c r="G497" s="48"/>
      <c r="H497" s="48"/>
    </row>
    <row r="498">
      <c r="A498" s="50"/>
      <c r="B498" s="50"/>
      <c r="C498" s="50"/>
      <c r="D498" s="43"/>
      <c r="E498" s="43"/>
      <c r="F498" s="47"/>
      <c r="G498" s="48"/>
      <c r="H498" s="48"/>
    </row>
    <row r="499">
      <c r="A499" s="50"/>
      <c r="B499" s="50"/>
      <c r="C499" s="50"/>
      <c r="D499" s="43"/>
      <c r="E499" s="43"/>
      <c r="F499" s="47"/>
      <c r="G499" s="48"/>
      <c r="H499" s="48"/>
    </row>
    <row r="500">
      <c r="A500" s="50"/>
      <c r="B500" s="50"/>
      <c r="C500" s="50"/>
      <c r="D500" s="43"/>
      <c r="E500" s="43"/>
      <c r="F500" s="47"/>
      <c r="G500" s="48"/>
      <c r="H500" s="48"/>
    </row>
    <row r="501">
      <c r="A501" s="50"/>
      <c r="B501" s="50"/>
      <c r="C501" s="50"/>
      <c r="D501" s="43"/>
      <c r="E501" s="43"/>
      <c r="F501" s="47"/>
      <c r="G501" s="48"/>
      <c r="H501" s="48"/>
    </row>
    <row r="502">
      <c r="A502" s="50"/>
      <c r="B502" s="50"/>
      <c r="C502" s="50"/>
      <c r="D502" s="43"/>
      <c r="E502" s="43"/>
      <c r="F502" s="47"/>
      <c r="G502" s="48"/>
      <c r="H502" s="48"/>
    </row>
    <row r="503">
      <c r="A503" s="50"/>
      <c r="B503" s="50"/>
      <c r="C503" s="50"/>
      <c r="D503" s="43"/>
      <c r="E503" s="43"/>
      <c r="F503" s="47"/>
      <c r="G503" s="48"/>
      <c r="H503" s="48"/>
    </row>
    <row r="504">
      <c r="A504" s="50"/>
      <c r="B504" s="50"/>
      <c r="C504" s="50"/>
      <c r="D504" s="43"/>
      <c r="E504" s="43"/>
      <c r="F504" s="47"/>
      <c r="G504" s="48"/>
      <c r="H504" s="48"/>
    </row>
    <row r="505">
      <c r="A505" s="50"/>
      <c r="B505" s="50"/>
      <c r="C505" s="50"/>
      <c r="D505" s="43"/>
      <c r="E505" s="43"/>
      <c r="F505" s="47"/>
      <c r="G505" s="48"/>
      <c r="H505" s="48"/>
    </row>
    <row r="506">
      <c r="A506" s="50"/>
      <c r="B506" s="50"/>
      <c r="C506" s="50"/>
      <c r="D506" s="43"/>
      <c r="E506" s="43"/>
      <c r="F506" s="47"/>
      <c r="G506" s="48"/>
      <c r="H506" s="48"/>
    </row>
    <row r="507">
      <c r="A507" s="50"/>
      <c r="B507" s="50"/>
      <c r="C507" s="50"/>
      <c r="D507" s="43"/>
      <c r="E507" s="43"/>
      <c r="F507" s="47"/>
      <c r="G507" s="48"/>
      <c r="H507" s="48"/>
    </row>
    <row r="508">
      <c r="A508" s="50"/>
      <c r="B508" s="50"/>
      <c r="C508" s="50"/>
      <c r="D508" s="43"/>
      <c r="E508" s="43"/>
      <c r="F508" s="47"/>
      <c r="G508" s="48"/>
      <c r="H508" s="48"/>
    </row>
    <row r="509">
      <c r="A509" s="50"/>
      <c r="B509" s="50"/>
      <c r="C509" s="50"/>
      <c r="D509" s="43"/>
      <c r="E509" s="43"/>
      <c r="F509" s="47"/>
      <c r="G509" s="48"/>
      <c r="H509" s="48"/>
    </row>
    <row r="510">
      <c r="A510" s="50"/>
      <c r="B510" s="50"/>
      <c r="C510" s="50"/>
      <c r="D510" s="43"/>
      <c r="E510" s="43"/>
      <c r="F510" s="47"/>
      <c r="G510" s="48"/>
      <c r="H510" s="48"/>
    </row>
    <row r="511">
      <c r="A511" s="50"/>
      <c r="B511" s="50"/>
      <c r="C511" s="50"/>
      <c r="D511" s="43"/>
      <c r="E511" s="43"/>
      <c r="F511" s="47"/>
      <c r="G511" s="48"/>
      <c r="H511" s="48"/>
    </row>
    <row r="512">
      <c r="A512" s="50"/>
      <c r="B512" s="50"/>
      <c r="C512" s="50"/>
      <c r="D512" s="43"/>
      <c r="E512" s="43"/>
      <c r="F512" s="47"/>
      <c r="G512" s="48"/>
      <c r="H512" s="48"/>
    </row>
    <row r="513">
      <c r="A513" s="50"/>
      <c r="B513" s="50"/>
      <c r="C513" s="50"/>
      <c r="D513" s="43"/>
      <c r="E513" s="43"/>
      <c r="F513" s="47"/>
      <c r="G513" s="48"/>
      <c r="H513" s="48"/>
    </row>
    <row r="514">
      <c r="A514" s="50"/>
      <c r="B514" s="50"/>
      <c r="C514" s="50"/>
      <c r="D514" s="43"/>
      <c r="E514" s="43"/>
      <c r="F514" s="47"/>
      <c r="G514" s="48"/>
      <c r="H514" s="48"/>
    </row>
    <row r="515">
      <c r="A515" s="50"/>
      <c r="B515" s="50"/>
      <c r="C515" s="50"/>
      <c r="D515" s="43"/>
      <c r="E515" s="43"/>
      <c r="F515" s="47"/>
      <c r="G515" s="48"/>
      <c r="H515" s="48"/>
    </row>
    <row r="516">
      <c r="A516" s="50"/>
      <c r="B516" s="50"/>
      <c r="C516" s="50"/>
      <c r="D516" s="43"/>
      <c r="E516" s="43"/>
      <c r="F516" s="47"/>
      <c r="G516" s="48"/>
      <c r="H516" s="48"/>
    </row>
    <row r="517">
      <c r="A517" s="50"/>
      <c r="B517" s="50"/>
      <c r="C517" s="50"/>
      <c r="D517" s="43"/>
      <c r="E517" s="43"/>
      <c r="F517" s="47"/>
      <c r="G517" s="48"/>
      <c r="H517" s="48"/>
    </row>
    <row r="518">
      <c r="A518" s="50"/>
      <c r="B518" s="50"/>
      <c r="C518" s="50"/>
      <c r="D518" s="43"/>
      <c r="E518" s="43"/>
      <c r="F518" s="47"/>
      <c r="G518" s="48"/>
      <c r="H518" s="48"/>
    </row>
    <row r="519">
      <c r="A519" s="50"/>
      <c r="B519" s="50"/>
      <c r="C519" s="50"/>
      <c r="D519" s="43"/>
      <c r="E519" s="43"/>
      <c r="F519" s="47"/>
      <c r="G519" s="48"/>
      <c r="H519" s="48"/>
    </row>
    <row r="520">
      <c r="A520" s="50"/>
      <c r="B520" s="50"/>
      <c r="C520" s="50"/>
      <c r="D520" s="43"/>
      <c r="E520" s="43"/>
      <c r="F520" s="47"/>
      <c r="G520" s="48"/>
      <c r="H520" s="48"/>
    </row>
    <row r="521">
      <c r="A521" s="50"/>
      <c r="B521" s="50"/>
      <c r="C521" s="50"/>
      <c r="D521" s="43"/>
      <c r="E521" s="43"/>
      <c r="F521" s="47"/>
      <c r="G521" s="48"/>
      <c r="H521" s="48"/>
    </row>
    <row r="522">
      <c r="A522" s="50"/>
      <c r="B522" s="50"/>
      <c r="C522" s="50"/>
      <c r="D522" s="43"/>
      <c r="E522" s="43"/>
      <c r="F522" s="47"/>
      <c r="G522" s="48"/>
      <c r="H522" s="48"/>
    </row>
    <row r="523">
      <c r="A523" s="50"/>
      <c r="B523" s="50"/>
      <c r="C523" s="50"/>
      <c r="D523" s="43"/>
      <c r="E523" s="43"/>
      <c r="F523" s="47"/>
      <c r="G523" s="48"/>
      <c r="H523" s="48"/>
    </row>
    <row r="524">
      <c r="A524" s="50"/>
      <c r="B524" s="50"/>
      <c r="C524" s="50"/>
      <c r="D524" s="43"/>
      <c r="E524" s="43"/>
      <c r="F524" s="47"/>
      <c r="G524" s="48"/>
      <c r="H524" s="48"/>
    </row>
    <row r="525">
      <c r="A525" s="50"/>
      <c r="B525" s="50"/>
      <c r="C525" s="50"/>
      <c r="D525" s="43"/>
      <c r="E525" s="43"/>
      <c r="F525" s="47"/>
      <c r="G525" s="48"/>
      <c r="H525" s="48"/>
    </row>
    <row r="526">
      <c r="A526" s="50"/>
      <c r="B526" s="50"/>
      <c r="C526" s="50"/>
      <c r="D526" s="43"/>
      <c r="E526" s="43"/>
      <c r="F526" s="47"/>
      <c r="G526" s="48"/>
      <c r="H526" s="48"/>
    </row>
    <row r="527">
      <c r="A527" s="50"/>
      <c r="B527" s="50"/>
      <c r="C527" s="50"/>
      <c r="D527" s="43"/>
      <c r="E527" s="43"/>
      <c r="F527" s="47"/>
      <c r="G527" s="48"/>
      <c r="H527" s="48"/>
    </row>
    <row r="528">
      <c r="A528" s="50"/>
      <c r="B528" s="50"/>
      <c r="C528" s="50"/>
      <c r="D528" s="43"/>
      <c r="E528" s="43"/>
      <c r="F528" s="47"/>
      <c r="G528" s="48"/>
      <c r="H528" s="48"/>
    </row>
    <row r="529">
      <c r="A529" s="50"/>
      <c r="B529" s="50"/>
      <c r="C529" s="50"/>
      <c r="D529" s="43"/>
      <c r="E529" s="43"/>
      <c r="F529" s="47"/>
      <c r="G529" s="48"/>
      <c r="H529" s="48"/>
    </row>
    <row r="530">
      <c r="A530" s="50"/>
      <c r="B530" s="50"/>
      <c r="C530" s="50"/>
      <c r="D530" s="43"/>
      <c r="E530" s="43"/>
      <c r="F530" s="47"/>
      <c r="G530" s="48"/>
      <c r="H530" s="48"/>
    </row>
    <row r="531">
      <c r="A531" s="50"/>
      <c r="B531" s="50"/>
      <c r="C531" s="50"/>
      <c r="D531" s="43"/>
      <c r="E531" s="43"/>
      <c r="F531" s="47"/>
      <c r="G531" s="48"/>
      <c r="H531" s="48"/>
    </row>
    <row r="532">
      <c r="A532" s="50"/>
      <c r="B532" s="50"/>
      <c r="C532" s="50"/>
      <c r="D532" s="43"/>
      <c r="E532" s="43"/>
      <c r="F532" s="47"/>
      <c r="G532" s="48"/>
      <c r="H532" s="48"/>
    </row>
    <row r="533">
      <c r="A533" s="50"/>
      <c r="B533" s="50"/>
      <c r="C533" s="50"/>
      <c r="D533" s="43"/>
      <c r="E533" s="43"/>
      <c r="F533" s="47"/>
      <c r="G533" s="48"/>
      <c r="H533" s="48"/>
    </row>
    <row r="534">
      <c r="A534" s="50"/>
      <c r="B534" s="50"/>
      <c r="C534" s="50"/>
      <c r="D534" s="43"/>
      <c r="E534" s="43"/>
      <c r="F534" s="47"/>
      <c r="G534" s="48"/>
      <c r="H534" s="48"/>
    </row>
    <row r="535">
      <c r="A535" s="50"/>
      <c r="B535" s="50"/>
      <c r="C535" s="50"/>
      <c r="D535" s="43"/>
      <c r="E535" s="43"/>
      <c r="F535" s="47"/>
      <c r="G535" s="48"/>
      <c r="H535" s="48"/>
    </row>
    <row r="536">
      <c r="A536" s="50"/>
      <c r="B536" s="50"/>
      <c r="C536" s="50"/>
      <c r="D536" s="43"/>
      <c r="E536" s="43"/>
      <c r="F536" s="47"/>
      <c r="G536" s="48"/>
      <c r="H536" s="48"/>
    </row>
    <row r="537">
      <c r="A537" s="50"/>
      <c r="B537" s="50"/>
      <c r="C537" s="50"/>
      <c r="D537" s="43"/>
      <c r="E537" s="43"/>
      <c r="F537" s="47"/>
      <c r="G537" s="48"/>
      <c r="H537" s="48"/>
    </row>
    <row r="538">
      <c r="A538" s="50"/>
      <c r="B538" s="50"/>
      <c r="C538" s="50"/>
      <c r="D538" s="43"/>
      <c r="E538" s="43"/>
      <c r="F538" s="47"/>
      <c r="G538" s="48"/>
      <c r="H538" s="48"/>
    </row>
    <row r="539">
      <c r="A539" s="50"/>
      <c r="B539" s="50"/>
      <c r="C539" s="50"/>
      <c r="D539" s="43"/>
      <c r="E539" s="43"/>
      <c r="F539" s="47"/>
      <c r="G539" s="48"/>
      <c r="H539" s="48"/>
    </row>
    <row r="540">
      <c r="A540" s="50"/>
      <c r="B540" s="50"/>
      <c r="C540" s="50"/>
      <c r="D540" s="43"/>
      <c r="E540" s="43"/>
      <c r="F540" s="47"/>
      <c r="G540" s="48"/>
      <c r="H540" s="48"/>
    </row>
    <row r="541">
      <c r="A541" s="50"/>
      <c r="B541" s="50"/>
      <c r="C541" s="50"/>
      <c r="D541" s="43"/>
      <c r="E541" s="43"/>
      <c r="F541" s="47"/>
      <c r="G541" s="48"/>
      <c r="H541" s="48"/>
    </row>
    <row r="542">
      <c r="A542" s="50"/>
      <c r="B542" s="50"/>
      <c r="C542" s="50"/>
      <c r="D542" s="43"/>
      <c r="E542" s="43"/>
      <c r="F542" s="47"/>
      <c r="G542" s="48"/>
      <c r="H542" s="48"/>
    </row>
    <row r="543">
      <c r="A543" s="50"/>
      <c r="B543" s="50"/>
      <c r="C543" s="50"/>
      <c r="D543" s="43"/>
      <c r="E543" s="43"/>
      <c r="F543" s="47"/>
      <c r="G543" s="48"/>
      <c r="H543" s="48"/>
    </row>
    <row r="544">
      <c r="A544" s="50"/>
      <c r="B544" s="50"/>
      <c r="C544" s="50"/>
      <c r="D544" s="43"/>
      <c r="E544" s="43"/>
      <c r="F544" s="47"/>
      <c r="G544" s="48"/>
      <c r="H544" s="48"/>
    </row>
    <row r="545">
      <c r="A545" s="50"/>
      <c r="B545" s="50"/>
      <c r="C545" s="50"/>
      <c r="D545" s="43"/>
      <c r="E545" s="43"/>
      <c r="F545" s="47"/>
      <c r="G545" s="48"/>
      <c r="H545" s="48"/>
    </row>
    <row r="546">
      <c r="A546" s="50"/>
      <c r="B546" s="50"/>
      <c r="C546" s="50"/>
      <c r="D546" s="43"/>
      <c r="E546" s="43"/>
      <c r="F546" s="47"/>
      <c r="G546" s="48"/>
      <c r="H546" s="48"/>
    </row>
    <row r="547">
      <c r="A547" s="50"/>
      <c r="B547" s="50"/>
      <c r="C547" s="50"/>
      <c r="D547" s="43"/>
      <c r="E547" s="43"/>
      <c r="F547" s="47"/>
      <c r="G547" s="48"/>
      <c r="H547" s="48"/>
    </row>
    <row r="548">
      <c r="A548" s="50"/>
      <c r="B548" s="50"/>
      <c r="C548" s="50"/>
      <c r="D548" s="43"/>
      <c r="E548" s="43"/>
      <c r="F548" s="47"/>
      <c r="G548" s="48"/>
      <c r="H548" s="48"/>
    </row>
    <row r="549">
      <c r="A549" s="50"/>
      <c r="B549" s="50"/>
      <c r="C549" s="50"/>
      <c r="D549" s="43"/>
      <c r="E549" s="43"/>
      <c r="F549" s="47"/>
      <c r="G549" s="48"/>
      <c r="H549" s="48"/>
    </row>
    <row r="550">
      <c r="A550" s="50"/>
      <c r="B550" s="50"/>
      <c r="C550" s="50"/>
      <c r="D550" s="43"/>
      <c r="E550" s="43"/>
      <c r="F550" s="47"/>
      <c r="G550" s="48"/>
      <c r="H550" s="48"/>
    </row>
    <row r="551">
      <c r="A551" s="50"/>
      <c r="B551" s="50"/>
      <c r="C551" s="50"/>
      <c r="D551" s="43"/>
      <c r="E551" s="43"/>
      <c r="F551" s="47"/>
      <c r="G551" s="48"/>
      <c r="H551" s="48"/>
    </row>
    <row r="552">
      <c r="A552" s="50"/>
      <c r="B552" s="50"/>
      <c r="C552" s="50"/>
      <c r="D552" s="43"/>
      <c r="E552" s="43"/>
      <c r="F552" s="47"/>
      <c r="G552" s="48"/>
      <c r="H552" s="48"/>
    </row>
    <row r="553">
      <c r="A553" s="50"/>
      <c r="B553" s="50"/>
      <c r="C553" s="50"/>
      <c r="D553" s="43"/>
      <c r="E553" s="43"/>
      <c r="F553" s="47"/>
      <c r="G553" s="48"/>
      <c r="H553" s="48"/>
    </row>
    <row r="554">
      <c r="A554" s="50"/>
      <c r="B554" s="50"/>
      <c r="C554" s="50"/>
      <c r="D554" s="43"/>
      <c r="E554" s="43"/>
      <c r="F554" s="47"/>
      <c r="G554" s="48"/>
      <c r="H554" s="48"/>
    </row>
    <row r="555">
      <c r="A555" s="50"/>
      <c r="B555" s="50"/>
      <c r="C555" s="50"/>
      <c r="D555" s="43"/>
      <c r="E555" s="43"/>
      <c r="F555" s="47"/>
      <c r="G555" s="48"/>
      <c r="H555" s="48"/>
    </row>
    <row r="556">
      <c r="A556" s="50"/>
      <c r="B556" s="50"/>
      <c r="C556" s="50"/>
      <c r="D556" s="43"/>
      <c r="E556" s="43"/>
      <c r="F556" s="47"/>
      <c r="G556" s="48"/>
      <c r="H556" s="48"/>
    </row>
    <row r="557">
      <c r="A557" s="50"/>
      <c r="B557" s="50"/>
      <c r="C557" s="50"/>
      <c r="D557" s="43"/>
      <c r="E557" s="43"/>
      <c r="F557" s="47"/>
      <c r="G557" s="48"/>
      <c r="H557" s="48"/>
    </row>
    <row r="558">
      <c r="A558" s="50"/>
      <c r="B558" s="50"/>
      <c r="C558" s="50"/>
      <c r="D558" s="43"/>
      <c r="E558" s="43"/>
      <c r="F558" s="47"/>
      <c r="G558" s="48"/>
      <c r="H558" s="48"/>
    </row>
    <row r="559">
      <c r="A559" s="50"/>
      <c r="B559" s="50"/>
      <c r="C559" s="50"/>
      <c r="D559" s="43"/>
      <c r="E559" s="43"/>
      <c r="F559" s="47"/>
      <c r="G559" s="48"/>
      <c r="H559" s="48"/>
    </row>
    <row r="560">
      <c r="A560" s="50"/>
      <c r="B560" s="50"/>
      <c r="C560" s="50"/>
      <c r="D560" s="43"/>
      <c r="E560" s="43"/>
      <c r="F560" s="47"/>
      <c r="G560" s="48"/>
      <c r="H560" s="48"/>
    </row>
    <row r="561">
      <c r="A561" s="50"/>
      <c r="B561" s="50"/>
      <c r="C561" s="50"/>
      <c r="D561" s="43"/>
      <c r="E561" s="43"/>
      <c r="F561" s="47"/>
      <c r="G561" s="48"/>
      <c r="H561" s="48"/>
    </row>
    <row r="562">
      <c r="A562" s="50"/>
      <c r="B562" s="50"/>
      <c r="C562" s="50"/>
      <c r="D562" s="43"/>
      <c r="E562" s="43"/>
      <c r="F562" s="47"/>
      <c r="G562" s="48"/>
      <c r="H562" s="48"/>
    </row>
    <row r="563">
      <c r="A563" s="50"/>
      <c r="B563" s="50"/>
      <c r="C563" s="50"/>
      <c r="D563" s="43"/>
      <c r="E563" s="43"/>
      <c r="F563" s="47"/>
      <c r="G563" s="48"/>
      <c r="H563" s="48"/>
    </row>
    <row r="564">
      <c r="A564" s="50"/>
      <c r="B564" s="50"/>
      <c r="C564" s="50"/>
      <c r="D564" s="43"/>
      <c r="E564" s="43"/>
      <c r="F564" s="47"/>
      <c r="G564" s="48"/>
      <c r="H564" s="48"/>
    </row>
    <row r="565">
      <c r="A565" s="50"/>
      <c r="B565" s="50"/>
      <c r="C565" s="50"/>
      <c r="D565" s="43"/>
      <c r="E565" s="43"/>
      <c r="F565" s="47"/>
      <c r="G565" s="48"/>
      <c r="H565" s="48"/>
    </row>
    <row r="566">
      <c r="A566" s="50"/>
      <c r="B566" s="50"/>
      <c r="C566" s="50"/>
      <c r="D566" s="43"/>
      <c r="E566" s="43"/>
      <c r="F566" s="47"/>
      <c r="G566" s="48"/>
      <c r="H566" s="48"/>
    </row>
    <row r="567">
      <c r="A567" s="50"/>
      <c r="B567" s="50"/>
      <c r="C567" s="50"/>
      <c r="D567" s="43"/>
      <c r="E567" s="43"/>
      <c r="F567" s="47"/>
      <c r="G567" s="48"/>
      <c r="H567" s="48"/>
    </row>
    <row r="568">
      <c r="A568" s="50"/>
      <c r="B568" s="50"/>
      <c r="C568" s="50"/>
      <c r="D568" s="43"/>
      <c r="E568" s="43"/>
      <c r="F568" s="47"/>
      <c r="G568" s="48"/>
      <c r="H568" s="48"/>
    </row>
    <row r="569">
      <c r="A569" s="50"/>
      <c r="B569" s="50"/>
      <c r="C569" s="50"/>
      <c r="D569" s="43"/>
      <c r="E569" s="43"/>
      <c r="F569" s="47"/>
      <c r="G569" s="48"/>
      <c r="H569" s="48"/>
    </row>
    <row r="570">
      <c r="A570" s="50"/>
      <c r="B570" s="50"/>
      <c r="C570" s="50"/>
      <c r="D570" s="43"/>
      <c r="E570" s="43"/>
      <c r="F570" s="47"/>
      <c r="G570" s="48"/>
      <c r="H570" s="48"/>
    </row>
    <row r="571">
      <c r="A571" s="50"/>
      <c r="B571" s="50"/>
      <c r="C571" s="50"/>
      <c r="D571" s="43"/>
      <c r="E571" s="43"/>
      <c r="F571" s="47"/>
      <c r="G571" s="48"/>
      <c r="H571" s="48"/>
    </row>
    <row r="572">
      <c r="A572" s="50"/>
      <c r="B572" s="50"/>
      <c r="C572" s="50"/>
      <c r="D572" s="43"/>
      <c r="E572" s="43"/>
      <c r="F572" s="47"/>
      <c r="G572" s="48"/>
      <c r="H572" s="48"/>
    </row>
    <row r="573">
      <c r="A573" s="50"/>
      <c r="B573" s="50"/>
      <c r="C573" s="50"/>
      <c r="D573" s="43"/>
      <c r="E573" s="43"/>
      <c r="F573" s="47"/>
      <c r="G573" s="48"/>
      <c r="H573" s="48"/>
    </row>
    <row r="574">
      <c r="A574" s="50"/>
      <c r="B574" s="50"/>
      <c r="C574" s="50"/>
      <c r="D574" s="43"/>
      <c r="E574" s="43"/>
      <c r="F574" s="47"/>
      <c r="G574" s="48"/>
      <c r="H574" s="48"/>
    </row>
    <row r="575">
      <c r="A575" s="50"/>
      <c r="B575" s="50"/>
      <c r="C575" s="50"/>
      <c r="D575" s="43"/>
      <c r="E575" s="43"/>
      <c r="F575" s="47"/>
      <c r="G575" s="48"/>
      <c r="H575" s="48"/>
    </row>
    <row r="576">
      <c r="A576" s="50"/>
      <c r="B576" s="50"/>
      <c r="C576" s="50"/>
      <c r="D576" s="43"/>
      <c r="E576" s="43"/>
      <c r="F576" s="47"/>
      <c r="G576" s="48"/>
      <c r="H576" s="48"/>
    </row>
    <row r="577">
      <c r="A577" s="50"/>
      <c r="B577" s="50"/>
      <c r="C577" s="50"/>
      <c r="D577" s="43"/>
      <c r="E577" s="43"/>
      <c r="F577" s="47"/>
      <c r="G577" s="48"/>
      <c r="H577" s="48"/>
    </row>
    <row r="578">
      <c r="A578" s="50"/>
      <c r="B578" s="50"/>
      <c r="C578" s="50"/>
      <c r="D578" s="43"/>
      <c r="E578" s="43"/>
      <c r="F578" s="47"/>
      <c r="G578" s="48"/>
      <c r="H578" s="48"/>
    </row>
    <row r="579">
      <c r="A579" s="50"/>
      <c r="B579" s="50"/>
      <c r="C579" s="50"/>
      <c r="D579" s="43"/>
      <c r="E579" s="43"/>
      <c r="F579" s="47"/>
      <c r="G579" s="48"/>
      <c r="H579" s="48"/>
    </row>
    <row r="580">
      <c r="A580" s="50"/>
      <c r="B580" s="50"/>
      <c r="C580" s="50"/>
      <c r="D580" s="43"/>
      <c r="E580" s="43"/>
      <c r="F580" s="47"/>
      <c r="G580" s="48"/>
      <c r="H580" s="48"/>
    </row>
    <row r="581">
      <c r="A581" s="50"/>
      <c r="B581" s="50"/>
      <c r="C581" s="50"/>
      <c r="D581" s="43"/>
      <c r="E581" s="43"/>
      <c r="F581" s="47"/>
      <c r="G581" s="48"/>
      <c r="H581" s="48"/>
    </row>
    <row r="582">
      <c r="A582" s="50"/>
      <c r="B582" s="50"/>
      <c r="C582" s="50"/>
      <c r="D582" s="43"/>
      <c r="E582" s="43"/>
      <c r="F582" s="47"/>
      <c r="G582" s="48"/>
      <c r="H582" s="48"/>
    </row>
    <row r="583">
      <c r="A583" s="50"/>
      <c r="B583" s="50"/>
      <c r="C583" s="50"/>
      <c r="D583" s="43"/>
      <c r="E583" s="43"/>
      <c r="F583" s="47"/>
      <c r="G583" s="48"/>
      <c r="H583" s="48"/>
    </row>
    <row r="584">
      <c r="A584" s="50"/>
      <c r="B584" s="50"/>
      <c r="C584" s="50"/>
      <c r="D584" s="43"/>
      <c r="E584" s="43"/>
      <c r="F584" s="47"/>
      <c r="G584" s="48"/>
      <c r="H584" s="48"/>
    </row>
    <row r="585">
      <c r="A585" s="50"/>
      <c r="B585" s="50"/>
      <c r="C585" s="50"/>
      <c r="D585" s="43"/>
      <c r="E585" s="43"/>
      <c r="F585" s="47"/>
      <c r="G585" s="48"/>
      <c r="H585" s="48"/>
    </row>
    <row r="586">
      <c r="A586" s="50"/>
      <c r="B586" s="50"/>
      <c r="C586" s="50"/>
      <c r="D586" s="43"/>
      <c r="E586" s="43"/>
      <c r="F586" s="47"/>
      <c r="G586" s="48"/>
      <c r="H586" s="48"/>
    </row>
    <row r="587">
      <c r="A587" s="50"/>
      <c r="B587" s="50"/>
      <c r="C587" s="50"/>
      <c r="D587" s="43"/>
      <c r="E587" s="43"/>
      <c r="F587" s="47"/>
      <c r="G587" s="48"/>
      <c r="H587" s="48"/>
    </row>
    <row r="588">
      <c r="A588" s="50"/>
      <c r="B588" s="50"/>
      <c r="C588" s="50"/>
      <c r="D588" s="43"/>
      <c r="E588" s="43"/>
      <c r="F588" s="47"/>
      <c r="G588" s="48"/>
      <c r="H588" s="48"/>
    </row>
    <row r="589">
      <c r="A589" s="50"/>
      <c r="B589" s="50"/>
      <c r="C589" s="50"/>
      <c r="D589" s="43"/>
      <c r="E589" s="43"/>
      <c r="F589" s="47"/>
      <c r="G589" s="48"/>
      <c r="H589" s="48"/>
    </row>
    <row r="590">
      <c r="A590" s="50"/>
      <c r="B590" s="50"/>
      <c r="C590" s="50"/>
      <c r="D590" s="43"/>
      <c r="E590" s="43"/>
      <c r="F590" s="47"/>
      <c r="G590" s="48"/>
      <c r="H590" s="48"/>
    </row>
    <row r="591">
      <c r="A591" s="50"/>
      <c r="B591" s="50"/>
      <c r="C591" s="50"/>
      <c r="D591" s="43"/>
      <c r="E591" s="43"/>
      <c r="F591" s="47"/>
      <c r="G591" s="48"/>
      <c r="H591" s="48"/>
    </row>
    <row r="592">
      <c r="A592" s="50"/>
      <c r="B592" s="50"/>
      <c r="C592" s="50"/>
      <c r="D592" s="43"/>
      <c r="E592" s="43"/>
      <c r="F592" s="47"/>
      <c r="G592" s="48"/>
      <c r="H592" s="48"/>
    </row>
    <row r="593">
      <c r="A593" s="50"/>
      <c r="B593" s="50"/>
      <c r="C593" s="50"/>
      <c r="D593" s="43"/>
      <c r="E593" s="43"/>
      <c r="F593" s="47"/>
      <c r="G593" s="48"/>
      <c r="H593" s="48"/>
    </row>
    <row r="594">
      <c r="A594" s="50"/>
      <c r="B594" s="50"/>
      <c r="C594" s="50"/>
      <c r="D594" s="43"/>
      <c r="E594" s="43"/>
      <c r="F594" s="47"/>
      <c r="G594" s="48"/>
      <c r="H594" s="48"/>
    </row>
    <row r="595">
      <c r="A595" s="50"/>
      <c r="B595" s="50"/>
      <c r="C595" s="50"/>
      <c r="D595" s="43"/>
      <c r="E595" s="43"/>
      <c r="F595" s="47"/>
      <c r="G595" s="48"/>
      <c r="H595" s="48"/>
    </row>
    <row r="596">
      <c r="A596" s="50"/>
      <c r="B596" s="50"/>
      <c r="C596" s="50"/>
      <c r="D596" s="43"/>
      <c r="E596" s="43"/>
      <c r="F596" s="47"/>
      <c r="G596" s="48"/>
      <c r="H596" s="48"/>
    </row>
    <row r="597">
      <c r="A597" s="50"/>
      <c r="B597" s="50"/>
      <c r="C597" s="50"/>
      <c r="D597" s="43"/>
      <c r="E597" s="43"/>
      <c r="F597" s="47"/>
      <c r="G597" s="48"/>
      <c r="H597" s="48"/>
    </row>
    <row r="598">
      <c r="A598" s="50"/>
      <c r="B598" s="50"/>
      <c r="C598" s="50"/>
      <c r="D598" s="43"/>
      <c r="E598" s="43"/>
      <c r="F598" s="47"/>
      <c r="G598" s="48"/>
      <c r="H598" s="48"/>
    </row>
    <row r="599">
      <c r="A599" s="50"/>
      <c r="B599" s="50"/>
      <c r="C599" s="50"/>
      <c r="D599" s="43"/>
      <c r="E599" s="43"/>
      <c r="F599" s="47"/>
      <c r="G599" s="48"/>
      <c r="H599" s="48"/>
    </row>
    <row r="600">
      <c r="A600" s="50"/>
      <c r="B600" s="50"/>
      <c r="C600" s="50"/>
      <c r="D600" s="43"/>
      <c r="E600" s="43"/>
      <c r="F600" s="47"/>
      <c r="G600" s="48"/>
      <c r="H600" s="48"/>
    </row>
    <row r="601">
      <c r="A601" s="50"/>
      <c r="B601" s="50"/>
      <c r="C601" s="50"/>
      <c r="D601" s="43"/>
      <c r="E601" s="43"/>
      <c r="F601" s="47"/>
      <c r="G601" s="48"/>
      <c r="H601" s="48"/>
    </row>
    <row r="602">
      <c r="A602" s="50"/>
      <c r="B602" s="50"/>
      <c r="C602" s="50"/>
      <c r="D602" s="43"/>
      <c r="E602" s="43"/>
      <c r="F602" s="47"/>
      <c r="G602" s="48"/>
      <c r="H602" s="48"/>
    </row>
    <row r="603">
      <c r="A603" s="50"/>
      <c r="B603" s="50"/>
      <c r="C603" s="50"/>
      <c r="D603" s="43"/>
      <c r="E603" s="43"/>
      <c r="F603" s="47"/>
      <c r="G603" s="48"/>
      <c r="H603" s="48"/>
    </row>
    <row r="604">
      <c r="A604" s="50"/>
      <c r="B604" s="50"/>
      <c r="C604" s="50"/>
      <c r="D604" s="43"/>
      <c r="E604" s="43"/>
      <c r="F604" s="47"/>
      <c r="G604" s="48"/>
      <c r="H604" s="48"/>
    </row>
    <row r="605">
      <c r="A605" s="50"/>
      <c r="B605" s="50"/>
      <c r="C605" s="50"/>
      <c r="D605" s="43"/>
      <c r="E605" s="43"/>
      <c r="F605" s="47"/>
      <c r="G605" s="48"/>
      <c r="H605" s="48"/>
    </row>
    <row r="606">
      <c r="A606" s="50"/>
      <c r="B606" s="50"/>
      <c r="C606" s="50"/>
      <c r="D606" s="43"/>
      <c r="E606" s="43"/>
      <c r="F606" s="47"/>
      <c r="G606" s="48"/>
      <c r="H606" s="48"/>
    </row>
    <row r="607">
      <c r="A607" s="50"/>
      <c r="B607" s="50"/>
      <c r="C607" s="50"/>
      <c r="D607" s="43"/>
      <c r="E607" s="43"/>
      <c r="F607" s="47"/>
      <c r="G607" s="48"/>
      <c r="H607" s="48"/>
    </row>
    <row r="608">
      <c r="A608" s="50"/>
      <c r="B608" s="50"/>
      <c r="C608" s="50"/>
      <c r="D608" s="43"/>
      <c r="E608" s="43"/>
      <c r="F608" s="47"/>
      <c r="G608" s="48"/>
      <c r="H608" s="48"/>
    </row>
    <row r="609">
      <c r="A609" s="50"/>
      <c r="B609" s="50"/>
      <c r="C609" s="50"/>
      <c r="D609" s="43"/>
      <c r="E609" s="43"/>
      <c r="F609" s="47"/>
      <c r="G609" s="48"/>
      <c r="H609" s="48"/>
    </row>
    <row r="610">
      <c r="A610" s="50"/>
      <c r="B610" s="50"/>
      <c r="C610" s="50"/>
      <c r="D610" s="43"/>
      <c r="E610" s="43"/>
      <c r="F610" s="47"/>
      <c r="G610" s="48"/>
      <c r="H610" s="48"/>
    </row>
    <row r="611">
      <c r="A611" s="50"/>
      <c r="B611" s="50"/>
      <c r="C611" s="50"/>
      <c r="D611" s="43"/>
      <c r="E611" s="43"/>
      <c r="F611" s="47"/>
      <c r="G611" s="48"/>
      <c r="H611" s="48"/>
    </row>
    <row r="612">
      <c r="A612" s="50"/>
      <c r="B612" s="50"/>
      <c r="C612" s="50"/>
      <c r="D612" s="43"/>
      <c r="E612" s="43"/>
      <c r="F612" s="47"/>
      <c r="G612" s="48"/>
      <c r="H612" s="48"/>
    </row>
    <row r="613">
      <c r="A613" s="50"/>
      <c r="B613" s="50"/>
      <c r="C613" s="50"/>
      <c r="D613" s="43"/>
      <c r="E613" s="43"/>
      <c r="F613" s="47"/>
      <c r="G613" s="48"/>
      <c r="H613" s="48"/>
    </row>
    <row r="614">
      <c r="A614" s="50"/>
      <c r="B614" s="50"/>
      <c r="C614" s="50"/>
      <c r="D614" s="43"/>
      <c r="E614" s="43"/>
      <c r="F614" s="47"/>
      <c r="G614" s="48"/>
      <c r="H614" s="48"/>
    </row>
    <row r="615">
      <c r="A615" s="50"/>
      <c r="B615" s="50"/>
      <c r="C615" s="50"/>
      <c r="D615" s="43"/>
      <c r="E615" s="43"/>
      <c r="F615" s="47"/>
      <c r="G615" s="48"/>
      <c r="H615" s="48"/>
    </row>
    <row r="616">
      <c r="A616" s="50"/>
      <c r="B616" s="50"/>
      <c r="C616" s="50"/>
      <c r="D616" s="43"/>
      <c r="E616" s="43"/>
      <c r="F616" s="47"/>
      <c r="G616" s="48"/>
      <c r="H616" s="48"/>
    </row>
    <row r="617">
      <c r="A617" s="50"/>
      <c r="B617" s="50"/>
      <c r="C617" s="50"/>
      <c r="D617" s="43"/>
      <c r="E617" s="43"/>
      <c r="F617" s="47"/>
      <c r="G617" s="48"/>
      <c r="H617" s="48"/>
    </row>
    <row r="618">
      <c r="A618" s="50"/>
      <c r="B618" s="50"/>
      <c r="C618" s="50"/>
      <c r="D618" s="43"/>
      <c r="E618" s="43"/>
      <c r="F618" s="47"/>
      <c r="G618" s="48"/>
      <c r="H618" s="48"/>
    </row>
    <row r="619">
      <c r="A619" s="50"/>
      <c r="B619" s="50"/>
      <c r="C619" s="50"/>
      <c r="D619" s="43"/>
      <c r="E619" s="43"/>
      <c r="F619" s="47"/>
      <c r="G619" s="48"/>
      <c r="H619" s="48"/>
    </row>
    <row r="620">
      <c r="A620" s="50"/>
      <c r="B620" s="50"/>
      <c r="C620" s="50"/>
      <c r="D620" s="43"/>
      <c r="E620" s="43"/>
      <c r="F620" s="47"/>
      <c r="G620" s="48"/>
      <c r="H620" s="48"/>
    </row>
    <row r="621">
      <c r="A621" s="50"/>
      <c r="B621" s="50"/>
      <c r="C621" s="50"/>
      <c r="D621" s="43"/>
      <c r="E621" s="43"/>
      <c r="F621" s="47"/>
      <c r="G621" s="48"/>
      <c r="H621" s="48"/>
    </row>
    <row r="622">
      <c r="A622" s="50"/>
      <c r="B622" s="50"/>
      <c r="C622" s="50"/>
      <c r="D622" s="43"/>
      <c r="E622" s="43"/>
      <c r="F622" s="47"/>
      <c r="G622" s="48"/>
      <c r="H622" s="48"/>
    </row>
    <row r="623">
      <c r="A623" s="50"/>
      <c r="B623" s="50"/>
      <c r="C623" s="50"/>
      <c r="D623" s="43"/>
      <c r="E623" s="43"/>
      <c r="F623" s="47"/>
      <c r="G623" s="48"/>
      <c r="H623" s="48"/>
    </row>
    <row r="624">
      <c r="A624" s="50"/>
      <c r="B624" s="50"/>
      <c r="C624" s="50"/>
      <c r="D624" s="43"/>
      <c r="E624" s="43"/>
      <c r="F624" s="47"/>
      <c r="G624" s="48"/>
      <c r="H624" s="48"/>
    </row>
    <row r="625">
      <c r="A625" s="50"/>
      <c r="B625" s="50"/>
      <c r="C625" s="50"/>
      <c r="D625" s="43"/>
      <c r="E625" s="43"/>
      <c r="F625" s="47"/>
      <c r="G625" s="48"/>
      <c r="H625" s="48"/>
    </row>
    <row r="626">
      <c r="A626" s="50"/>
      <c r="B626" s="50"/>
      <c r="C626" s="50"/>
      <c r="D626" s="43"/>
      <c r="E626" s="43"/>
      <c r="F626" s="47"/>
      <c r="G626" s="48"/>
      <c r="H626" s="48"/>
    </row>
    <row r="627">
      <c r="A627" s="50"/>
      <c r="B627" s="50"/>
      <c r="C627" s="50"/>
      <c r="D627" s="43"/>
      <c r="E627" s="43"/>
      <c r="F627" s="47"/>
      <c r="G627" s="48"/>
      <c r="H627" s="48"/>
    </row>
    <row r="628">
      <c r="A628" s="50"/>
      <c r="B628" s="50"/>
      <c r="C628" s="50"/>
      <c r="D628" s="43"/>
      <c r="E628" s="43"/>
      <c r="F628" s="47"/>
      <c r="G628" s="48"/>
      <c r="H628" s="48"/>
    </row>
    <row r="629">
      <c r="A629" s="50"/>
      <c r="B629" s="50"/>
      <c r="C629" s="50"/>
      <c r="D629" s="43"/>
      <c r="E629" s="43"/>
      <c r="F629" s="47"/>
      <c r="G629" s="48"/>
      <c r="H629" s="48"/>
    </row>
    <row r="630">
      <c r="A630" s="50"/>
      <c r="B630" s="50"/>
      <c r="C630" s="50"/>
      <c r="D630" s="43"/>
      <c r="E630" s="43"/>
      <c r="F630" s="47"/>
      <c r="G630" s="48"/>
      <c r="H630" s="48"/>
    </row>
    <row r="631">
      <c r="A631" s="50"/>
      <c r="B631" s="50"/>
      <c r="C631" s="50"/>
      <c r="D631" s="43"/>
      <c r="E631" s="43"/>
      <c r="F631" s="47"/>
      <c r="G631" s="48"/>
      <c r="H631" s="48"/>
    </row>
    <row r="632">
      <c r="A632" s="50"/>
      <c r="B632" s="50"/>
      <c r="C632" s="50"/>
      <c r="D632" s="43"/>
      <c r="E632" s="43"/>
      <c r="F632" s="47"/>
      <c r="G632" s="48"/>
      <c r="H632" s="48"/>
    </row>
    <row r="633">
      <c r="A633" s="50"/>
      <c r="B633" s="50"/>
      <c r="C633" s="50"/>
      <c r="D633" s="43"/>
      <c r="E633" s="43"/>
      <c r="F633" s="47"/>
      <c r="G633" s="48"/>
      <c r="H633" s="48"/>
    </row>
    <row r="634">
      <c r="A634" s="50"/>
      <c r="B634" s="50"/>
      <c r="C634" s="50"/>
      <c r="D634" s="43"/>
      <c r="E634" s="43"/>
      <c r="F634" s="47"/>
      <c r="G634" s="48"/>
      <c r="H634" s="48"/>
    </row>
    <row r="635">
      <c r="A635" s="50"/>
      <c r="B635" s="50"/>
      <c r="C635" s="50"/>
      <c r="D635" s="43"/>
      <c r="E635" s="43"/>
      <c r="F635" s="47"/>
      <c r="G635" s="48"/>
      <c r="H635" s="48"/>
    </row>
    <row r="636">
      <c r="A636" s="50"/>
      <c r="B636" s="50"/>
      <c r="C636" s="50"/>
      <c r="D636" s="43"/>
      <c r="E636" s="43"/>
      <c r="F636" s="47"/>
      <c r="G636" s="48"/>
      <c r="H636" s="48"/>
    </row>
    <row r="637">
      <c r="A637" s="50"/>
      <c r="B637" s="50"/>
      <c r="C637" s="50"/>
      <c r="D637" s="43"/>
      <c r="E637" s="43"/>
      <c r="F637" s="47"/>
      <c r="G637" s="48"/>
      <c r="H637" s="48"/>
    </row>
    <row r="638">
      <c r="A638" s="50"/>
      <c r="B638" s="50"/>
      <c r="C638" s="50"/>
      <c r="D638" s="43"/>
      <c r="E638" s="43"/>
      <c r="F638" s="47"/>
      <c r="G638" s="48"/>
      <c r="H638" s="48"/>
    </row>
    <row r="639">
      <c r="A639" s="50"/>
      <c r="B639" s="50"/>
      <c r="C639" s="50"/>
      <c r="D639" s="43"/>
      <c r="E639" s="43"/>
      <c r="F639" s="47"/>
      <c r="G639" s="48"/>
      <c r="H639" s="48"/>
    </row>
    <row r="640">
      <c r="A640" s="50"/>
      <c r="B640" s="50"/>
      <c r="C640" s="50"/>
      <c r="D640" s="43"/>
      <c r="E640" s="43"/>
      <c r="F640" s="47"/>
      <c r="G640" s="48"/>
      <c r="H640" s="48"/>
    </row>
    <row r="641">
      <c r="A641" s="50"/>
      <c r="B641" s="50"/>
      <c r="C641" s="50"/>
      <c r="D641" s="43"/>
      <c r="E641" s="43"/>
      <c r="F641" s="47"/>
      <c r="G641" s="48"/>
      <c r="H641" s="48"/>
    </row>
    <row r="642">
      <c r="A642" s="50"/>
      <c r="B642" s="50"/>
      <c r="C642" s="50"/>
      <c r="D642" s="43"/>
      <c r="E642" s="43"/>
      <c r="F642" s="47"/>
      <c r="G642" s="48"/>
      <c r="H642" s="48"/>
    </row>
    <row r="643">
      <c r="A643" s="50"/>
      <c r="B643" s="50"/>
      <c r="C643" s="50"/>
      <c r="D643" s="43"/>
      <c r="E643" s="43"/>
      <c r="F643" s="47"/>
      <c r="G643" s="48"/>
      <c r="H643" s="48"/>
    </row>
    <row r="644">
      <c r="A644" s="50"/>
      <c r="B644" s="50"/>
      <c r="C644" s="50"/>
      <c r="D644" s="43"/>
      <c r="E644" s="43"/>
      <c r="F644" s="47"/>
      <c r="G644" s="48"/>
      <c r="H644" s="48"/>
    </row>
    <row r="645">
      <c r="A645" s="50"/>
      <c r="B645" s="50"/>
      <c r="C645" s="50"/>
      <c r="D645" s="43"/>
      <c r="E645" s="43"/>
      <c r="F645" s="47"/>
      <c r="G645" s="48"/>
      <c r="H645" s="48"/>
    </row>
    <row r="646">
      <c r="A646" s="50"/>
      <c r="B646" s="50"/>
      <c r="C646" s="50"/>
      <c r="D646" s="43"/>
      <c r="E646" s="43"/>
      <c r="F646" s="47"/>
      <c r="G646" s="48"/>
      <c r="H646" s="48"/>
    </row>
    <row r="647">
      <c r="A647" s="50"/>
      <c r="B647" s="50"/>
      <c r="C647" s="50"/>
      <c r="D647" s="43"/>
      <c r="E647" s="43"/>
      <c r="F647" s="47"/>
      <c r="G647" s="48"/>
      <c r="H647" s="48"/>
    </row>
    <row r="648">
      <c r="A648" s="50"/>
      <c r="B648" s="50"/>
      <c r="C648" s="50"/>
      <c r="D648" s="43"/>
      <c r="E648" s="43"/>
      <c r="F648" s="47"/>
      <c r="G648" s="48"/>
      <c r="H648" s="48"/>
    </row>
    <row r="649">
      <c r="A649" s="50"/>
      <c r="B649" s="50"/>
      <c r="C649" s="50"/>
      <c r="D649" s="43"/>
      <c r="E649" s="43"/>
      <c r="F649" s="47"/>
      <c r="G649" s="48"/>
      <c r="H649" s="48"/>
    </row>
    <row r="650">
      <c r="A650" s="50"/>
      <c r="B650" s="50"/>
      <c r="C650" s="50"/>
      <c r="D650" s="43"/>
      <c r="E650" s="43"/>
      <c r="F650" s="47"/>
      <c r="G650" s="48"/>
      <c r="H650" s="48"/>
    </row>
    <row r="651">
      <c r="A651" s="50"/>
      <c r="B651" s="50"/>
      <c r="C651" s="50"/>
      <c r="D651" s="43"/>
      <c r="E651" s="43"/>
      <c r="F651" s="47"/>
      <c r="G651" s="48"/>
      <c r="H651" s="48"/>
    </row>
    <row r="652">
      <c r="A652" s="50"/>
      <c r="B652" s="50"/>
      <c r="C652" s="50"/>
      <c r="D652" s="43"/>
      <c r="E652" s="43"/>
      <c r="F652" s="47"/>
      <c r="G652" s="48"/>
      <c r="H652" s="48"/>
    </row>
    <row r="653">
      <c r="A653" s="50"/>
      <c r="B653" s="50"/>
      <c r="C653" s="50"/>
      <c r="D653" s="43"/>
      <c r="E653" s="43"/>
      <c r="F653" s="47"/>
      <c r="G653" s="48"/>
      <c r="H653" s="48"/>
    </row>
    <row r="654">
      <c r="A654" s="50"/>
      <c r="B654" s="50"/>
      <c r="C654" s="50"/>
      <c r="D654" s="43"/>
      <c r="E654" s="43"/>
      <c r="F654" s="47"/>
      <c r="G654" s="48"/>
      <c r="H654" s="48"/>
    </row>
    <row r="655">
      <c r="A655" s="50"/>
      <c r="B655" s="50"/>
      <c r="C655" s="50"/>
      <c r="D655" s="43"/>
      <c r="E655" s="43"/>
      <c r="F655" s="47"/>
      <c r="G655" s="48"/>
      <c r="H655" s="48"/>
    </row>
    <row r="656">
      <c r="A656" s="50"/>
      <c r="B656" s="50"/>
      <c r="C656" s="50"/>
      <c r="D656" s="43"/>
      <c r="E656" s="43"/>
      <c r="F656" s="47"/>
      <c r="G656" s="48"/>
      <c r="H656" s="48"/>
    </row>
    <row r="657">
      <c r="A657" s="50"/>
      <c r="B657" s="50"/>
      <c r="C657" s="50"/>
      <c r="D657" s="43"/>
      <c r="E657" s="43"/>
      <c r="F657" s="47"/>
      <c r="G657" s="48"/>
      <c r="H657" s="48"/>
    </row>
    <row r="658">
      <c r="A658" s="50"/>
      <c r="B658" s="50"/>
      <c r="C658" s="50"/>
      <c r="D658" s="43"/>
      <c r="E658" s="43"/>
      <c r="F658" s="47"/>
      <c r="G658" s="48"/>
      <c r="H658" s="48"/>
    </row>
    <row r="659">
      <c r="A659" s="50"/>
      <c r="B659" s="50"/>
      <c r="C659" s="50"/>
      <c r="D659" s="43"/>
      <c r="E659" s="43"/>
      <c r="F659" s="47"/>
      <c r="G659" s="48"/>
      <c r="H659" s="48"/>
    </row>
    <row r="660">
      <c r="A660" s="50"/>
      <c r="B660" s="50"/>
      <c r="C660" s="50"/>
      <c r="D660" s="43"/>
      <c r="E660" s="43"/>
      <c r="F660" s="47"/>
      <c r="G660" s="48"/>
      <c r="H660" s="48"/>
    </row>
    <row r="661">
      <c r="A661" s="50"/>
      <c r="B661" s="50"/>
      <c r="C661" s="50"/>
      <c r="D661" s="43"/>
      <c r="E661" s="43"/>
      <c r="F661" s="47"/>
      <c r="G661" s="48"/>
      <c r="H661" s="48"/>
    </row>
    <row r="662">
      <c r="A662" s="50"/>
      <c r="B662" s="50"/>
      <c r="C662" s="50"/>
      <c r="D662" s="43"/>
      <c r="E662" s="43"/>
      <c r="F662" s="47"/>
      <c r="G662" s="48"/>
      <c r="H662" s="48"/>
    </row>
    <row r="663">
      <c r="A663" s="50"/>
      <c r="B663" s="50"/>
      <c r="C663" s="50"/>
      <c r="D663" s="43"/>
      <c r="E663" s="43"/>
      <c r="F663" s="47"/>
      <c r="G663" s="48"/>
      <c r="H663" s="48"/>
    </row>
    <row r="664">
      <c r="A664" s="50"/>
      <c r="B664" s="50"/>
      <c r="C664" s="50"/>
      <c r="D664" s="43"/>
      <c r="E664" s="43"/>
      <c r="F664" s="47"/>
      <c r="G664" s="48"/>
      <c r="H664" s="48"/>
    </row>
    <row r="665">
      <c r="A665" s="50"/>
      <c r="B665" s="50"/>
      <c r="C665" s="50"/>
      <c r="D665" s="43"/>
      <c r="E665" s="43"/>
      <c r="F665" s="47"/>
      <c r="G665" s="48"/>
      <c r="H665" s="48"/>
    </row>
    <row r="666">
      <c r="A666" s="50"/>
      <c r="B666" s="50"/>
      <c r="C666" s="50"/>
      <c r="D666" s="43"/>
      <c r="E666" s="43"/>
      <c r="F666" s="47"/>
      <c r="G666" s="48"/>
      <c r="H666" s="48"/>
    </row>
    <row r="667">
      <c r="A667" s="50"/>
      <c r="B667" s="50"/>
      <c r="C667" s="50"/>
      <c r="D667" s="43"/>
      <c r="E667" s="43"/>
      <c r="F667" s="47"/>
      <c r="G667" s="48"/>
      <c r="H667" s="48"/>
    </row>
    <row r="668">
      <c r="A668" s="50"/>
      <c r="B668" s="50"/>
      <c r="C668" s="50"/>
      <c r="D668" s="43"/>
      <c r="E668" s="43"/>
      <c r="F668" s="47"/>
      <c r="G668" s="48"/>
      <c r="H668" s="48"/>
    </row>
    <row r="669">
      <c r="A669" s="50"/>
      <c r="B669" s="50"/>
      <c r="C669" s="50"/>
      <c r="D669" s="43"/>
      <c r="E669" s="43"/>
      <c r="F669" s="47"/>
      <c r="G669" s="48"/>
      <c r="H669" s="48"/>
    </row>
    <row r="670">
      <c r="A670" s="50"/>
      <c r="B670" s="50"/>
      <c r="C670" s="50"/>
      <c r="D670" s="43"/>
      <c r="E670" s="43"/>
      <c r="F670" s="47"/>
      <c r="G670" s="48"/>
      <c r="H670" s="48"/>
    </row>
    <row r="671">
      <c r="A671" s="50"/>
      <c r="B671" s="50"/>
      <c r="C671" s="50"/>
      <c r="D671" s="43"/>
      <c r="E671" s="43"/>
      <c r="F671" s="47"/>
      <c r="G671" s="48"/>
      <c r="H671" s="48"/>
    </row>
    <row r="672">
      <c r="A672" s="50"/>
      <c r="B672" s="50"/>
      <c r="C672" s="50"/>
      <c r="D672" s="43"/>
      <c r="E672" s="43"/>
      <c r="F672" s="47"/>
      <c r="G672" s="48"/>
      <c r="H672" s="48"/>
    </row>
    <row r="673">
      <c r="A673" s="50"/>
      <c r="B673" s="50"/>
      <c r="C673" s="50"/>
      <c r="D673" s="43"/>
      <c r="E673" s="43"/>
      <c r="F673" s="47"/>
      <c r="G673" s="48"/>
      <c r="H673" s="48"/>
    </row>
    <row r="674">
      <c r="A674" s="50"/>
      <c r="B674" s="50"/>
      <c r="C674" s="50"/>
      <c r="D674" s="43"/>
      <c r="E674" s="43"/>
      <c r="F674" s="47"/>
      <c r="G674" s="48"/>
      <c r="H674" s="48"/>
    </row>
    <row r="675">
      <c r="A675" s="50"/>
      <c r="B675" s="50"/>
      <c r="C675" s="50"/>
      <c r="D675" s="43"/>
      <c r="E675" s="43"/>
      <c r="F675" s="47"/>
      <c r="G675" s="48"/>
      <c r="H675" s="48"/>
    </row>
    <row r="676">
      <c r="A676" s="50"/>
      <c r="B676" s="50"/>
      <c r="C676" s="50"/>
      <c r="D676" s="43"/>
      <c r="E676" s="43"/>
      <c r="F676" s="47"/>
      <c r="G676" s="48"/>
      <c r="H676" s="48"/>
    </row>
    <row r="677">
      <c r="A677" s="50"/>
      <c r="B677" s="50"/>
      <c r="C677" s="50"/>
      <c r="D677" s="43"/>
      <c r="E677" s="43"/>
      <c r="F677" s="47"/>
      <c r="G677" s="48"/>
      <c r="H677" s="48"/>
    </row>
    <row r="678">
      <c r="A678" s="50"/>
      <c r="B678" s="50"/>
      <c r="C678" s="50"/>
      <c r="D678" s="43"/>
      <c r="E678" s="43"/>
      <c r="F678" s="47"/>
      <c r="G678" s="48"/>
      <c r="H678" s="48"/>
    </row>
    <row r="679">
      <c r="A679" s="50"/>
      <c r="B679" s="50"/>
      <c r="C679" s="50"/>
      <c r="D679" s="43"/>
      <c r="E679" s="43"/>
      <c r="F679" s="47"/>
      <c r="G679" s="48"/>
      <c r="H679" s="48"/>
    </row>
    <row r="680">
      <c r="A680" s="50"/>
      <c r="B680" s="50"/>
      <c r="C680" s="50"/>
      <c r="D680" s="43"/>
      <c r="E680" s="43"/>
      <c r="F680" s="47"/>
      <c r="G680" s="48"/>
      <c r="H680" s="48"/>
    </row>
    <row r="681">
      <c r="A681" s="50"/>
      <c r="B681" s="50"/>
      <c r="C681" s="50"/>
      <c r="D681" s="43"/>
      <c r="E681" s="43"/>
      <c r="F681" s="47"/>
      <c r="G681" s="48"/>
      <c r="H681" s="48"/>
    </row>
    <row r="682">
      <c r="A682" s="50"/>
      <c r="B682" s="50"/>
      <c r="C682" s="50"/>
      <c r="D682" s="43"/>
      <c r="E682" s="43"/>
      <c r="F682" s="47"/>
      <c r="G682" s="48"/>
      <c r="H682" s="48"/>
    </row>
    <row r="683">
      <c r="A683" s="50"/>
      <c r="B683" s="50"/>
      <c r="C683" s="50"/>
      <c r="D683" s="43"/>
      <c r="E683" s="43"/>
      <c r="F683" s="47"/>
      <c r="G683" s="48"/>
      <c r="H683" s="48"/>
    </row>
    <row r="684">
      <c r="A684" s="50"/>
      <c r="B684" s="50"/>
      <c r="C684" s="50"/>
      <c r="D684" s="43"/>
      <c r="E684" s="43"/>
      <c r="F684" s="47"/>
      <c r="G684" s="48"/>
      <c r="H684" s="48"/>
    </row>
    <row r="685">
      <c r="A685" s="50"/>
      <c r="B685" s="50"/>
      <c r="C685" s="50"/>
      <c r="D685" s="43"/>
      <c r="E685" s="43"/>
      <c r="F685" s="47"/>
      <c r="G685" s="48"/>
      <c r="H685" s="48"/>
    </row>
    <row r="686">
      <c r="A686" s="50"/>
      <c r="B686" s="50"/>
      <c r="C686" s="50"/>
      <c r="D686" s="43"/>
      <c r="E686" s="43"/>
      <c r="F686" s="47"/>
      <c r="G686" s="48"/>
      <c r="H686" s="48"/>
    </row>
    <row r="687">
      <c r="A687" s="50"/>
      <c r="B687" s="50"/>
      <c r="C687" s="50"/>
      <c r="D687" s="43"/>
      <c r="E687" s="43"/>
      <c r="F687" s="47"/>
      <c r="G687" s="48"/>
      <c r="H687" s="48"/>
    </row>
    <row r="688">
      <c r="A688" s="50"/>
      <c r="B688" s="50"/>
      <c r="C688" s="50"/>
      <c r="D688" s="43"/>
      <c r="E688" s="43"/>
      <c r="F688" s="47"/>
      <c r="G688" s="48"/>
      <c r="H688" s="48"/>
    </row>
    <row r="689">
      <c r="A689" s="50"/>
      <c r="B689" s="50"/>
      <c r="C689" s="50"/>
      <c r="D689" s="43"/>
      <c r="E689" s="43"/>
      <c r="F689" s="47"/>
      <c r="G689" s="48"/>
      <c r="H689" s="48"/>
    </row>
    <row r="690">
      <c r="A690" s="50"/>
      <c r="B690" s="50"/>
      <c r="C690" s="50"/>
      <c r="D690" s="43"/>
      <c r="E690" s="43"/>
      <c r="F690" s="47"/>
      <c r="G690" s="48"/>
      <c r="H690" s="48"/>
    </row>
    <row r="691">
      <c r="A691" s="50"/>
      <c r="B691" s="50"/>
      <c r="C691" s="50"/>
      <c r="D691" s="43"/>
      <c r="E691" s="43"/>
      <c r="F691" s="47"/>
      <c r="G691" s="48"/>
      <c r="H691" s="48"/>
    </row>
    <row r="692">
      <c r="A692" s="50"/>
      <c r="B692" s="50"/>
      <c r="C692" s="50"/>
      <c r="D692" s="43"/>
      <c r="E692" s="43"/>
      <c r="F692" s="47"/>
      <c r="G692" s="48"/>
      <c r="H692" s="48"/>
    </row>
    <row r="693">
      <c r="A693" s="50"/>
      <c r="B693" s="50"/>
      <c r="C693" s="50"/>
      <c r="D693" s="43"/>
      <c r="E693" s="43"/>
      <c r="F693" s="47"/>
      <c r="G693" s="48"/>
      <c r="H693" s="48"/>
    </row>
    <row r="694">
      <c r="A694" s="50"/>
      <c r="B694" s="50"/>
      <c r="C694" s="50"/>
      <c r="D694" s="43"/>
      <c r="E694" s="43"/>
      <c r="F694" s="47"/>
      <c r="G694" s="48"/>
      <c r="H694" s="48"/>
    </row>
    <row r="695">
      <c r="A695" s="50"/>
      <c r="B695" s="50"/>
      <c r="C695" s="50"/>
      <c r="D695" s="43"/>
      <c r="E695" s="43"/>
      <c r="F695" s="47"/>
      <c r="G695" s="48"/>
      <c r="H695" s="48"/>
    </row>
    <row r="696">
      <c r="A696" s="50"/>
      <c r="B696" s="50"/>
      <c r="C696" s="50"/>
      <c r="D696" s="43"/>
      <c r="E696" s="43"/>
      <c r="F696" s="47"/>
      <c r="G696" s="48"/>
      <c r="H696" s="48"/>
    </row>
    <row r="697">
      <c r="A697" s="50"/>
      <c r="B697" s="50"/>
      <c r="C697" s="50"/>
      <c r="D697" s="43"/>
      <c r="E697" s="43"/>
      <c r="F697" s="47"/>
      <c r="G697" s="48"/>
      <c r="H697" s="48"/>
    </row>
    <row r="698">
      <c r="A698" s="50"/>
      <c r="B698" s="50"/>
      <c r="C698" s="50"/>
      <c r="D698" s="43"/>
      <c r="E698" s="43"/>
      <c r="F698" s="47"/>
      <c r="G698" s="48"/>
      <c r="H698" s="48"/>
    </row>
    <row r="699">
      <c r="A699" s="50"/>
      <c r="B699" s="50"/>
      <c r="C699" s="50"/>
      <c r="D699" s="43"/>
      <c r="E699" s="43"/>
      <c r="F699" s="47"/>
      <c r="G699" s="48"/>
      <c r="H699" s="48"/>
    </row>
    <row r="700">
      <c r="A700" s="50"/>
      <c r="B700" s="50"/>
      <c r="C700" s="50"/>
      <c r="D700" s="43"/>
      <c r="E700" s="43"/>
      <c r="F700" s="47"/>
      <c r="G700" s="48"/>
      <c r="H700" s="48"/>
    </row>
    <row r="701">
      <c r="A701" s="50"/>
      <c r="B701" s="50"/>
      <c r="C701" s="50"/>
      <c r="D701" s="43"/>
      <c r="E701" s="43"/>
      <c r="F701" s="47"/>
      <c r="G701" s="48"/>
      <c r="H701" s="48"/>
    </row>
    <row r="702">
      <c r="A702" s="50"/>
      <c r="B702" s="50"/>
      <c r="C702" s="50"/>
      <c r="D702" s="43"/>
      <c r="E702" s="43"/>
      <c r="F702" s="47"/>
      <c r="G702" s="48"/>
      <c r="H702" s="48"/>
    </row>
    <row r="703">
      <c r="A703" s="50"/>
      <c r="B703" s="50"/>
      <c r="C703" s="50"/>
      <c r="D703" s="43"/>
      <c r="E703" s="43"/>
      <c r="F703" s="47"/>
      <c r="G703" s="48"/>
      <c r="H703" s="48"/>
    </row>
    <row r="704">
      <c r="A704" s="50"/>
      <c r="B704" s="50"/>
      <c r="C704" s="50"/>
      <c r="D704" s="43"/>
      <c r="E704" s="43"/>
      <c r="F704" s="47"/>
      <c r="G704" s="48"/>
      <c r="H704" s="48"/>
    </row>
    <row r="705">
      <c r="A705" s="50"/>
      <c r="B705" s="50"/>
      <c r="C705" s="50"/>
      <c r="D705" s="43"/>
      <c r="E705" s="43"/>
      <c r="F705" s="47"/>
      <c r="G705" s="48"/>
      <c r="H705" s="48"/>
    </row>
    <row r="706">
      <c r="A706" s="50"/>
      <c r="B706" s="50"/>
      <c r="C706" s="50"/>
      <c r="D706" s="43"/>
      <c r="E706" s="43"/>
      <c r="F706" s="47"/>
      <c r="G706" s="48"/>
      <c r="H706" s="48"/>
    </row>
    <row r="707">
      <c r="A707" s="50"/>
      <c r="B707" s="50"/>
      <c r="C707" s="50"/>
      <c r="D707" s="43"/>
      <c r="E707" s="43"/>
      <c r="F707" s="47"/>
      <c r="G707" s="48"/>
      <c r="H707" s="48"/>
    </row>
    <row r="708">
      <c r="A708" s="50"/>
      <c r="B708" s="50"/>
      <c r="C708" s="50"/>
      <c r="D708" s="43"/>
      <c r="E708" s="43"/>
      <c r="F708" s="47"/>
      <c r="G708" s="48"/>
      <c r="H708" s="48"/>
    </row>
    <row r="709">
      <c r="A709" s="50"/>
      <c r="B709" s="50"/>
      <c r="C709" s="50"/>
      <c r="D709" s="43"/>
      <c r="E709" s="43"/>
      <c r="F709" s="47"/>
      <c r="G709" s="48"/>
      <c r="H709" s="48"/>
    </row>
    <row r="710">
      <c r="A710" s="50"/>
      <c r="B710" s="50"/>
      <c r="C710" s="50"/>
      <c r="D710" s="43"/>
      <c r="E710" s="43"/>
      <c r="F710" s="47"/>
      <c r="G710" s="48"/>
      <c r="H710" s="48"/>
    </row>
    <row r="711">
      <c r="A711" s="50"/>
      <c r="B711" s="50"/>
      <c r="C711" s="50"/>
      <c r="D711" s="43"/>
      <c r="E711" s="43"/>
      <c r="F711" s="47"/>
      <c r="G711" s="48"/>
      <c r="H711" s="48"/>
    </row>
    <row r="712">
      <c r="A712" s="50"/>
      <c r="B712" s="50"/>
      <c r="C712" s="50"/>
      <c r="D712" s="43"/>
      <c r="E712" s="43"/>
      <c r="F712" s="47"/>
      <c r="G712" s="48"/>
      <c r="H712" s="48"/>
    </row>
    <row r="713">
      <c r="A713" s="50"/>
      <c r="B713" s="50"/>
      <c r="C713" s="50"/>
      <c r="D713" s="43"/>
      <c r="E713" s="43"/>
      <c r="F713" s="47"/>
      <c r="G713" s="48"/>
      <c r="H713" s="48"/>
    </row>
    <row r="714">
      <c r="A714" s="50"/>
      <c r="B714" s="50"/>
      <c r="C714" s="50"/>
      <c r="D714" s="43"/>
      <c r="E714" s="43"/>
      <c r="F714" s="47"/>
      <c r="G714" s="48"/>
      <c r="H714" s="48"/>
    </row>
    <row r="715">
      <c r="A715" s="50"/>
      <c r="B715" s="50"/>
      <c r="C715" s="50"/>
      <c r="D715" s="43"/>
      <c r="E715" s="43"/>
      <c r="F715" s="47"/>
      <c r="G715" s="48"/>
      <c r="H715" s="48"/>
    </row>
    <row r="716">
      <c r="A716" s="50"/>
      <c r="B716" s="50"/>
      <c r="C716" s="50"/>
      <c r="D716" s="43"/>
      <c r="E716" s="43"/>
      <c r="F716" s="47"/>
      <c r="G716" s="48"/>
      <c r="H716" s="48"/>
    </row>
    <row r="717">
      <c r="A717" s="50"/>
      <c r="B717" s="50"/>
      <c r="C717" s="50"/>
      <c r="D717" s="43"/>
      <c r="E717" s="43"/>
      <c r="F717" s="47"/>
      <c r="G717" s="48"/>
      <c r="H717" s="48"/>
    </row>
    <row r="718">
      <c r="A718" s="50"/>
      <c r="B718" s="50"/>
      <c r="C718" s="50"/>
      <c r="D718" s="43"/>
      <c r="E718" s="43"/>
      <c r="F718" s="47"/>
      <c r="G718" s="48"/>
      <c r="H718" s="48"/>
    </row>
    <row r="719">
      <c r="A719" s="50"/>
      <c r="B719" s="50"/>
      <c r="C719" s="50"/>
      <c r="D719" s="43"/>
      <c r="E719" s="43"/>
      <c r="F719" s="47"/>
      <c r="G719" s="48"/>
      <c r="H719" s="48"/>
    </row>
    <row r="720">
      <c r="A720" s="50"/>
      <c r="B720" s="50"/>
      <c r="C720" s="50"/>
      <c r="D720" s="43"/>
      <c r="E720" s="43"/>
      <c r="F720" s="47"/>
      <c r="G720" s="48"/>
      <c r="H720" s="48"/>
    </row>
    <row r="721">
      <c r="A721" s="50"/>
      <c r="B721" s="50"/>
      <c r="C721" s="50"/>
      <c r="D721" s="43"/>
      <c r="E721" s="43"/>
      <c r="F721" s="47"/>
      <c r="G721" s="48"/>
      <c r="H721" s="48"/>
    </row>
    <row r="722">
      <c r="A722" s="50"/>
      <c r="B722" s="50"/>
      <c r="C722" s="50"/>
      <c r="D722" s="43"/>
      <c r="E722" s="43"/>
      <c r="F722" s="47"/>
      <c r="G722" s="48"/>
      <c r="H722" s="48"/>
    </row>
    <row r="723">
      <c r="A723" s="50"/>
      <c r="B723" s="50"/>
      <c r="C723" s="50"/>
      <c r="D723" s="43"/>
      <c r="E723" s="43"/>
      <c r="F723" s="47"/>
      <c r="G723" s="48"/>
      <c r="H723" s="48"/>
    </row>
    <row r="724">
      <c r="A724" s="50"/>
      <c r="B724" s="50"/>
      <c r="C724" s="50"/>
      <c r="D724" s="43"/>
      <c r="E724" s="43"/>
      <c r="F724" s="47"/>
      <c r="G724" s="48"/>
      <c r="H724" s="48"/>
    </row>
    <row r="725">
      <c r="A725" s="50"/>
      <c r="B725" s="50"/>
      <c r="C725" s="50"/>
      <c r="D725" s="43"/>
      <c r="E725" s="43"/>
      <c r="F725" s="47"/>
      <c r="G725" s="48"/>
      <c r="H725" s="48"/>
    </row>
    <row r="726">
      <c r="A726" s="50"/>
      <c r="B726" s="50"/>
      <c r="C726" s="50"/>
      <c r="D726" s="43"/>
      <c r="E726" s="43"/>
      <c r="F726" s="47"/>
      <c r="G726" s="48"/>
      <c r="H726" s="48"/>
    </row>
    <row r="727">
      <c r="A727" s="50"/>
      <c r="B727" s="50"/>
      <c r="C727" s="50"/>
      <c r="D727" s="43"/>
      <c r="E727" s="43"/>
      <c r="F727" s="47"/>
      <c r="G727" s="48"/>
      <c r="H727" s="48"/>
    </row>
    <row r="728">
      <c r="A728" s="50"/>
      <c r="B728" s="50"/>
      <c r="C728" s="50"/>
      <c r="D728" s="43"/>
      <c r="E728" s="43"/>
      <c r="F728" s="47"/>
      <c r="G728" s="48"/>
      <c r="H728" s="48"/>
    </row>
    <row r="729">
      <c r="A729" s="50"/>
      <c r="B729" s="50"/>
      <c r="C729" s="50"/>
      <c r="D729" s="43"/>
      <c r="E729" s="43"/>
      <c r="F729" s="47"/>
      <c r="G729" s="48"/>
      <c r="H729" s="48"/>
    </row>
    <row r="730">
      <c r="A730" s="50"/>
      <c r="B730" s="50"/>
      <c r="C730" s="50"/>
      <c r="D730" s="43"/>
      <c r="E730" s="43"/>
      <c r="F730" s="47"/>
      <c r="G730" s="48"/>
      <c r="H730" s="48"/>
    </row>
    <row r="731">
      <c r="A731" s="50"/>
      <c r="B731" s="50"/>
      <c r="C731" s="50"/>
      <c r="D731" s="43"/>
      <c r="E731" s="43"/>
      <c r="F731" s="47"/>
      <c r="G731" s="48"/>
      <c r="H731" s="48"/>
    </row>
    <row r="732">
      <c r="A732" s="50"/>
      <c r="B732" s="50"/>
      <c r="C732" s="50"/>
      <c r="D732" s="43"/>
      <c r="E732" s="43"/>
      <c r="F732" s="47"/>
      <c r="G732" s="48"/>
      <c r="H732" s="48"/>
    </row>
    <row r="733">
      <c r="A733" s="50"/>
      <c r="B733" s="50"/>
      <c r="C733" s="50"/>
      <c r="D733" s="43"/>
      <c r="E733" s="43"/>
      <c r="F733" s="47"/>
      <c r="G733" s="48"/>
      <c r="H733" s="48"/>
    </row>
    <row r="734">
      <c r="A734" s="50"/>
      <c r="B734" s="50"/>
      <c r="C734" s="50"/>
      <c r="D734" s="43"/>
      <c r="E734" s="43"/>
      <c r="F734" s="47"/>
      <c r="G734" s="48"/>
      <c r="H734" s="48"/>
    </row>
    <row r="735">
      <c r="A735" s="50"/>
      <c r="B735" s="50"/>
      <c r="C735" s="50"/>
      <c r="D735" s="43"/>
      <c r="E735" s="43"/>
      <c r="F735" s="47"/>
      <c r="G735" s="48"/>
      <c r="H735" s="48"/>
    </row>
    <row r="736">
      <c r="A736" s="50"/>
      <c r="B736" s="50"/>
      <c r="C736" s="50"/>
      <c r="D736" s="43"/>
      <c r="E736" s="43"/>
      <c r="F736" s="47"/>
      <c r="G736" s="48"/>
      <c r="H736" s="48"/>
    </row>
    <row r="737">
      <c r="A737" s="50"/>
      <c r="B737" s="50"/>
      <c r="C737" s="50"/>
      <c r="D737" s="43"/>
      <c r="E737" s="43"/>
      <c r="F737" s="47"/>
      <c r="G737" s="48"/>
      <c r="H737" s="48"/>
    </row>
    <row r="738">
      <c r="A738" s="50"/>
      <c r="B738" s="50"/>
      <c r="C738" s="50"/>
      <c r="D738" s="43"/>
      <c r="E738" s="43"/>
      <c r="F738" s="47"/>
      <c r="G738" s="48"/>
      <c r="H738" s="48"/>
    </row>
    <row r="739">
      <c r="A739" s="50"/>
      <c r="B739" s="50"/>
      <c r="C739" s="50"/>
      <c r="D739" s="43"/>
      <c r="E739" s="43"/>
      <c r="F739" s="47"/>
      <c r="G739" s="48"/>
      <c r="H739" s="48"/>
    </row>
    <row r="740">
      <c r="A740" s="50"/>
      <c r="B740" s="50"/>
      <c r="C740" s="50"/>
      <c r="D740" s="43"/>
      <c r="E740" s="43"/>
      <c r="F740" s="47"/>
      <c r="G740" s="48"/>
      <c r="H740" s="48"/>
    </row>
    <row r="741">
      <c r="A741" s="50"/>
      <c r="B741" s="50"/>
      <c r="C741" s="50"/>
      <c r="D741" s="43"/>
      <c r="E741" s="43"/>
      <c r="F741" s="47"/>
      <c r="G741" s="48"/>
      <c r="H741" s="48"/>
    </row>
    <row r="742">
      <c r="A742" s="50"/>
      <c r="B742" s="50"/>
      <c r="C742" s="50"/>
      <c r="D742" s="43"/>
      <c r="E742" s="43"/>
      <c r="F742" s="47"/>
      <c r="G742" s="48"/>
      <c r="H742" s="48"/>
    </row>
    <row r="743">
      <c r="A743" s="50"/>
      <c r="B743" s="50"/>
      <c r="C743" s="50"/>
      <c r="D743" s="43"/>
      <c r="E743" s="43"/>
      <c r="F743" s="47"/>
      <c r="G743" s="48"/>
      <c r="H743" s="48"/>
    </row>
    <row r="744">
      <c r="A744" s="50"/>
      <c r="B744" s="50"/>
      <c r="C744" s="50"/>
      <c r="D744" s="43"/>
      <c r="E744" s="43"/>
      <c r="F744" s="47"/>
      <c r="G744" s="48"/>
      <c r="H744" s="48"/>
    </row>
    <row r="745">
      <c r="A745" s="50"/>
      <c r="B745" s="50"/>
      <c r="C745" s="50"/>
      <c r="D745" s="43"/>
      <c r="E745" s="43"/>
      <c r="F745" s="47"/>
      <c r="G745" s="48"/>
      <c r="H745" s="48"/>
    </row>
    <row r="746">
      <c r="A746" s="50"/>
      <c r="B746" s="50"/>
      <c r="C746" s="50"/>
      <c r="D746" s="43"/>
      <c r="E746" s="43"/>
      <c r="F746" s="47"/>
      <c r="G746" s="48"/>
      <c r="H746" s="48"/>
    </row>
    <row r="747">
      <c r="A747" s="50"/>
      <c r="B747" s="50"/>
      <c r="C747" s="50"/>
      <c r="D747" s="43"/>
      <c r="E747" s="43"/>
      <c r="F747" s="47"/>
      <c r="G747" s="48"/>
      <c r="H747" s="48"/>
    </row>
    <row r="748">
      <c r="A748" s="50"/>
      <c r="B748" s="50"/>
      <c r="C748" s="50"/>
      <c r="D748" s="43"/>
      <c r="E748" s="43"/>
      <c r="F748" s="47"/>
      <c r="G748" s="48"/>
      <c r="H748" s="48"/>
    </row>
    <row r="749">
      <c r="A749" s="50"/>
      <c r="B749" s="50"/>
      <c r="C749" s="50"/>
      <c r="D749" s="43"/>
      <c r="E749" s="43"/>
      <c r="F749" s="47"/>
      <c r="G749" s="48"/>
      <c r="H749" s="48"/>
    </row>
    <row r="750">
      <c r="A750" s="50"/>
      <c r="B750" s="50"/>
      <c r="C750" s="50"/>
      <c r="D750" s="43"/>
      <c r="E750" s="43"/>
      <c r="F750" s="47"/>
      <c r="G750" s="48"/>
      <c r="H750" s="48"/>
    </row>
    <row r="751">
      <c r="A751" s="50"/>
      <c r="B751" s="50"/>
      <c r="C751" s="50"/>
      <c r="D751" s="43"/>
      <c r="E751" s="43"/>
      <c r="F751" s="47"/>
      <c r="G751" s="48"/>
      <c r="H751" s="48"/>
    </row>
    <row r="752">
      <c r="A752" s="50"/>
      <c r="B752" s="50"/>
      <c r="C752" s="50"/>
      <c r="D752" s="43"/>
      <c r="E752" s="43"/>
      <c r="F752" s="47"/>
      <c r="G752" s="48"/>
      <c r="H752" s="48"/>
    </row>
    <row r="753">
      <c r="A753" s="50"/>
      <c r="B753" s="50"/>
      <c r="C753" s="50"/>
      <c r="D753" s="43"/>
      <c r="E753" s="43"/>
      <c r="F753" s="47"/>
      <c r="G753" s="48"/>
      <c r="H753" s="48"/>
    </row>
    <row r="754">
      <c r="A754" s="50"/>
      <c r="B754" s="50"/>
      <c r="C754" s="50"/>
      <c r="D754" s="43"/>
      <c r="E754" s="43"/>
      <c r="F754" s="47"/>
      <c r="G754" s="48"/>
      <c r="H754" s="48"/>
    </row>
    <row r="755">
      <c r="A755" s="50"/>
      <c r="B755" s="50"/>
      <c r="C755" s="50"/>
      <c r="D755" s="43"/>
      <c r="E755" s="43"/>
      <c r="F755" s="47"/>
      <c r="G755" s="48"/>
      <c r="H755" s="48"/>
    </row>
    <row r="756">
      <c r="A756" s="50"/>
      <c r="B756" s="50"/>
      <c r="C756" s="50"/>
      <c r="D756" s="43"/>
      <c r="E756" s="43"/>
      <c r="F756" s="47"/>
      <c r="G756" s="48"/>
      <c r="H756" s="48"/>
    </row>
    <row r="757">
      <c r="A757" s="50"/>
      <c r="B757" s="50"/>
      <c r="C757" s="50"/>
      <c r="D757" s="43"/>
      <c r="E757" s="43"/>
      <c r="F757" s="47"/>
      <c r="G757" s="48"/>
      <c r="H757" s="48"/>
    </row>
    <row r="758">
      <c r="A758" s="50"/>
      <c r="B758" s="50"/>
      <c r="C758" s="50"/>
      <c r="D758" s="43"/>
      <c r="E758" s="43"/>
      <c r="F758" s="47"/>
      <c r="G758" s="48"/>
      <c r="H758" s="48"/>
    </row>
    <row r="759">
      <c r="A759" s="50"/>
      <c r="B759" s="50"/>
      <c r="C759" s="50"/>
      <c r="D759" s="43"/>
      <c r="E759" s="43"/>
      <c r="F759" s="47"/>
      <c r="G759" s="48"/>
      <c r="H759" s="48"/>
    </row>
    <row r="760">
      <c r="A760" s="50"/>
      <c r="B760" s="50"/>
      <c r="C760" s="50"/>
      <c r="D760" s="43"/>
      <c r="E760" s="43"/>
      <c r="F760" s="47"/>
      <c r="G760" s="48"/>
      <c r="H760" s="48"/>
    </row>
    <row r="761">
      <c r="A761" s="50"/>
      <c r="B761" s="50"/>
      <c r="C761" s="50"/>
      <c r="D761" s="43"/>
      <c r="E761" s="43"/>
      <c r="F761" s="47"/>
      <c r="G761" s="48"/>
      <c r="H761" s="48"/>
    </row>
    <row r="762">
      <c r="A762" s="50"/>
      <c r="B762" s="50"/>
      <c r="C762" s="50"/>
      <c r="D762" s="43"/>
      <c r="E762" s="43"/>
      <c r="F762" s="47"/>
      <c r="G762" s="48"/>
      <c r="H762" s="48"/>
    </row>
    <row r="763">
      <c r="A763" s="50"/>
      <c r="B763" s="50"/>
      <c r="C763" s="50"/>
      <c r="D763" s="43"/>
      <c r="E763" s="43"/>
      <c r="F763" s="47"/>
      <c r="G763" s="48"/>
      <c r="H763" s="48"/>
    </row>
    <row r="764">
      <c r="A764" s="50"/>
      <c r="B764" s="50"/>
      <c r="C764" s="50"/>
      <c r="D764" s="43"/>
      <c r="E764" s="43"/>
      <c r="F764" s="47"/>
      <c r="G764" s="48"/>
      <c r="H764" s="48"/>
    </row>
    <row r="765">
      <c r="A765" s="50"/>
      <c r="B765" s="50"/>
      <c r="C765" s="50"/>
      <c r="D765" s="43"/>
      <c r="E765" s="43"/>
      <c r="F765" s="47"/>
      <c r="G765" s="48"/>
      <c r="H765" s="48"/>
    </row>
    <row r="766">
      <c r="A766" s="50"/>
      <c r="B766" s="50"/>
      <c r="C766" s="50"/>
      <c r="D766" s="43"/>
      <c r="E766" s="43"/>
      <c r="F766" s="47"/>
      <c r="G766" s="48"/>
      <c r="H766" s="48"/>
    </row>
    <row r="767">
      <c r="A767" s="50"/>
      <c r="B767" s="50"/>
      <c r="C767" s="50"/>
      <c r="D767" s="43"/>
      <c r="E767" s="43"/>
      <c r="F767" s="47"/>
      <c r="G767" s="48"/>
      <c r="H767" s="48"/>
    </row>
    <row r="768">
      <c r="A768" s="50"/>
      <c r="B768" s="50"/>
      <c r="C768" s="50"/>
      <c r="D768" s="43"/>
      <c r="E768" s="43"/>
      <c r="F768" s="47"/>
      <c r="G768" s="48"/>
      <c r="H768" s="48"/>
    </row>
    <row r="769">
      <c r="A769" s="50"/>
      <c r="B769" s="50"/>
      <c r="C769" s="50"/>
      <c r="D769" s="43"/>
      <c r="E769" s="43"/>
      <c r="F769" s="47"/>
      <c r="G769" s="48"/>
      <c r="H769" s="48"/>
    </row>
    <row r="770">
      <c r="A770" s="50"/>
      <c r="B770" s="50"/>
      <c r="C770" s="50"/>
      <c r="D770" s="43"/>
      <c r="E770" s="43"/>
      <c r="F770" s="47"/>
      <c r="G770" s="48"/>
      <c r="H770" s="48"/>
    </row>
    <row r="771">
      <c r="A771" s="50"/>
      <c r="B771" s="50"/>
      <c r="C771" s="50"/>
      <c r="D771" s="43"/>
      <c r="E771" s="43"/>
      <c r="F771" s="47"/>
      <c r="G771" s="48"/>
      <c r="H771" s="48"/>
    </row>
    <row r="772">
      <c r="A772" s="50"/>
      <c r="B772" s="50"/>
      <c r="C772" s="50"/>
      <c r="D772" s="43"/>
      <c r="E772" s="43"/>
      <c r="F772" s="47"/>
      <c r="G772" s="48"/>
      <c r="H772" s="48"/>
    </row>
    <row r="773">
      <c r="A773" s="50"/>
      <c r="B773" s="50"/>
      <c r="C773" s="50"/>
      <c r="D773" s="43"/>
      <c r="E773" s="43"/>
      <c r="F773" s="47"/>
      <c r="G773" s="48"/>
      <c r="H773" s="48"/>
    </row>
    <row r="774">
      <c r="A774" s="50"/>
      <c r="B774" s="50"/>
      <c r="C774" s="50"/>
      <c r="D774" s="43"/>
      <c r="E774" s="43"/>
      <c r="F774" s="47"/>
      <c r="G774" s="48"/>
      <c r="H774" s="48"/>
    </row>
    <row r="775">
      <c r="A775" s="50"/>
      <c r="B775" s="50"/>
      <c r="C775" s="50"/>
      <c r="D775" s="43"/>
      <c r="E775" s="43"/>
      <c r="F775" s="47"/>
      <c r="G775" s="48"/>
      <c r="H775" s="48"/>
    </row>
    <row r="776">
      <c r="A776" s="50"/>
      <c r="B776" s="50"/>
      <c r="C776" s="50"/>
      <c r="D776" s="43"/>
      <c r="E776" s="43"/>
      <c r="F776" s="47"/>
      <c r="G776" s="48"/>
      <c r="H776" s="48"/>
    </row>
    <row r="777">
      <c r="A777" s="50"/>
      <c r="B777" s="50"/>
      <c r="C777" s="50"/>
      <c r="D777" s="43"/>
      <c r="E777" s="43"/>
      <c r="F777" s="47"/>
      <c r="G777" s="48"/>
      <c r="H777" s="48"/>
    </row>
    <row r="778">
      <c r="A778" s="50"/>
      <c r="B778" s="50"/>
      <c r="C778" s="50"/>
      <c r="D778" s="43"/>
      <c r="E778" s="43"/>
      <c r="F778" s="47"/>
      <c r="G778" s="48"/>
      <c r="H778" s="48"/>
    </row>
    <row r="779">
      <c r="A779" s="50"/>
      <c r="B779" s="50"/>
      <c r="C779" s="50"/>
      <c r="D779" s="43"/>
      <c r="E779" s="43"/>
      <c r="F779" s="47"/>
      <c r="G779" s="48"/>
      <c r="H779" s="48"/>
    </row>
    <row r="780">
      <c r="A780" s="50"/>
      <c r="B780" s="50"/>
      <c r="C780" s="50"/>
      <c r="D780" s="43"/>
      <c r="E780" s="43"/>
      <c r="F780" s="47"/>
      <c r="G780" s="48"/>
      <c r="H780" s="48"/>
    </row>
    <row r="781">
      <c r="A781" s="50"/>
      <c r="B781" s="50"/>
      <c r="C781" s="50"/>
      <c r="D781" s="43"/>
      <c r="E781" s="43"/>
      <c r="F781" s="47"/>
      <c r="G781" s="48"/>
      <c r="H781" s="48"/>
    </row>
    <row r="782">
      <c r="A782" s="50"/>
      <c r="B782" s="50"/>
      <c r="C782" s="50"/>
      <c r="D782" s="43"/>
      <c r="E782" s="43"/>
      <c r="F782" s="47"/>
      <c r="G782" s="48"/>
      <c r="H782" s="48"/>
    </row>
    <row r="783">
      <c r="A783" s="50"/>
      <c r="B783" s="50"/>
      <c r="C783" s="50"/>
      <c r="D783" s="43"/>
      <c r="E783" s="43"/>
      <c r="F783" s="47"/>
      <c r="G783" s="48"/>
      <c r="H783" s="48"/>
    </row>
    <row r="784">
      <c r="A784" s="50"/>
      <c r="B784" s="50"/>
      <c r="C784" s="50"/>
      <c r="D784" s="43"/>
      <c r="E784" s="43"/>
      <c r="F784" s="47"/>
      <c r="G784" s="48"/>
      <c r="H784" s="48"/>
    </row>
    <row r="785">
      <c r="A785" s="50"/>
      <c r="B785" s="50"/>
      <c r="C785" s="50"/>
      <c r="D785" s="43"/>
      <c r="E785" s="43"/>
      <c r="F785" s="47"/>
      <c r="G785" s="48"/>
      <c r="H785" s="48"/>
    </row>
    <row r="786">
      <c r="A786" s="50"/>
      <c r="B786" s="50"/>
      <c r="C786" s="50"/>
      <c r="D786" s="43"/>
      <c r="E786" s="43"/>
      <c r="F786" s="47"/>
      <c r="G786" s="48"/>
      <c r="H786" s="48"/>
    </row>
    <row r="787">
      <c r="A787" s="50"/>
      <c r="B787" s="50"/>
      <c r="C787" s="50"/>
      <c r="D787" s="43"/>
      <c r="E787" s="43"/>
      <c r="F787" s="47"/>
      <c r="G787" s="48"/>
      <c r="H787" s="48"/>
    </row>
    <row r="788">
      <c r="A788" s="50"/>
      <c r="B788" s="50"/>
      <c r="C788" s="50"/>
      <c r="D788" s="43"/>
      <c r="E788" s="43"/>
      <c r="F788" s="47"/>
      <c r="G788" s="48"/>
      <c r="H788" s="48"/>
    </row>
    <row r="789">
      <c r="A789" s="50"/>
      <c r="B789" s="50"/>
      <c r="C789" s="50"/>
      <c r="D789" s="43"/>
      <c r="E789" s="43"/>
      <c r="F789" s="47"/>
      <c r="G789" s="48"/>
      <c r="H789" s="48"/>
    </row>
    <row r="790">
      <c r="A790" s="50"/>
      <c r="B790" s="50"/>
      <c r="C790" s="50"/>
      <c r="D790" s="43"/>
      <c r="E790" s="43"/>
      <c r="F790" s="47"/>
      <c r="G790" s="48"/>
      <c r="H790" s="48"/>
    </row>
    <row r="791">
      <c r="A791" s="50"/>
      <c r="B791" s="50"/>
      <c r="C791" s="50"/>
      <c r="D791" s="43"/>
      <c r="E791" s="43"/>
      <c r="F791" s="47"/>
      <c r="G791" s="48"/>
      <c r="H791" s="48"/>
    </row>
    <row r="792">
      <c r="A792" s="50"/>
      <c r="B792" s="50"/>
      <c r="C792" s="50"/>
      <c r="D792" s="43"/>
      <c r="E792" s="43"/>
      <c r="F792" s="47"/>
      <c r="G792" s="48"/>
      <c r="H792" s="48"/>
    </row>
    <row r="793">
      <c r="A793" s="50"/>
      <c r="B793" s="50"/>
      <c r="C793" s="50"/>
      <c r="D793" s="43"/>
      <c r="E793" s="43"/>
      <c r="F793" s="47"/>
      <c r="G793" s="48"/>
      <c r="H793" s="48"/>
    </row>
    <row r="794">
      <c r="A794" s="50"/>
      <c r="B794" s="50"/>
      <c r="C794" s="50"/>
      <c r="D794" s="43"/>
      <c r="E794" s="43"/>
      <c r="F794" s="47"/>
      <c r="G794" s="48"/>
      <c r="H794" s="48"/>
    </row>
    <row r="795">
      <c r="A795" s="50"/>
      <c r="B795" s="50"/>
      <c r="C795" s="50"/>
      <c r="D795" s="43"/>
      <c r="E795" s="43"/>
      <c r="F795" s="47"/>
      <c r="G795" s="48"/>
      <c r="H795" s="48"/>
    </row>
    <row r="796">
      <c r="A796" s="50"/>
      <c r="B796" s="50"/>
      <c r="C796" s="50"/>
      <c r="D796" s="43"/>
      <c r="E796" s="43"/>
      <c r="F796" s="47"/>
      <c r="G796" s="48"/>
      <c r="H796" s="48"/>
    </row>
    <row r="797">
      <c r="A797" s="50"/>
      <c r="B797" s="50"/>
      <c r="C797" s="50"/>
      <c r="D797" s="43"/>
      <c r="E797" s="43"/>
      <c r="F797" s="47"/>
      <c r="G797" s="48"/>
      <c r="H797" s="48"/>
    </row>
    <row r="798">
      <c r="A798" s="50"/>
      <c r="B798" s="50"/>
      <c r="C798" s="50"/>
      <c r="D798" s="43"/>
      <c r="E798" s="43"/>
      <c r="F798" s="47"/>
      <c r="G798" s="48"/>
      <c r="H798" s="48"/>
    </row>
    <row r="799">
      <c r="A799" s="50"/>
      <c r="B799" s="50"/>
      <c r="C799" s="50"/>
      <c r="D799" s="43"/>
      <c r="E799" s="43"/>
      <c r="F799" s="47"/>
      <c r="G799" s="48"/>
      <c r="H799" s="48"/>
    </row>
    <row r="800">
      <c r="A800" s="50"/>
      <c r="B800" s="50"/>
      <c r="C800" s="50"/>
      <c r="D800" s="43"/>
      <c r="E800" s="43"/>
      <c r="F800" s="47"/>
      <c r="G800" s="48"/>
      <c r="H800" s="48"/>
    </row>
    <row r="801">
      <c r="A801" s="50"/>
      <c r="B801" s="50"/>
      <c r="C801" s="50"/>
      <c r="D801" s="43"/>
      <c r="E801" s="43"/>
      <c r="F801" s="47"/>
      <c r="G801" s="48"/>
      <c r="H801" s="48"/>
    </row>
    <row r="802">
      <c r="A802" s="50"/>
      <c r="B802" s="50"/>
      <c r="C802" s="50"/>
      <c r="D802" s="43"/>
      <c r="E802" s="43"/>
      <c r="F802" s="47"/>
      <c r="G802" s="48"/>
      <c r="H802" s="48"/>
    </row>
    <row r="803">
      <c r="A803" s="50"/>
      <c r="B803" s="50"/>
      <c r="C803" s="50"/>
      <c r="D803" s="43"/>
      <c r="E803" s="43"/>
      <c r="F803" s="47"/>
      <c r="G803" s="48"/>
      <c r="H803" s="48"/>
    </row>
    <row r="804">
      <c r="A804" s="50"/>
      <c r="B804" s="50"/>
      <c r="C804" s="50"/>
      <c r="D804" s="43"/>
      <c r="E804" s="43"/>
      <c r="F804" s="47"/>
      <c r="G804" s="48"/>
      <c r="H804" s="48"/>
    </row>
    <row r="805">
      <c r="A805" s="50"/>
      <c r="B805" s="50"/>
      <c r="C805" s="50"/>
      <c r="D805" s="43"/>
      <c r="E805" s="43"/>
      <c r="F805" s="47"/>
      <c r="G805" s="48"/>
      <c r="H805" s="48"/>
    </row>
    <row r="806">
      <c r="A806" s="50"/>
      <c r="B806" s="50"/>
      <c r="C806" s="50"/>
      <c r="D806" s="43"/>
      <c r="E806" s="43"/>
      <c r="F806" s="47"/>
      <c r="G806" s="48"/>
      <c r="H806" s="48"/>
    </row>
    <row r="807">
      <c r="A807" s="50"/>
      <c r="B807" s="50"/>
      <c r="C807" s="50"/>
      <c r="D807" s="43"/>
      <c r="E807" s="43"/>
      <c r="F807" s="47"/>
      <c r="G807" s="48"/>
      <c r="H807" s="48"/>
    </row>
    <row r="808">
      <c r="A808" s="50"/>
      <c r="B808" s="50"/>
      <c r="C808" s="50"/>
      <c r="D808" s="43"/>
      <c r="E808" s="43"/>
      <c r="F808" s="47"/>
      <c r="G808" s="48"/>
      <c r="H808" s="48"/>
    </row>
    <row r="809">
      <c r="A809" s="50"/>
      <c r="B809" s="50"/>
      <c r="C809" s="50"/>
      <c r="D809" s="43"/>
      <c r="E809" s="43"/>
      <c r="F809" s="47"/>
      <c r="G809" s="48"/>
      <c r="H809" s="48"/>
    </row>
    <row r="810">
      <c r="A810" s="50"/>
      <c r="B810" s="50"/>
      <c r="C810" s="50"/>
      <c r="D810" s="43"/>
      <c r="E810" s="43"/>
      <c r="F810" s="47"/>
      <c r="G810" s="48"/>
      <c r="H810" s="48"/>
    </row>
    <row r="811">
      <c r="A811" s="50"/>
      <c r="B811" s="50"/>
      <c r="C811" s="50"/>
      <c r="D811" s="43"/>
      <c r="E811" s="43"/>
      <c r="F811" s="47"/>
      <c r="G811" s="48"/>
      <c r="H811" s="48"/>
    </row>
    <row r="812">
      <c r="A812" s="50"/>
      <c r="B812" s="50"/>
      <c r="C812" s="50"/>
      <c r="D812" s="43"/>
      <c r="E812" s="43"/>
      <c r="F812" s="47"/>
      <c r="G812" s="48"/>
      <c r="H812" s="48"/>
    </row>
    <row r="813">
      <c r="A813" s="50"/>
      <c r="B813" s="50"/>
      <c r="C813" s="50"/>
      <c r="D813" s="43"/>
      <c r="E813" s="43"/>
      <c r="F813" s="47"/>
      <c r="G813" s="48"/>
      <c r="H813" s="48"/>
    </row>
    <row r="814">
      <c r="A814" s="50"/>
      <c r="B814" s="50"/>
      <c r="C814" s="50"/>
      <c r="D814" s="43"/>
      <c r="E814" s="43"/>
      <c r="F814" s="47"/>
      <c r="G814" s="48"/>
      <c r="H814" s="48"/>
    </row>
    <row r="815">
      <c r="A815" s="50"/>
      <c r="B815" s="50"/>
      <c r="C815" s="50"/>
      <c r="D815" s="43"/>
      <c r="E815" s="43"/>
      <c r="F815" s="47"/>
      <c r="G815" s="48"/>
      <c r="H815" s="48"/>
    </row>
    <row r="816">
      <c r="A816" s="50"/>
      <c r="B816" s="50"/>
      <c r="C816" s="50"/>
      <c r="D816" s="43"/>
      <c r="E816" s="43"/>
      <c r="F816" s="47"/>
      <c r="G816" s="48"/>
      <c r="H816" s="48"/>
    </row>
    <row r="817">
      <c r="A817" s="50"/>
      <c r="B817" s="50"/>
      <c r="C817" s="50"/>
      <c r="D817" s="43"/>
      <c r="E817" s="43"/>
      <c r="F817" s="47"/>
      <c r="G817" s="48"/>
      <c r="H817" s="48"/>
    </row>
    <row r="818">
      <c r="A818" s="50"/>
      <c r="B818" s="50"/>
      <c r="C818" s="50"/>
      <c r="D818" s="43"/>
      <c r="E818" s="43"/>
      <c r="F818" s="47"/>
      <c r="G818" s="48"/>
      <c r="H818" s="48"/>
    </row>
    <row r="819">
      <c r="A819" s="50"/>
      <c r="B819" s="50"/>
      <c r="C819" s="50"/>
      <c r="D819" s="43"/>
      <c r="E819" s="43"/>
      <c r="F819" s="47"/>
      <c r="G819" s="48"/>
      <c r="H819" s="48"/>
    </row>
    <row r="820">
      <c r="A820" s="50"/>
      <c r="B820" s="50"/>
      <c r="C820" s="50"/>
      <c r="D820" s="43"/>
      <c r="E820" s="43"/>
      <c r="F820" s="47"/>
      <c r="G820" s="48"/>
      <c r="H820" s="48"/>
    </row>
    <row r="821">
      <c r="A821" s="50"/>
      <c r="B821" s="50"/>
      <c r="C821" s="50"/>
      <c r="D821" s="43"/>
      <c r="E821" s="43"/>
      <c r="F821" s="47"/>
      <c r="G821" s="48"/>
      <c r="H821" s="48"/>
    </row>
    <row r="822">
      <c r="A822" s="50"/>
      <c r="B822" s="50"/>
      <c r="C822" s="50"/>
      <c r="D822" s="43"/>
      <c r="E822" s="43"/>
      <c r="F822" s="47"/>
      <c r="G822" s="48"/>
      <c r="H822" s="48"/>
    </row>
    <row r="823">
      <c r="A823" s="50"/>
      <c r="B823" s="50"/>
      <c r="C823" s="50"/>
      <c r="D823" s="43"/>
      <c r="E823" s="43"/>
      <c r="F823" s="47"/>
      <c r="G823" s="48"/>
      <c r="H823" s="48"/>
    </row>
    <row r="824">
      <c r="A824" s="50"/>
      <c r="B824" s="50"/>
      <c r="C824" s="50"/>
      <c r="D824" s="43"/>
      <c r="E824" s="43"/>
      <c r="F824" s="47"/>
      <c r="G824" s="48"/>
      <c r="H824" s="48"/>
    </row>
    <row r="825">
      <c r="A825" s="50"/>
      <c r="B825" s="50"/>
      <c r="C825" s="50"/>
      <c r="D825" s="43"/>
      <c r="E825" s="43"/>
      <c r="F825" s="47"/>
      <c r="G825" s="48"/>
      <c r="H825" s="48"/>
    </row>
    <row r="826">
      <c r="A826" s="50"/>
      <c r="B826" s="50"/>
      <c r="C826" s="50"/>
      <c r="D826" s="43"/>
      <c r="E826" s="43"/>
      <c r="F826" s="47"/>
      <c r="G826" s="48"/>
      <c r="H826" s="48"/>
    </row>
    <row r="827">
      <c r="A827" s="50"/>
      <c r="B827" s="50"/>
      <c r="C827" s="50"/>
      <c r="D827" s="43"/>
      <c r="E827" s="43"/>
      <c r="F827" s="47"/>
      <c r="G827" s="48"/>
      <c r="H827" s="48"/>
    </row>
    <row r="828">
      <c r="A828" s="50"/>
      <c r="B828" s="50"/>
      <c r="C828" s="50"/>
      <c r="D828" s="43"/>
      <c r="E828" s="43"/>
      <c r="F828" s="47"/>
      <c r="G828" s="48"/>
      <c r="H828" s="48"/>
    </row>
    <row r="829">
      <c r="A829" s="50"/>
      <c r="B829" s="50"/>
      <c r="C829" s="50"/>
      <c r="D829" s="43"/>
      <c r="E829" s="43"/>
      <c r="F829" s="47"/>
      <c r="G829" s="48"/>
      <c r="H829" s="48"/>
    </row>
    <row r="830">
      <c r="A830" s="50"/>
      <c r="B830" s="50"/>
      <c r="C830" s="50"/>
      <c r="D830" s="43"/>
      <c r="E830" s="43"/>
      <c r="F830" s="47"/>
      <c r="G830" s="48"/>
      <c r="H830" s="48"/>
    </row>
    <row r="831">
      <c r="A831" s="50"/>
      <c r="B831" s="50"/>
      <c r="C831" s="50"/>
      <c r="D831" s="43"/>
      <c r="E831" s="43"/>
      <c r="F831" s="47"/>
      <c r="G831" s="48"/>
      <c r="H831" s="48"/>
    </row>
    <row r="832">
      <c r="A832" s="50"/>
      <c r="B832" s="50"/>
      <c r="C832" s="50"/>
      <c r="D832" s="43"/>
      <c r="E832" s="43"/>
      <c r="F832" s="47"/>
      <c r="G832" s="48"/>
      <c r="H832" s="48"/>
    </row>
    <row r="833">
      <c r="A833" s="50"/>
      <c r="B833" s="50"/>
      <c r="C833" s="50"/>
      <c r="D833" s="43"/>
      <c r="E833" s="43"/>
      <c r="F833" s="47"/>
      <c r="G833" s="48"/>
      <c r="H833" s="48"/>
    </row>
    <row r="834">
      <c r="A834" s="50"/>
      <c r="B834" s="50"/>
      <c r="C834" s="50"/>
      <c r="D834" s="43"/>
      <c r="E834" s="43"/>
      <c r="F834" s="47"/>
      <c r="G834" s="48"/>
      <c r="H834" s="48"/>
    </row>
    <row r="835">
      <c r="A835" s="50"/>
      <c r="B835" s="50"/>
      <c r="C835" s="50"/>
      <c r="D835" s="43"/>
      <c r="E835" s="43"/>
      <c r="F835" s="47"/>
      <c r="G835" s="48"/>
      <c r="H835" s="48"/>
    </row>
    <row r="836">
      <c r="A836" s="50"/>
      <c r="B836" s="50"/>
      <c r="C836" s="50"/>
      <c r="D836" s="43"/>
      <c r="E836" s="43"/>
      <c r="F836" s="47"/>
      <c r="G836" s="48"/>
      <c r="H836" s="48"/>
    </row>
    <row r="837">
      <c r="A837" s="50"/>
      <c r="B837" s="50"/>
      <c r="C837" s="50"/>
      <c r="D837" s="43"/>
      <c r="E837" s="43"/>
      <c r="F837" s="47"/>
      <c r="G837" s="48"/>
      <c r="H837" s="48"/>
    </row>
    <row r="838">
      <c r="A838" s="50"/>
      <c r="B838" s="50"/>
      <c r="C838" s="50"/>
      <c r="D838" s="43"/>
      <c r="E838" s="43"/>
      <c r="F838" s="47"/>
      <c r="G838" s="48"/>
      <c r="H838" s="48"/>
    </row>
    <row r="839">
      <c r="A839" s="50"/>
      <c r="B839" s="50"/>
      <c r="C839" s="50"/>
      <c r="D839" s="43"/>
      <c r="E839" s="43"/>
      <c r="F839" s="47"/>
      <c r="G839" s="48"/>
      <c r="H839" s="48"/>
    </row>
    <row r="840">
      <c r="A840" s="50"/>
      <c r="B840" s="50"/>
      <c r="C840" s="50"/>
      <c r="D840" s="43"/>
      <c r="E840" s="43"/>
      <c r="F840" s="47"/>
      <c r="G840" s="48"/>
      <c r="H840" s="48"/>
    </row>
    <row r="841">
      <c r="A841" s="50"/>
      <c r="B841" s="50"/>
      <c r="C841" s="50"/>
      <c r="D841" s="43"/>
      <c r="E841" s="43"/>
      <c r="F841" s="47"/>
      <c r="G841" s="48"/>
      <c r="H841" s="48"/>
    </row>
    <row r="842">
      <c r="A842" s="50"/>
      <c r="B842" s="50"/>
      <c r="C842" s="50"/>
      <c r="D842" s="43"/>
      <c r="E842" s="43"/>
      <c r="F842" s="47"/>
      <c r="G842" s="48"/>
      <c r="H842" s="48"/>
    </row>
    <row r="843">
      <c r="A843" s="50"/>
      <c r="B843" s="50"/>
      <c r="C843" s="50"/>
      <c r="D843" s="43"/>
      <c r="E843" s="43"/>
      <c r="F843" s="47"/>
      <c r="G843" s="48"/>
      <c r="H843" s="48"/>
    </row>
    <row r="844">
      <c r="A844" s="50"/>
      <c r="B844" s="50"/>
      <c r="C844" s="50"/>
      <c r="D844" s="43"/>
      <c r="E844" s="43"/>
      <c r="F844" s="47"/>
      <c r="G844" s="48"/>
      <c r="H844" s="48"/>
    </row>
    <row r="845">
      <c r="A845" s="50"/>
      <c r="B845" s="50"/>
      <c r="C845" s="50"/>
      <c r="D845" s="43"/>
      <c r="E845" s="43"/>
      <c r="F845" s="47"/>
      <c r="G845" s="48"/>
      <c r="H845" s="48"/>
    </row>
    <row r="846">
      <c r="A846" s="50"/>
      <c r="B846" s="50"/>
      <c r="C846" s="50"/>
      <c r="D846" s="43"/>
      <c r="E846" s="43"/>
      <c r="F846" s="47"/>
      <c r="G846" s="48"/>
      <c r="H846" s="48"/>
    </row>
    <row r="847">
      <c r="A847" s="50"/>
      <c r="B847" s="50"/>
      <c r="C847" s="50"/>
      <c r="D847" s="43"/>
      <c r="E847" s="43"/>
      <c r="F847" s="47"/>
      <c r="G847" s="48"/>
      <c r="H847" s="48"/>
    </row>
    <row r="848">
      <c r="A848" s="50"/>
      <c r="B848" s="50"/>
      <c r="C848" s="50"/>
      <c r="D848" s="43"/>
      <c r="E848" s="43"/>
      <c r="F848" s="47"/>
      <c r="G848" s="48"/>
      <c r="H848" s="48"/>
    </row>
    <row r="849">
      <c r="A849" s="50"/>
      <c r="B849" s="50"/>
      <c r="C849" s="50"/>
      <c r="D849" s="43"/>
      <c r="E849" s="43"/>
      <c r="F849" s="47"/>
      <c r="G849" s="48"/>
      <c r="H849" s="48"/>
    </row>
    <row r="850">
      <c r="A850" s="50"/>
      <c r="B850" s="50"/>
      <c r="C850" s="50"/>
      <c r="D850" s="43"/>
      <c r="E850" s="43"/>
      <c r="F850" s="47"/>
      <c r="G850" s="48"/>
      <c r="H850" s="48"/>
    </row>
    <row r="851">
      <c r="A851" s="50"/>
      <c r="B851" s="50"/>
      <c r="C851" s="50"/>
      <c r="D851" s="43"/>
      <c r="E851" s="43"/>
      <c r="F851" s="47"/>
      <c r="G851" s="48"/>
      <c r="H851" s="48"/>
    </row>
    <row r="852">
      <c r="A852" s="50"/>
      <c r="B852" s="50"/>
      <c r="C852" s="50"/>
      <c r="D852" s="43"/>
      <c r="E852" s="43"/>
      <c r="F852" s="47"/>
      <c r="G852" s="48"/>
      <c r="H852" s="48"/>
    </row>
    <row r="853">
      <c r="A853" s="50"/>
      <c r="B853" s="50"/>
      <c r="C853" s="50"/>
      <c r="D853" s="43"/>
      <c r="E853" s="43"/>
      <c r="F853" s="47"/>
      <c r="G853" s="48"/>
      <c r="H853" s="48"/>
    </row>
    <row r="854">
      <c r="A854" s="50"/>
      <c r="B854" s="50"/>
      <c r="C854" s="50"/>
      <c r="D854" s="43"/>
      <c r="E854" s="43"/>
      <c r="F854" s="47"/>
      <c r="G854" s="48"/>
      <c r="H854" s="48"/>
    </row>
    <row r="855">
      <c r="A855" s="50"/>
      <c r="B855" s="50"/>
      <c r="C855" s="50"/>
      <c r="D855" s="43"/>
      <c r="E855" s="43"/>
      <c r="F855" s="47"/>
      <c r="G855" s="48"/>
      <c r="H855" s="48"/>
    </row>
    <row r="856">
      <c r="A856" s="50"/>
      <c r="B856" s="50"/>
      <c r="C856" s="50"/>
      <c r="D856" s="43"/>
      <c r="E856" s="43"/>
      <c r="F856" s="47"/>
      <c r="G856" s="48"/>
      <c r="H856" s="48"/>
    </row>
    <row r="857">
      <c r="A857" s="50"/>
      <c r="B857" s="50"/>
      <c r="C857" s="50"/>
      <c r="D857" s="43"/>
      <c r="E857" s="43"/>
      <c r="F857" s="47"/>
      <c r="G857" s="48"/>
      <c r="H857" s="48"/>
    </row>
    <row r="858">
      <c r="A858" s="50"/>
      <c r="B858" s="50"/>
      <c r="C858" s="50"/>
      <c r="D858" s="43"/>
      <c r="E858" s="43"/>
      <c r="F858" s="47"/>
      <c r="G858" s="48"/>
      <c r="H858" s="48"/>
    </row>
    <row r="859">
      <c r="A859" s="50"/>
      <c r="B859" s="50"/>
      <c r="C859" s="50"/>
      <c r="D859" s="43"/>
      <c r="E859" s="43"/>
      <c r="F859" s="47"/>
      <c r="G859" s="48"/>
      <c r="H859" s="48"/>
    </row>
    <row r="860">
      <c r="A860" s="50"/>
      <c r="B860" s="50"/>
      <c r="C860" s="50"/>
      <c r="D860" s="43"/>
      <c r="E860" s="43"/>
      <c r="F860" s="47"/>
      <c r="G860" s="48"/>
      <c r="H860" s="48"/>
    </row>
    <row r="861">
      <c r="A861" s="50"/>
      <c r="B861" s="50"/>
      <c r="C861" s="50"/>
      <c r="D861" s="43"/>
      <c r="E861" s="43"/>
      <c r="F861" s="47"/>
      <c r="G861" s="48"/>
      <c r="H861" s="48"/>
    </row>
    <row r="862">
      <c r="A862" s="50"/>
      <c r="B862" s="50"/>
      <c r="C862" s="50"/>
      <c r="D862" s="43"/>
      <c r="E862" s="43"/>
      <c r="F862" s="47"/>
      <c r="G862" s="48"/>
      <c r="H862" s="48"/>
    </row>
    <row r="863">
      <c r="A863" s="50"/>
      <c r="B863" s="50"/>
      <c r="C863" s="50"/>
      <c r="D863" s="43"/>
      <c r="E863" s="43"/>
      <c r="F863" s="47"/>
      <c r="G863" s="48"/>
      <c r="H863" s="48"/>
    </row>
    <row r="864">
      <c r="A864" s="50"/>
      <c r="B864" s="50"/>
      <c r="C864" s="50"/>
      <c r="D864" s="43"/>
      <c r="E864" s="43"/>
      <c r="F864" s="47"/>
      <c r="G864" s="48"/>
      <c r="H864" s="48"/>
    </row>
    <row r="865">
      <c r="A865" s="50"/>
      <c r="B865" s="50"/>
      <c r="C865" s="50"/>
      <c r="D865" s="43"/>
      <c r="E865" s="43"/>
      <c r="F865" s="47"/>
      <c r="G865" s="48"/>
      <c r="H865" s="48"/>
    </row>
    <row r="866">
      <c r="A866" s="50"/>
      <c r="B866" s="50"/>
      <c r="C866" s="50"/>
      <c r="D866" s="43"/>
      <c r="E866" s="43"/>
      <c r="F866" s="47"/>
      <c r="G866" s="48"/>
      <c r="H866" s="48"/>
    </row>
    <row r="867">
      <c r="A867" s="50"/>
      <c r="B867" s="50"/>
      <c r="C867" s="50"/>
      <c r="D867" s="43"/>
      <c r="E867" s="43"/>
      <c r="F867" s="47"/>
      <c r="G867" s="48"/>
      <c r="H867" s="48"/>
    </row>
    <row r="868">
      <c r="A868" s="50"/>
      <c r="B868" s="50"/>
      <c r="C868" s="50"/>
      <c r="D868" s="43"/>
      <c r="E868" s="43"/>
      <c r="F868" s="47"/>
      <c r="G868" s="48"/>
      <c r="H868" s="48"/>
    </row>
    <row r="869">
      <c r="A869" s="50"/>
      <c r="B869" s="50"/>
      <c r="C869" s="50"/>
      <c r="D869" s="43"/>
      <c r="E869" s="43"/>
      <c r="F869" s="47"/>
      <c r="G869" s="48"/>
      <c r="H869" s="48"/>
    </row>
    <row r="870">
      <c r="A870" s="50"/>
      <c r="B870" s="50"/>
      <c r="C870" s="50"/>
      <c r="D870" s="43"/>
      <c r="E870" s="43"/>
      <c r="F870" s="47"/>
      <c r="G870" s="48"/>
      <c r="H870" s="48"/>
    </row>
    <row r="871">
      <c r="A871" s="50"/>
      <c r="B871" s="50"/>
      <c r="C871" s="50"/>
      <c r="D871" s="43"/>
      <c r="E871" s="43"/>
      <c r="F871" s="47"/>
      <c r="G871" s="48"/>
      <c r="H871" s="48"/>
    </row>
    <row r="872">
      <c r="A872" s="50"/>
      <c r="B872" s="50"/>
      <c r="C872" s="50"/>
      <c r="D872" s="43"/>
      <c r="E872" s="43"/>
      <c r="F872" s="47"/>
      <c r="G872" s="48"/>
      <c r="H872" s="48"/>
    </row>
    <row r="873">
      <c r="A873" s="50"/>
      <c r="B873" s="50"/>
      <c r="C873" s="50"/>
      <c r="D873" s="43"/>
      <c r="E873" s="43"/>
      <c r="F873" s="47"/>
      <c r="G873" s="48"/>
      <c r="H873" s="48"/>
    </row>
    <row r="874">
      <c r="A874" s="50"/>
      <c r="B874" s="50"/>
      <c r="C874" s="50"/>
      <c r="D874" s="43"/>
      <c r="E874" s="43"/>
      <c r="F874" s="47"/>
      <c r="G874" s="48"/>
      <c r="H874" s="48"/>
    </row>
    <row r="875">
      <c r="A875" s="50"/>
      <c r="B875" s="50"/>
      <c r="C875" s="50"/>
      <c r="D875" s="43"/>
      <c r="E875" s="43"/>
      <c r="F875" s="47"/>
      <c r="G875" s="48"/>
      <c r="H875" s="48"/>
    </row>
    <row r="876">
      <c r="A876" s="50"/>
      <c r="B876" s="50"/>
      <c r="C876" s="50"/>
      <c r="D876" s="43"/>
      <c r="E876" s="43"/>
      <c r="F876" s="47"/>
      <c r="G876" s="48"/>
      <c r="H876" s="48"/>
    </row>
    <row r="877">
      <c r="A877" s="50"/>
      <c r="B877" s="50"/>
      <c r="C877" s="50"/>
      <c r="D877" s="43"/>
      <c r="E877" s="43"/>
      <c r="F877" s="47"/>
      <c r="G877" s="48"/>
      <c r="H877" s="48"/>
    </row>
    <row r="878">
      <c r="A878" s="50"/>
      <c r="B878" s="50"/>
      <c r="C878" s="50"/>
      <c r="D878" s="43"/>
      <c r="E878" s="43"/>
      <c r="F878" s="47"/>
      <c r="G878" s="48"/>
      <c r="H878" s="48"/>
    </row>
    <row r="879">
      <c r="A879" s="50"/>
      <c r="B879" s="50"/>
      <c r="C879" s="50"/>
      <c r="D879" s="43"/>
      <c r="E879" s="43"/>
      <c r="F879" s="47"/>
      <c r="G879" s="48"/>
      <c r="H879" s="48"/>
    </row>
    <row r="880">
      <c r="A880" s="50"/>
      <c r="B880" s="50"/>
      <c r="C880" s="50"/>
      <c r="D880" s="43"/>
      <c r="E880" s="43"/>
      <c r="F880" s="47"/>
      <c r="G880" s="48"/>
      <c r="H880" s="48"/>
    </row>
    <row r="881">
      <c r="A881" s="50"/>
      <c r="B881" s="50"/>
      <c r="C881" s="50"/>
      <c r="D881" s="43"/>
      <c r="E881" s="43"/>
      <c r="F881" s="47"/>
      <c r="G881" s="48"/>
      <c r="H881" s="48"/>
    </row>
    <row r="882">
      <c r="A882" s="50"/>
      <c r="B882" s="50"/>
      <c r="C882" s="50"/>
      <c r="D882" s="43"/>
      <c r="E882" s="43"/>
      <c r="F882" s="47"/>
      <c r="G882" s="48"/>
      <c r="H882" s="48"/>
    </row>
    <row r="883">
      <c r="A883" s="50"/>
      <c r="B883" s="50"/>
      <c r="C883" s="50"/>
      <c r="D883" s="43"/>
      <c r="E883" s="43"/>
      <c r="F883" s="47"/>
      <c r="G883" s="48"/>
      <c r="H883" s="48"/>
    </row>
    <row r="884">
      <c r="A884" s="50"/>
      <c r="B884" s="50"/>
      <c r="C884" s="50"/>
      <c r="D884" s="43"/>
      <c r="E884" s="43"/>
      <c r="F884" s="47"/>
      <c r="G884" s="48"/>
      <c r="H884" s="48"/>
    </row>
    <row r="885">
      <c r="A885" s="50"/>
      <c r="B885" s="50"/>
      <c r="C885" s="50"/>
      <c r="D885" s="43"/>
      <c r="E885" s="43"/>
      <c r="F885" s="47"/>
      <c r="G885" s="48"/>
      <c r="H885" s="48"/>
    </row>
    <row r="886">
      <c r="A886" s="50"/>
      <c r="B886" s="50"/>
      <c r="C886" s="50"/>
      <c r="D886" s="43"/>
      <c r="E886" s="43"/>
      <c r="F886" s="47"/>
      <c r="G886" s="48"/>
      <c r="H886" s="48"/>
    </row>
    <row r="887">
      <c r="A887" s="50"/>
      <c r="B887" s="50"/>
      <c r="C887" s="50"/>
      <c r="D887" s="43"/>
      <c r="E887" s="43"/>
      <c r="F887" s="47"/>
      <c r="G887" s="48"/>
      <c r="H887" s="48"/>
    </row>
    <row r="888">
      <c r="A888" s="50"/>
      <c r="B888" s="50"/>
      <c r="C888" s="50"/>
      <c r="D888" s="43"/>
      <c r="E888" s="43"/>
      <c r="F888" s="47"/>
      <c r="G888" s="48"/>
      <c r="H888" s="48"/>
    </row>
    <row r="889">
      <c r="A889" s="50"/>
      <c r="B889" s="50"/>
      <c r="C889" s="50"/>
      <c r="D889" s="43"/>
      <c r="E889" s="43"/>
      <c r="F889" s="47"/>
      <c r="G889" s="48"/>
      <c r="H889" s="48"/>
    </row>
    <row r="890">
      <c r="A890" s="50"/>
      <c r="B890" s="50"/>
      <c r="C890" s="50"/>
      <c r="D890" s="43"/>
      <c r="E890" s="43"/>
      <c r="F890" s="47"/>
      <c r="G890" s="48"/>
      <c r="H890" s="48"/>
    </row>
    <row r="891">
      <c r="A891" s="50"/>
      <c r="B891" s="50"/>
      <c r="C891" s="50"/>
      <c r="D891" s="43"/>
      <c r="E891" s="43"/>
      <c r="F891" s="47"/>
      <c r="G891" s="48"/>
      <c r="H891" s="48"/>
    </row>
    <row r="892">
      <c r="A892" s="50"/>
      <c r="B892" s="50"/>
      <c r="C892" s="50"/>
      <c r="D892" s="43"/>
      <c r="E892" s="43"/>
      <c r="F892" s="47"/>
      <c r="G892" s="48"/>
      <c r="H892" s="48"/>
    </row>
    <row r="893">
      <c r="A893" s="50"/>
      <c r="B893" s="50"/>
      <c r="C893" s="50"/>
      <c r="D893" s="43"/>
      <c r="E893" s="43"/>
      <c r="F893" s="47"/>
      <c r="G893" s="48"/>
      <c r="H893" s="48"/>
    </row>
    <row r="894">
      <c r="A894" s="50"/>
      <c r="B894" s="50"/>
      <c r="C894" s="50"/>
      <c r="D894" s="43"/>
      <c r="E894" s="43"/>
      <c r="F894" s="47"/>
      <c r="G894" s="48"/>
      <c r="H894" s="48"/>
    </row>
    <row r="895">
      <c r="A895" s="50"/>
      <c r="B895" s="50"/>
      <c r="C895" s="50"/>
      <c r="D895" s="43"/>
      <c r="E895" s="43"/>
      <c r="F895" s="47"/>
      <c r="G895" s="48"/>
      <c r="H895" s="48"/>
    </row>
    <row r="896">
      <c r="A896" s="50"/>
      <c r="B896" s="50"/>
      <c r="C896" s="50"/>
      <c r="D896" s="43"/>
      <c r="E896" s="43"/>
      <c r="F896" s="47"/>
      <c r="G896" s="48"/>
      <c r="H896" s="48"/>
    </row>
    <row r="897">
      <c r="A897" s="50"/>
      <c r="B897" s="50"/>
      <c r="C897" s="50"/>
      <c r="D897" s="43"/>
      <c r="E897" s="43"/>
      <c r="F897" s="47"/>
      <c r="G897" s="48"/>
      <c r="H897" s="48"/>
    </row>
    <row r="898">
      <c r="A898" s="50"/>
      <c r="B898" s="50"/>
      <c r="C898" s="50"/>
      <c r="D898" s="43"/>
      <c r="E898" s="43"/>
      <c r="F898" s="47"/>
      <c r="G898" s="48"/>
      <c r="H898" s="48"/>
    </row>
    <row r="899">
      <c r="A899" s="50"/>
      <c r="B899" s="50"/>
      <c r="C899" s="50"/>
      <c r="D899" s="43"/>
      <c r="E899" s="43"/>
      <c r="F899" s="47"/>
      <c r="G899" s="48"/>
      <c r="H899" s="48"/>
    </row>
    <row r="900">
      <c r="A900" s="50"/>
      <c r="B900" s="50"/>
      <c r="C900" s="50"/>
      <c r="D900" s="43"/>
      <c r="E900" s="43"/>
      <c r="F900" s="47"/>
      <c r="G900" s="48"/>
      <c r="H900" s="48"/>
    </row>
    <row r="901">
      <c r="A901" s="50"/>
      <c r="B901" s="50"/>
      <c r="C901" s="50"/>
      <c r="D901" s="43"/>
      <c r="E901" s="43"/>
      <c r="F901" s="47"/>
      <c r="G901" s="48"/>
      <c r="H901" s="48"/>
    </row>
    <row r="902">
      <c r="A902" s="50"/>
      <c r="B902" s="50"/>
      <c r="C902" s="50"/>
      <c r="D902" s="43"/>
      <c r="E902" s="43"/>
      <c r="F902" s="47"/>
      <c r="G902" s="48"/>
      <c r="H902" s="48"/>
    </row>
    <row r="903">
      <c r="A903" s="50"/>
      <c r="B903" s="50"/>
      <c r="C903" s="50"/>
      <c r="D903" s="43"/>
      <c r="E903" s="43"/>
      <c r="F903" s="47"/>
      <c r="G903" s="48"/>
      <c r="H903" s="48"/>
    </row>
    <row r="904">
      <c r="A904" s="50"/>
      <c r="B904" s="50"/>
      <c r="C904" s="50"/>
      <c r="D904" s="43"/>
      <c r="E904" s="43"/>
      <c r="F904" s="47"/>
      <c r="G904" s="48"/>
      <c r="H904" s="48"/>
    </row>
    <row r="905">
      <c r="A905" s="50"/>
      <c r="B905" s="50"/>
      <c r="C905" s="50"/>
      <c r="D905" s="43"/>
      <c r="E905" s="43"/>
      <c r="F905" s="47"/>
      <c r="G905" s="48"/>
      <c r="H905" s="48"/>
    </row>
    <row r="906">
      <c r="A906" s="50"/>
      <c r="B906" s="50"/>
      <c r="C906" s="50"/>
      <c r="D906" s="43"/>
      <c r="E906" s="43"/>
      <c r="F906" s="47"/>
      <c r="G906" s="48"/>
      <c r="H906" s="48"/>
    </row>
    <row r="907">
      <c r="A907" s="50"/>
      <c r="B907" s="50"/>
      <c r="C907" s="50"/>
      <c r="D907" s="43"/>
      <c r="E907" s="43"/>
      <c r="F907" s="47"/>
      <c r="G907" s="48"/>
      <c r="H907" s="48"/>
    </row>
    <row r="908">
      <c r="A908" s="50"/>
      <c r="B908" s="50"/>
      <c r="C908" s="50"/>
      <c r="D908" s="43"/>
      <c r="E908" s="43"/>
      <c r="F908" s="47"/>
      <c r="G908" s="48"/>
      <c r="H908" s="48"/>
    </row>
    <row r="909">
      <c r="A909" s="50"/>
      <c r="B909" s="50"/>
      <c r="C909" s="50"/>
      <c r="D909" s="43"/>
      <c r="E909" s="43"/>
      <c r="F909" s="47"/>
      <c r="G909" s="48"/>
      <c r="H909" s="48"/>
    </row>
    <row r="910">
      <c r="A910" s="50"/>
      <c r="B910" s="50"/>
      <c r="C910" s="50"/>
      <c r="D910" s="43"/>
      <c r="E910" s="43"/>
      <c r="F910" s="47"/>
      <c r="G910" s="48"/>
      <c r="H910" s="48"/>
    </row>
    <row r="911">
      <c r="A911" s="50"/>
      <c r="B911" s="50"/>
      <c r="C911" s="50"/>
      <c r="D911" s="43"/>
      <c r="E911" s="43"/>
      <c r="F911" s="47"/>
      <c r="G911" s="48"/>
      <c r="H911" s="48"/>
    </row>
    <row r="912">
      <c r="A912" s="50"/>
      <c r="B912" s="50"/>
      <c r="C912" s="50"/>
      <c r="D912" s="43"/>
      <c r="E912" s="43"/>
      <c r="F912" s="47"/>
      <c r="G912" s="48"/>
      <c r="H912" s="48"/>
    </row>
    <row r="913">
      <c r="A913" s="50"/>
      <c r="B913" s="50"/>
      <c r="C913" s="50"/>
      <c r="D913" s="43"/>
      <c r="E913" s="43"/>
      <c r="F913" s="47"/>
      <c r="G913" s="48"/>
      <c r="H913" s="48"/>
    </row>
    <row r="914">
      <c r="A914" s="50"/>
      <c r="B914" s="50"/>
      <c r="C914" s="50"/>
      <c r="D914" s="43"/>
      <c r="E914" s="43"/>
      <c r="F914" s="47"/>
      <c r="G914" s="48"/>
      <c r="H914" s="48"/>
    </row>
    <row r="915">
      <c r="A915" s="50"/>
      <c r="B915" s="50"/>
      <c r="C915" s="50"/>
      <c r="D915" s="43"/>
      <c r="E915" s="43"/>
      <c r="F915" s="47"/>
      <c r="G915" s="48"/>
      <c r="H915" s="48"/>
    </row>
    <row r="916">
      <c r="A916" s="50"/>
      <c r="B916" s="50"/>
      <c r="C916" s="50"/>
      <c r="D916" s="43"/>
      <c r="E916" s="43"/>
      <c r="F916" s="47"/>
      <c r="G916" s="48"/>
      <c r="H916" s="48"/>
    </row>
    <row r="917">
      <c r="A917" s="50"/>
      <c r="B917" s="50"/>
      <c r="C917" s="50"/>
      <c r="D917" s="43"/>
      <c r="E917" s="43"/>
      <c r="F917" s="47"/>
      <c r="G917" s="48"/>
      <c r="H917" s="48"/>
    </row>
    <row r="918">
      <c r="A918" s="50"/>
      <c r="B918" s="50"/>
      <c r="C918" s="50"/>
      <c r="D918" s="43"/>
      <c r="E918" s="43"/>
      <c r="F918" s="47"/>
      <c r="G918" s="48"/>
      <c r="H918" s="48"/>
    </row>
    <row r="919">
      <c r="A919" s="50"/>
      <c r="B919" s="50"/>
      <c r="C919" s="50"/>
      <c r="D919" s="43"/>
      <c r="E919" s="43"/>
      <c r="F919" s="47"/>
      <c r="G919" s="48"/>
      <c r="H919" s="48"/>
    </row>
    <row r="920">
      <c r="A920" s="50"/>
      <c r="B920" s="50"/>
      <c r="C920" s="50"/>
      <c r="D920" s="43"/>
      <c r="E920" s="43"/>
      <c r="F920" s="47"/>
      <c r="G920" s="48"/>
      <c r="H920" s="48"/>
    </row>
    <row r="921">
      <c r="A921" s="50"/>
      <c r="B921" s="50"/>
      <c r="C921" s="50"/>
      <c r="D921" s="43"/>
      <c r="E921" s="43"/>
      <c r="F921" s="47"/>
      <c r="G921" s="48"/>
      <c r="H921" s="48"/>
    </row>
    <row r="922">
      <c r="A922" s="50"/>
      <c r="B922" s="50"/>
      <c r="C922" s="50"/>
      <c r="D922" s="43"/>
      <c r="E922" s="43"/>
      <c r="F922" s="47"/>
      <c r="G922" s="48"/>
      <c r="H922" s="48"/>
    </row>
    <row r="923">
      <c r="A923" s="50"/>
      <c r="B923" s="50"/>
      <c r="C923" s="50"/>
      <c r="D923" s="43"/>
      <c r="E923" s="43"/>
      <c r="F923" s="47"/>
      <c r="G923" s="48"/>
      <c r="H923" s="48"/>
    </row>
    <row r="924">
      <c r="A924" s="50"/>
      <c r="B924" s="50"/>
      <c r="C924" s="50"/>
      <c r="D924" s="43"/>
      <c r="E924" s="43"/>
      <c r="F924" s="47"/>
      <c r="G924" s="48"/>
      <c r="H924" s="48"/>
    </row>
    <row r="925">
      <c r="A925" s="50"/>
      <c r="B925" s="50"/>
      <c r="C925" s="50"/>
      <c r="D925" s="43"/>
      <c r="E925" s="43"/>
      <c r="F925" s="47"/>
      <c r="G925" s="48"/>
      <c r="H925" s="48"/>
    </row>
    <row r="926">
      <c r="A926" s="50"/>
      <c r="B926" s="50"/>
      <c r="C926" s="50"/>
      <c r="D926" s="43"/>
      <c r="E926" s="43"/>
      <c r="F926" s="47"/>
      <c r="G926" s="48"/>
      <c r="H926" s="48"/>
    </row>
    <row r="927">
      <c r="A927" s="50"/>
      <c r="B927" s="50"/>
      <c r="C927" s="50"/>
      <c r="D927" s="43"/>
      <c r="E927" s="43"/>
      <c r="F927" s="47"/>
      <c r="G927" s="48"/>
      <c r="H927" s="48"/>
    </row>
    <row r="928">
      <c r="A928" s="50"/>
      <c r="B928" s="50"/>
      <c r="C928" s="50"/>
      <c r="D928" s="43"/>
      <c r="E928" s="43"/>
      <c r="F928" s="47"/>
      <c r="G928" s="48"/>
      <c r="H928" s="48"/>
    </row>
    <row r="929">
      <c r="A929" s="50"/>
      <c r="B929" s="50"/>
      <c r="C929" s="50"/>
      <c r="D929" s="43"/>
      <c r="E929" s="43"/>
      <c r="F929" s="47"/>
      <c r="G929" s="48"/>
      <c r="H929" s="48"/>
    </row>
    <row r="930">
      <c r="A930" s="50"/>
      <c r="B930" s="50"/>
      <c r="C930" s="50"/>
      <c r="D930" s="43"/>
      <c r="E930" s="43"/>
      <c r="F930" s="47"/>
      <c r="G930" s="48"/>
      <c r="H930" s="48"/>
    </row>
    <row r="931">
      <c r="A931" s="50"/>
      <c r="B931" s="50"/>
      <c r="C931" s="50"/>
      <c r="D931" s="43"/>
      <c r="E931" s="43"/>
      <c r="F931" s="47"/>
      <c r="G931" s="48"/>
      <c r="H931" s="48"/>
    </row>
    <row r="932">
      <c r="A932" s="50"/>
      <c r="B932" s="50"/>
      <c r="C932" s="50"/>
      <c r="D932" s="43"/>
      <c r="E932" s="43"/>
      <c r="F932" s="47"/>
      <c r="G932" s="48"/>
      <c r="H932" s="48"/>
    </row>
    <row r="933">
      <c r="A933" s="50"/>
      <c r="B933" s="50"/>
      <c r="C933" s="50"/>
      <c r="D933" s="43"/>
      <c r="E933" s="43"/>
      <c r="F933" s="47"/>
      <c r="G933" s="48"/>
      <c r="H933" s="48"/>
    </row>
    <row r="934">
      <c r="A934" s="50"/>
      <c r="B934" s="50"/>
      <c r="C934" s="50"/>
      <c r="D934" s="43"/>
      <c r="E934" s="43"/>
      <c r="F934" s="47"/>
      <c r="G934" s="48"/>
      <c r="H934" s="48"/>
    </row>
    <row r="935">
      <c r="A935" s="50"/>
      <c r="B935" s="50"/>
      <c r="C935" s="50"/>
      <c r="D935" s="43"/>
      <c r="E935" s="43"/>
      <c r="F935" s="47"/>
      <c r="G935" s="48"/>
      <c r="H935" s="48"/>
    </row>
    <row r="936">
      <c r="A936" s="50"/>
      <c r="B936" s="50"/>
      <c r="C936" s="50"/>
      <c r="D936" s="43"/>
      <c r="E936" s="43"/>
      <c r="F936" s="47"/>
      <c r="G936" s="48"/>
      <c r="H936" s="48"/>
    </row>
    <row r="937">
      <c r="A937" s="50"/>
      <c r="B937" s="50"/>
      <c r="C937" s="50"/>
      <c r="D937" s="43"/>
      <c r="E937" s="43"/>
      <c r="F937" s="47"/>
      <c r="G937" s="48"/>
      <c r="H937" s="48"/>
    </row>
    <row r="938">
      <c r="A938" s="50"/>
      <c r="B938" s="50"/>
      <c r="C938" s="50"/>
      <c r="D938" s="43"/>
      <c r="E938" s="43"/>
      <c r="F938" s="47"/>
      <c r="G938" s="48"/>
      <c r="H938" s="48"/>
    </row>
    <row r="939">
      <c r="A939" s="50"/>
      <c r="B939" s="50"/>
      <c r="C939" s="50"/>
      <c r="D939" s="43"/>
      <c r="E939" s="43"/>
      <c r="F939" s="47"/>
      <c r="G939" s="48"/>
      <c r="H939" s="48"/>
    </row>
    <row r="940">
      <c r="A940" s="50"/>
      <c r="B940" s="50"/>
      <c r="C940" s="50"/>
      <c r="D940" s="43"/>
      <c r="E940" s="43"/>
      <c r="F940" s="47"/>
      <c r="G940" s="48"/>
      <c r="H940" s="48"/>
    </row>
    <row r="941">
      <c r="A941" s="50"/>
      <c r="B941" s="50"/>
      <c r="C941" s="50"/>
      <c r="D941" s="43"/>
      <c r="E941" s="43"/>
      <c r="F941" s="47"/>
      <c r="G941" s="48"/>
      <c r="H941" s="48"/>
    </row>
    <row r="942">
      <c r="A942" s="50"/>
      <c r="B942" s="50"/>
      <c r="C942" s="50"/>
      <c r="D942" s="43"/>
      <c r="E942" s="43"/>
      <c r="F942" s="47"/>
      <c r="G942" s="48"/>
      <c r="H942" s="48"/>
    </row>
    <row r="943">
      <c r="A943" s="50"/>
      <c r="B943" s="50"/>
      <c r="C943" s="50"/>
      <c r="D943" s="43"/>
      <c r="E943" s="43"/>
      <c r="F943" s="47"/>
      <c r="G943" s="48"/>
      <c r="H943" s="48"/>
    </row>
    <row r="944">
      <c r="A944" s="50"/>
      <c r="B944" s="50"/>
      <c r="C944" s="50"/>
      <c r="D944" s="43"/>
      <c r="E944" s="43"/>
      <c r="F944" s="47"/>
      <c r="G944" s="48"/>
      <c r="H944" s="48"/>
    </row>
    <row r="945">
      <c r="A945" s="50"/>
      <c r="B945" s="50"/>
      <c r="C945" s="50"/>
      <c r="D945" s="43"/>
      <c r="E945" s="43"/>
      <c r="F945" s="47"/>
      <c r="G945" s="48"/>
      <c r="H945" s="48"/>
    </row>
    <row r="946">
      <c r="A946" s="50"/>
      <c r="B946" s="50"/>
      <c r="C946" s="50"/>
      <c r="D946" s="43"/>
      <c r="E946" s="43"/>
      <c r="F946" s="47"/>
      <c r="G946" s="48"/>
      <c r="H946" s="48"/>
    </row>
    <row r="947">
      <c r="A947" s="50"/>
      <c r="B947" s="50"/>
      <c r="C947" s="50"/>
      <c r="D947" s="43"/>
      <c r="E947" s="43"/>
      <c r="F947" s="47"/>
      <c r="G947" s="48"/>
      <c r="H947" s="48"/>
    </row>
    <row r="948">
      <c r="A948" s="50"/>
      <c r="B948" s="50"/>
      <c r="C948" s="50"/>
      <c r="D948" s="43"/>
      <c r="E948" s="43"/>
      <c r="F948" s="47"/>
      <c r="G948" s="48"/>
      <c r="H948" s="48"/>
    </row>
    <row r="949">
      <c r="A949" s="50"/>
      <c r="B949" s="50"/>
      <c r="C949" s="50"/>
      <c r="D949" s="43"/>
      <c r="E949" s="43"/>
      <c r="F949" s="47"/>
      <c r="G949" s="48"/>
      <c r="H949" s="48"/>
    </row>
    <row r="950">
      <c r="A950" s="50"/>
      <c r="B950" s="50"/>
      <c r="C950" s="50"/>
      <c r="D950" s="43"/>
      <c r="E950" s="43"/>
      <c r="F950" s="47"/>
      <c r="G950" s="48"/>
      <c r="H950" s="48"/>
    </row>
    <row r="951">
      <c r="A951" s="50"/>
      <c r="B951" s="50"/>
      <c r="C951" s="50"/>
      <c r="D951" s="43"/>
      <c r="E951" s="43"/>
      <c r="F951" s="47"/>
      <c r="G951" s="48"/>
      <c r="H951" s="48"/>
    </row>
    <row r="952">
      <c r="A952" s="50"/>
      <c r="B952" s="50"/>
      <c r="C952" s="50"/>
      <c r="D952" s="43"/>
      <c r="E952" s="43"/>
      <c r="F952" s="47"/>
      <c r="G952" s="48"/>
      <c r="H952" s="48"/>
    </row>
    <row r="953">
      <c r="A953" s="50"/>
      <c r="B953" s="50"/>
      <c r="C953" s="50"/>
      <c r="D953" s="43"/>
      <c r="E953" s="43"/>
      <c r="F953" s="47"/>
      <c r="G953" s="48"/>
      <c r="H953" s="48"/>
    </row>
    <row r="954">
      <c r="A954" s="50"/>
      <c r="B954" s="50"/>
      <c r="C954" s="50"/>
      <c r="D954" s="43"/>
      <c r="E954" s="43"/>
      <c r="F954" s="47"/>
      <c r="G954" s="48"/>
      <c r="H954" s="48"/>
    </row>
    <row r="955">
      <c r="A955" s="50"/>
      <c r="B955" s="50"/>
      <c r="C955" s="50"/>
      <c r="D955" s="43"/>
      <c r="E955" s="43"/>
      <c r="F955" s="47"/>
      <c r="G955" s="48"/>
      <c r="H955" s="48"/>
    </row>
    <row r="956">
      <c r="A956" s="50"/>
      <c r="B956" s="50"/>
      <c r="C956" s="50"/>
      <c r="D956" s="43"/>
      <c r="E956" s="43"/>
      <c r="F956" s="47"/>
      <c r="G956" s="48"/>
      <c r="H956" s="48"/>
    </row>
    <row r="957">
      <c r="A957" s="50"/>
      <c r="B957" s="50"/>
      <c r="C957" s="50"/>
      <c r="D957" s="43"/>
      <c r="E957" s="43"/>
      <c r="F957" s="47"/>
      <c r="G957" s="48"/>
      <c r="H957" s="48"/>
    </row>
    <row r="958">
      <c r="A958" s="50"/>
      <c r="B958" s="50"/>
      <c r="C958" s="50"/>
      <c r="D958" s="43"/>
      <c r="E958" s="43"/>
      <c r="F958" s="47"/>
      <c r="G958" s="48"/>
      <c r="H958" s="48"/>
    </row>
    <row r="959">
      <c r="A959" s="50"/>
      <c r="B959" s="50"/>
      <c r="C959" s="50"/>
      <c r="D959" s="43"/>
      <c r="E959" s="43"/>
      <c r="F959" s="47"/>
      <c r="G959" s="48"/>
      <c r="H959" s="48"/>
    </row>
    <row r="960">
      <c r="A960" s="50"/>
      <c r="B960" s="50"/>
      <c r="C960" s="50"/>
      <c r="D960" s="43"/>
      <c r="E960" s="43"/>
      <c r="F960" s="47"/>
      <c r="G960" s="48"/>
      <c r="H960" s="48"/>
    </row>
    <row r="961">
      <c r="A961" s="50"/>
      <c r="B961" s="50"/>
      <c r="C961" s="50"/>
      <c r="D961" s="43"/>
      <c r="E961" s="43"/>
      <c r="F961" s="47"/>
      <c r="G961" s="48"/>
      <c r="H961" s="48"/>
    </row>
    <row r="962">
      <c r="A962" s="50"/>
      <c r="B962" s="50"/>
      <c r="C962" s="50"/>
      <c r="D962" s="43"/>
      <c r="E962" s="43"/>
      <c r="F962" s="47"/>
      <c r="G962" s="48"/>
      <c r="H962" s="48"/>
    </row>
    <row r="963">
      <c r="A963" s="50"/>
      <c r="B963" s="50"/>
      <c r="C963" s="50"/>
      <c r="D963" s="43"/>
      <c r="E963" s="43"/>
      <c r="F963" s="47"/>
      <c r="G963" s="48"/>
      <c r="H963" s="48"/>
    </row>
    <row r="964">
      <c r="A964" s="50"/>
      <c r="B964" s="50"/>
      <c r="C964" s="50"/>
      <c r="D964" s="43"/>
      <c r="E964" s="43"/>
      <c r="F964" s="47"/>
      <c r="G964" s="48"/>
      <c r="H964" s="48"/>
    </row>
    <row r="965">
      <c r="A965" s="50"/>
      <c r="B965" s="50"/>
      <c r="C965" s="50"/>
      <c r="D965" s="43"/>
      <c r="E965" s="43"/>
      <c r="F965" s="47"/>
      <c r="G965" s="48"/>
      <c r="H965" s="48"/>
    </row>
    <row r="966">
      <c r="A966" s="50"/>
      <c r="B966" s="50"/>
      <c r="C966" s="50"/>
      <c r="D966" s="43"/>
      <c r="E966" s="43"/>
      <c r="F966" s="47"/>
      <c r="G966" s="48"/>
      <c r="H966" s="48"/>
    </row>
    <row r="967">
      <c r="A967" s="50"/>
      <c r="B967" s="50"/>
      <c r="C967" s="50"/>
      <c r="D967" s="43"/>
      <c r="E967" s="43"/>
      <c r="F967" s="47"/>
      <c r="G967" s="48"/>
      <c r="H967" s="48"/>
    </row>
    <row r="968">
      <c r="A968" s="50"/>
      <c r="B968" s="50"/>
      <c r="C968" s="50"/>
      <c r="D968" s="43"/>
      <c r="E968" s="43"/>
      <c r="F968" s="47"/>
      <c r="G968" s="48"/>
      <c r="H968" s="48"/>
    </row>
    <row r="969">
      <c r="A969" s="50"/>
      <c r="B969" s="50"/>
      <c r="C969" s="50"/>
      <c r="D969" s="43"/>
      <c r="E969" s="43"/>
      <c r="F969" s="47"/>
      <c r="G969" s="48"/>
      <c r="H969" s="48"/>
    </row>
    <row r="970">
      <c r="A970" s="50"/>
      <c r="B970" s="50"/>
      <c r="C970" s="50"/>
      <c r="D970" s="43"/>
      <c r="E970" s="43"/>
      <c r="F970" s="47"/>
      <c r="G970" s="48"/>
      <c r="H970" s="48"/>
    </row>
    <row r="971">
      <c r="A971" s="50"/>
      <c r="B971" s="50"/>
      <c r="C971" s="50"/>
      <c r="D971" s="43"/>
      <c r="E971" s="43"/>
      <c r="F971" s="47"/>
      <c r="G971" s="48"/>
      <c r="H971" s="48"/>
    </row>
    <row r="972">
      <c r="A972" s="50"/>
      <c r="B972" s="50"/>
      <c r="C972" s="50"/>
      <c r="D972" s="43"/>
      <c r="E972" s="43"/>
      <c r="F972" s="47"/>
      <c r="G972" s="48"/>
      <c r="H972" s="48"/>
    </row>
    <row r="973">
      <c r="A973" s="50"/>
      <c r="B973" s="50"/>
      <c r="C973" s="50"/>
      <c r="D973" s="43"/>
      <c r="E973" s="43"/>
      <c r="F973" s="47"/>
      <c r="G973" s="48"/>
      <c r="H973" s="48"/>
    </row>
    <row r="974">
      <c r="A974" s="50"/>
      <c r="B974" s="50"/>
      <c r="C974" s="50"/>
      <c r="D974" s="43"/>
      <c r="E974" s="43"/>
      <c r="F974" s="47"/>
      <c r="G974" s="48"/>
      <c r="H974" s="48"/>
    </row>
    <row r="975">
      <c r="A975" s="50"/>
      <c r="B975" s="50"/>
      <c r="C975" s="50"/>
      <c r="D975" s="43"/>
      <c r="E975" s="43"/>
      <c r="F975" s="47"/>
      <c r="G975" s="48"/>
      <c r="H975" s="48"/>
    </row>
    <row r="976">
      <c r="A976" s="50"/>
      <c r="B976" s="50"/>
      <c r="C976" s="50"/>
      <c r="D976" s="43"/>
      <c r="E976" s="43"/>
      <c r="F976" s="47"/>
      <c r="G976" s="48"/>
      <c r="H976" s="48"/>
    </row>
    <row r="977">
      <c r="A977" s="50"/>
      <c r="B977" s="50"/>
      <c r="C977" s="50"/>
      <c r="D977" s="43"/>
      <c r="E977" s="43"/>
      <c r="F977" s="47"/>
      <c r="G977" s="48"/>
      <c r="H977" s="48"/>
    </row>
    <row r="978">
      <c r="A978" s="50"/>
      <c r="B978" s="50"/>
      <c r="C978" s="50"/>
      <c r="D978" s="43"/>
      <c r="E978" s="43"/>
      <c r="F978" s="47"/>
      <c r="G978" s="48"/>
      <c r="H978" s="48"/>
    </row>
    <row r="979">
      <c r="A979" s="50"/>
      <c r="B979" s="50"/>
      <c r="C979" s="50"/>
      <c r="D979" s="43"/>
      <c r="E979" s="43"/>
      <c r="F979" s="47"/>
      <c r="G979" s="48"/>
      <c r="H979" s="48"/>
    </row>
    <row r="980">
      <c r="A980" s="50"/>
      <c r="B980" s="50"/>
      <c r="C980" s="50"/>
      <c r="D980" s="43"/>
      <c r="E980" s="43"/>
      <c r="F980" s="47"/>
      <c r="G980" s="48"/>
      <c r="H980" s="48"/>
    </row>
    <row r="981">
      <c r="A981" s="50"/>
      <c r="B981" s="50"/>
      <c r="C981" s="50"/>
      <c r="D981" s="43"/>
      <c r="E981" s="43"/>
      <c r="F981" s="47"/>
      <c r="G981" s="48"/>
      <c r="H981" s="48"/>
    </row>
    <row r="982">
      <c r="A982" s="50"/>
      <c r="B982" s="50"/>
      <c r="C982" s="50"/>
      <c r="D982" s="43"/>
      <c r="E982" s="43"/>
      <c r="F982" s="47"/>
      <c r="G982" s="48"/>
      <c r="H982" s="48"/>
    </row>
    <row r="983">
      <c r="A983" s="50"/>
      <c r="B983" s="50"/>
      <c r="C983" s="50"/>
      <c r="D983" s="43"/>
      <c r="E983" s="43"/>
      <c r="F983" s="47"/>
      <c r="G983" s="48"/>
      <c r="H983" s="48"/>
    </row>
    <row r="984">
      <c r="A984" s="50"/>
      <c r="B984" s="50"/>
      <c r="C984" s="50"/>
      <c r="D984" s="43"/>
      <c r="E984" s="43"/>
      <c r="F984" s="47"/>
      <c r="G984" s="48"/>
      <c r="H984" s="48"/>
    </row>
    <row r="985">
      <c r="A985" s="50"/>
      <c r="B985" s="50"/>
      <c r="C985" s="50"/>
      <c r="D985" s="43"/>
      <c r="E985" s="43"/>
      <c r="F985" s="47"/>
      <c r="G985" s="48"/>
      <c r="H985" s="48"/>
    </row>
    <row r="986">
      <c r="A986" s="50"/>
      <c r="B986" s="50"/>
      <c r="C986" s="50"/>
      <c r="D986" s="43"/>
      <c r="E986" s="43"/>
      <c r="F986" s="47"/>
      <c r="G986" s="48"/>
      <c r="H986" s="48"/>
    </row>
    <row r="987">
      <c r="A987" s="50"/>
      <c r="B987" s="50"/>
      <c r="C987" s="50"/>
      <c r="D987" s="43"/>
      <c r="E987" s="43"/>
      <c r="F987" s="47"/>
      <c r="G987" s="48"/>
      <c r="H987" s="48"/>
    </row>
    <row r="988">
      <c r="A988" s="50"/>
      <c r="B988" s="50"/>
      <c r="C988" s="50"/>
      <c r="D988" s="43"/>
      <c r="E988" s="43"/>
      <c r="F988" s="47"/>
      <c r="G988" s="48"/>
      <c r="H988" s="48"/>
    </row>
    <row r="989">
      <c r="A989" s="50"/>
      <c r="B989" s="50"/>
      <c r="C989" s="50"/>
      <c r="D989" s="43"/>
      <c r="E989" s="43"/>
      <c r="F989" s="47"/>
      <c r="G989" s="48"/>
      <c r="H989" s="48"/>
    </row>
    <row r="990">
      <c r="A990" s="50"/>
      <c r="B990" s="50"/>
      <c r="C990" s="50"/>
      <c r="D990" s="43"/>
      <c r="E990" s="43"/>
      <c r="F990" s="47"/>
      <c r="G990" s="48"/>
      <c r="H990" s="48"/>
    </row>
    <row r="991">
      <c r="A991" s="50"/>
      <c r="B991" s="50"/>
      <c r="C991" s="50"/>
      <c r="D991" s="43"/>
      <c r="E991" s="43"/>
      <c r="F991" s="47"/>
      <c r="G991" s="48"/>
      <c r="H991" s="48"/>
    </row>
    <row r="992">
      <c r="A992" s="50"/>
      <c r="B992" s="50"/>
      <c r="C992" s="50"/>
      <c r="D992" s="43"/>
      <c r="E992" s="43"/>
      <c r="F992" s="47"/>
      <c r="G992" s="48"/>
      <c r="H992" s="48"/>
    </row>
    <row r="993">
      <c r="A993" s="50"/>
      <c r="B993" s="50"/>
      <c r="C993" s="50"/>
      <c r="D993" s="43"/>
      <c r="E993" s="43"/>
      <c r="F993" s="47"/>
      <c r="G993" s="48"/>
      <c r="H993" s="48"/>
    </row>
    <row r="994">
      <c r="A994" s="50"/>
      <c r="B994" s="50"/>
      <c r="C994" s="50"/>
      <c r="D994" s="43"/>
      <c r="E994" s="43"/>
      <c r="F994" s="47"/>
      <c r="G994" s="48"/>
      <c r="H994" s="48"/>
    </row>
    <row r="995">
      <c r="A995" s="50"/>
      <c r="B995" s="50"/>
      <c r="C995" s="50"/>
      <c r="D995" s="43"/>
      <c r="E995" s="43"/>
      <c r="F995" s="47"/>
      <c r="G995" s="48"/>
      <c r="H995" s="48"/>
    </row>
    <row r="996">
      <c r="A996" s="50"/>
      <c r="B996" s="50"/>
      <c r="C996" s="50"/>
      <c r="D996" s="43"/>
      <c r="E996" s="43"/>
      <c r="F996" s="47"/>
      <c r="G996" s="48"/>
      <c r="H996" s="48"/>
    </row>
    <row r="997">
      <c r="A997" s="50"/>
      <c r="B997" s="50"/>
      <c r="C997" s="50"/>
      <c r="D997" s="85"/>
      <c r="E997" s="85"/>
      <c r="F997" s="48"/>
      <c r="G997" s="48"/>
      <c r="H997" s="48"/>
    </row>
    <row r="998">
      <c r="A998" s="50"/>
      <c r="B998" s="50"/>
      <c r="C998" s="50"/>
      <c r="D998" s="85"/>
      <c r="E998" s="85"/>
      <c r="F998" s="48"/>
      <c r="G998" s="48"/>
      <c r="H998" s="48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3" max="3" width="39.5"/>
    <col customWidth="1" min="7" max="7" width="16.25"/>
    <col customWidth="1" min="8" max="8" width="15.38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>
      <c r="A2" s="16" t="str">
        <f>IFERROR(__xludf.DUMMYFUNCTION("IMPORTRANGE(""https://docs.google.com/spreadsheets/d/19t-8ysKYq1PWSsu0pjRCgXGZzoknIxnty2xu7j6EgTM/edit?gid=89088449#gid=89088449"",""Braxtons Sales Tracker!A:H"")"),"")</f>
        <v/>
      </c>
      <c r="B2" s="16"/>
      <c r="C2" s="16"/>
      <c r="D2" s="16"/>
      <c r="E2" s="16"/>
      <c r="F2" s="16"/>
      <c r="G2" s="21">
        <f>IFERROR(__xludf.DUMMYFUNCTION("""COMPUTED_VALUE"""),0.02)</f>
        <v>0.02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>
      <c r="A3" s="24" t="str">
        <f>IFERROR(__xludf.DUMMYFUNCTION("""COMPUTED_VALUE"""),"RSR STOCK #")</f>
        <v>RSR STOCK #</v>
      </c>
      <c r="B3" s="24" t="str">
        <f>IFERROR(__xludf.DUMMYFUNCTION("""COMPUTED_VALUE"""),"UPC CODE")</f>
        <v>UPC CODE</v>
      </c>
      <c r="C3" s="24" t="str">
        <f>IFERROR(__xludf.DUMMYFUNCTION("""COMPUTED_VALUE"""),"DESCRIPTION")</f>
        <v>DESCRIPTION</v>
      </c>
      <c r="D3" s="24" t="str">
        <f>IFERROR(__xludf.DUMMYFUNCTION("""COMPUTED_VALUE"""),"Quanity")</f>
        <v>Quanity</v>
      </c>
      <c r="E3" s="27" t="str">
        <f>IFERROR(__xludf.DUMMYFUNCTION("""COMPUTED_VALUE"""),"Price Sold")</f>
        <v>Price Sold</v>
      </c>
      <c r="F3" s="27" t="str">
        <f>IFERROR(__xludf.DUMMYFUNCTION("""COMPUTED_VALUE"""),"Option Price")</f>
        <v>Option Price</v>
      </c>
      <c r="G3" s="27" t="str">
        <f>IFERROR(__xludf.DUMMYFUNCTION("""COMPUTED_VALUE"""),"Sales Commision")</f>
        <v>Sales Commision</v>
      </c>
      <c r="H3" s="27" t="str">
        <f>IFERROR(__xludf.DUMMYFUNCTION("""COMPUTED_VALUE"""),"Salesman")</f>
        <v>Salesman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>
      <c r="A4" s="30" t="str">
        <f>IFERROR(__xludf.DUMMYFUNCTION("""COMPUTED_VALUE"""),"HSAEMS-PRO-X2-RD")</f>
        <v>HSAEMS-PRO-X2-RD</v>
      </c>
      <c r="B4" s="30">
        <f>IFERROR(__xludf.DUMMYFUNCTION("""COMPUTED_VALUE"""),8.10047073741E11)</f>
        <v>810047073741</v>
      </c>
      <c r="C4" s="30" t="str">
        <f>IFERROR(__xludf.DUMMYFUNCTION("""COMPUTED_VALUE"""),"Holosun Technologies, AEMS X2 Pro, Red Dot, 2 MOA Dot with 65 MOA Circle, Fits 1913 Picatinny Rail, Lower 1/3 Mount, Black
")</f>
        <v>Holosun Technologies, AEMS X2 Pro, Red Dot, 2 MOA Dot with 65 MOA Circle, Fits 1913 Picatinny Rail, Lower 1/3 Mount, Black
</v>
      </c>
      <c r="D4" s="30">
        <f>IFERROR(__xludf.DUMMYFUNCTION("""COMPUTED_VALUE"""),1.0)</f>
        <v>1</v>
      </c>
      <c r="E4" s="34">
        <f>IFERROR(__xludf.DUMMYFUNCTION("""COMPUTED_VALUE"""),347.589)</f>
        <v>347.589</v>
      </c>
      <c r="F4" s="30"/>
      <c r="G4" s="34">
        <f>IFERROR(__xludf.DUMMYFUNCTION("""COMPUTED_VALUE"""),6.95178)</f>
        <v>6.95178</v>
      </c>
      <c r="H4" s="34" t="str">
        <f>IFERROR(__xludf.DUMMYFUNCTION("""COMPUTED_VALUE"""),"Braxton")</f>
        <v>Braxton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30" t="str">
        <f>IFERROR(__xludf.DUMMYFUNCTION("""COMPUTED_VALUE"""),"HSEPS-RD-MRS")</f>
        <v>HSEPS-RD-MRS</v>
      </c>
      <c r="B5" s="30">
        <f>IFERROR(__xludf.DUMMYFUNCTION("""COMPUTED_VALUE"""),8.10047071563E11)</f>
        <v>810047071563</v>
      </c>
      <c r="C5" s="30" t="str">
        <f>IFERROR(__xludf.DUMMYFUNCTION("""COMPUTED_VALUE"""),"Holosun Technologies, EPS MRS, Reflex Sight, Multiple Reticle, 32 MOA Circle, 2 MOA Red Dot, Aluminum Housing, Matte Finish, Black, Solar with Internal Battery
")</f>
        <v>Holosun Technologies, EPS MRS, Reflex Sight, Multiple Reticle, 32 MOA Circle, 2 MOA Red Dot, Aluminum Housing, Matte Finish, Black, Solar with Internal Battery
</v>
      </c>
      <c r="D5" s="30">
        <f>IFERROR(__xludf.DUMMYFUNCTION("""COMPUTED_VALUE"""),1.0)</f>
        <v>1</v>
      </c>
      <c r="E5" s="34">
        <f>IFERROR(__xludf.DUMMYFUNCTION("""COMPUTED_VALUE"""),347.589)</f>
        <v>347.589</v>
      </c>
      <c r="F5" s="30"/>
      <c r="G5" s="34">
        <f>IFERROR(__xludf.DUMMYFUNCTION("""COMPUTED_VALUE"""),6.95178)</f>
        <v>6.95178</v>
      </c>
      <c r="H5" s="34" t="str">
        <f>IFERROR(__xludf.DUMMYFUNCTION("""COMPUTED_VALUE"""),"Braxton")</f>
        <v>Braxton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30" t="str">
        <f>IFERROR(__xludf.DUMMYFUNCTION("""COMPUTED_VALUE"""),"MGMPI1182BLK")</f>
        <v>MGMPI1182BLK</v>
      </c>
      <c r="B6" s="30">
        <f>IFERROR(__xludf.DUMMYFUNCTION("""COMPUTED_VALUE"""),8.40815132233E11)</f>
        <v>840815132233</v>
      </c>
      <c r="C6" s="30" t="str">
        <f>IFERROR(__xludf.DUMMYFUNCTION("""COMPUTED_VALUE"""),"MAGPUL PMAG 20 AR 300 B GEN M3 BLK")</f>
        <v>MAGPUL PMAG 20 AR 300 B GEN M3 BLK</v>
      </c>
      <c r="D6" s="30">
        <f>IFERROR(__xludf.DUMMYFUNCTION("""COMPUTED_VALUE"""),1.0)</f>
        <v>1</v>
      </c>
      <c r="E6" s="34">
        <f>IFERROR(__xludf.DUMMYFUNCTION("""COMPUTED_VALUE"""),11.814)</f>
        <v>11.814</v>
      </c>
      <c r="F6" s="30"/>
      <c r="G6" s="34">
        <f>IFERROR(__xludf.DUMMYFUNCTION("""COMPUTED_VALUE"""),0.23628000000000002)</f>
        <v>0.23628</v>
      </c>
      <c r="H6" s="34" t="str">
        <f>IFERROR(__xludf.DUMMYFUNCTION("""COMPUTED_VALUE"""),"Braxton")</f>
        <v>Braxton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>
      <c r="A7" s="30" t="str">
        <f>IFERROR(__xludf.DUMMYFUNCTION("""COMPUTED_VALUE"""),"MGMPI800BLK")</f>
        <v>MGMPI800BLK</v>
      </c>
      <c r="B7" s="30">
        <f>IFERROR(__xludf.DUMMYFUNCTION("""COMPUTED_VALUE"""),8.40815117223E11)</f>
        <v>840815117223</v>
      </c>
      <c r="C7" s="30" t="str">
        <f>IFERROR(__xludf.DUMMYFUNCTION("""COMPUTED_VALUE"""),"MAGPUL PMAG M3 300BLK 30RD BLK")</f>
        <v>MAGPUL PMAG M3 300BLK 30RD BLK</v>
      </c>
      <c r="D7" s="30">
        <f>IFERROR(__xludf.DUMMYFUNCTION("""COMPUTED_VALUE"""),2.0)</f>
        <v>2</v>
      </c>
      <c r="E7" s="34">
        <f>IFERROR(__xludf.DUMMYFUNCTION("""COMPUTED_VALUE"""),11.341000000000001)</f>
        <v>11.341</v>
      </c>
      <c r="F7" s="30"/>
      <c r="G7" s="34">
        <f>IFERROR(__xludf.DUMMYFUNCTION("""COMPUTED_VALUE"""),0.45364000000000004)</f>
        <v>0.45364</v>
      </c>
      <c r="H7" s="34" t="str">
        <f>IFERROR(__xludf.DUMMYFUNCTION("""COMPUTED_VALUE"""),"Braxton")</f>
        <v>Braxton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>
      <c r="A8" s="30"/>
      <c r="B8" s="30" t="str">
        <f>IFERROR(__xludf.DUMMYFUNCTION("""COMPUTED_VALUE"""),"")</f>
        <v/>
      </c>
      <c r="C8" s="30" t="str">
        <f>IFERROR(__xludf.DUMMYFUNCTION("""COMPUTED_VALUE"""),"")</f>
        <v/>
      </c>
      <c r="D8" s="30"/>
      <c r="E8" s="34" t="str">
        <f>IFERROR(__xludf.DUMMYFUNCTION("""COMPUTED_VALUE"""),"")</f>
        <v/>
      </c>
      <c r="F8" s="30"/>
      <c r="G8" s="34" t="str">
        <f>IFERROR(__xludf.DUMMYFUNCTION("""COMPUTED_VALUE"""),"")</f>
        <v/>
      </c>
      <c r="H8" s="34" t="str">
        <f>IFERROR(__xludf.DUMMYFUNCTION("""COMPUTED_VALUE"""),"")</f>
        <v/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>
      <c r="A9" s="30"/>
      <c r="B9" s="30" t="str">
        <f>IFERROR(__xludf.DUMMYFUNCTION("""COMPUTED_VALUE"""),"")</f>
        <v/>
      </c>
      <c r="C9" s="30" t="str">
        <f>IFERROR(__xludf.DUMMYFUNCTION("""COMPUTED_VALUE"""),"")</f>
        <v/>
      </c>
      <c r="D9" s="30"/>
      <c r="E9" s="34" t="str">
        <f>IFERROR(__xludf.DUMMYFUNCTION("""COMPUTED_VALUE"""),"")</f>
        <v/>
      </c>
      <c r="F9" s="30"/>
      <c r="G9" s="34" t="str">
        <f>IFERROR(__xludf.DUMMYFUNCTION("""COMPUTED_VALUE"""),"")</f>
        <v/>
      </c>
      <c r="H9" s="34" t="str">
        <f>IFERROR(__xludf.DUMMYFUNCTION("""COMPUTED_VALUE"""),"")</f>
        <v/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>
      <c r="A10" s="30"/>
      <c r="B10" s="30" t="str">
        <f>IFERROR(__xludf.DUMMYFUNCTION("""COMPUTED_VALUE"""),"")</f>
        <v/>
      </c>
      <c r="C10" s="30" t="str">
        <f>IFERROR(__xludf.DUMMYFUNCTION("""COMPUTED_VALUE"""),"")</f>
        <v/>
      </c>
      <c r="D10" s="30"/>
      <c r="E10" s="34" t="str">
        <f>IFERROR(__xludf.DUMMYFUNCTION("""COMPUTED_VALUE"""),"")</f>
        <v/>
      </c>
      <c r="F10" s="30"/>
      <c r="G10" s="34" t="str">
        <f>IFERROR(__xludf.DUMMYFUNCTION("""COMPUTED_VALUE"""),"")</f>
        <v/>
      </c>
      <c r="H10" s="34" t="str">
        <f>IFERROR(__xludf.DUMMYFUNCTION("""COMPUTED_VALUE"""),"")</f>
        <v/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</row>
    <row r="11">
      <c r="A11" s="30"/>
      <c r="B11" s="30" t="str">
        <f>IFERROR(__xludf.DUMMYFUNCTION("""COMPUTED_VALUE"""),"")</f>
        <v/>
      </c>
      <c r="C11" s="30" t="str">
        <f>IFERROR(__xludf.DUMMYFUNCTION("""COMPUTED_VALUE"""),"")</f>
        <v/>
      </c>
      <c r="D11" s="30"/>
      <c r="E11" s="34" t="str">
        <f>IFERROR(__xludf.DUMMYFUNCTION("""COMPUTED_VALUE"""),"")</f>
        <v/>
      </c>
      <c r="F11" s="30"/>
      <c r="G11" s="34" t="str">
        <f>IFERROR(__xludf.DUMMYFUNCTION("""COMPUTED_VALUE"""),"")</f>
        <v/>
      </c>
      <c r="H11" s="34" t="str">
        <f>IFERROR(__xludf.DUMMYFUNCTION("""COMPUTED_VALUE"""),"")</f>
        <v/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>
      <c r="A12" s="30"/>
      <c r="B12" s="30" t="str">
        <f>IFERROR(__xludf.DUMMYFUNCTION("""COMPUTED_VALUE"""),"")</f>
        <v/>
      </c>
      <c r="C12" s="30" t="str">
        <f>IFERROR(__xludf.DUMMYFUNCTION("""COMPUTED_VALUE"""),"")</f>
        <v/>
      </c>
      <c r="D12" s="30"/>
      <c r="E12" s="34" t="str">
        <f>IFERROR(__xludf.DUMMYFUNCTION("""COMPUTED_VALUE"""),"")</f>
        <v/>
      </c>
      <c r="F12" s="30"/>
      <c r="G12" s="34" t="str">
        <f>IFERROR(__xludf.DUMMYFUNCTION("""COMPUTED_VALUE"""),"")</f>
        <v/>
      </c>
      <c r="H12" s="34" t="str">
        <f>IFERROR(__xludf.DUMMYFUNCTION("""COMPUTED_VALUE"""),"")</f>
        <v/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</row>
    <row r="13">
      <c r="A13" s="30"/>
      <c r="B13" s="30" t="str">
        <f>IFERROR(__xludf.DUMMYFUNCTION("""COMPUTED_VALUE"""),"")</f>
        <v/>
      </c>
      <c r="C13" s="30" t="str">
        <f>IFERROR(__xludf.DUMMYFUNCTION("""COMPUTED_VALUE"""),"")</f>
        <v/>
      </c>
      <c r="D13" s="30"/>
      <c r="E13" s="34" t="str">
        <f>IFERROR(__xludf.DUMMYFUNCTION("""COMPUTED_VALUE"""),"")</f>
        <v/>
      </c>
      <c r="F13" s="30"/>
      <c r="G13" s="34" t="str">
        <f>IFERROR(__xludf.DUMMYFUNCTION("""COMPUTED_VALUE"""),"")</f>
        <v/>
      </c>
      <c r="H13" s="34" t="str">
        <f>IFERROR(__xludf.DUMMYFUNCTION("""COMPUTED_VALUE"""),"")</f>
        <v/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>
      <c r="A14" s="30"/>
      <c r="B14" s="30" t="str">
        <f>IFERROR(__xludf.DUMMYFUNCTION("""COMPUTED_VALUE"""),"")</f>
        <v/>
      </c>
      <c r="C14" s="30" t="str">
        <f>IFERROR(__xludf.DUMMYFUNCTION("""COMPUTED_VALUE"""),"")</f>
        <v/>
      </c>
      <c r="D14" s="30"/>
      <c r="E14" s="34" t="str">
        <f>IFERROR(__xludf.DUMMYFUNCTION("""COMPUTED_VALUE"""),"")</f>
        <v/>
      </c>
      <c r="F14" s="30"/>
      <c r="G14" s="34" t="str">
        <f>IFERROR(__xludf.DUMMYFUNCTION("""COMPUTED_VALUE"""),"")</f>
        <v/>
      </c>
      <c r="H14" s="34" t="str">
        <f>IFERROR(__xludf.DUMMYFUNCTION("""COMPUTED_VALUE"""),"")</f>
        <v/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>
      <c r="A15" s="30"/>
      <c r="B15" s="30" t="str">
        <f>IFERROR(__xludf.DUMMYFUNCTION("""COMPUTED_VALUE"""),"")</f>
        <v/>
      </c>
      <c r="C15" s="30" t="str">
        <f>IFERROR(__xludf.DUMMYFUNCTION("""COMPUTED_VALUE"""),"")</f>
        <v/>
      </c>
      <c r="D15" s="30"/>
      <c r="E15" s="34" t="str">
        <f>IFERROR(__xludf.DUMMYFUNCTION("""COMPUTED_VALUE"""),"")</f>
        <v/>
      </c>
      <c r="F15" s="30"/>
      <c r="G15" s="34" t="str">
        <f>IFERROR(__xludf.DUMMYFUNCTION("""COMPUTED_VALUE"""),"")</f>
        <v/>
      </c>
      <c r="H15" s="34" t="str">
        <f>IFERROR(__xludf.DUMMYFUNCTION("""COMPUTED_VALUE"""),"")</f>
        <v/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>
      <c r="A16" s="30"/>
      <c r="B16" s="30" t="str">
        <f>IFERROR(__xludf.DUMMYFUNCTION("""COMPUTED_VALUE"""),"")</f>
        <v/>
      </c>
      <c r="C16" s="30" t="str">
        <f>IFERROR(__xludf.DUMMYFUNCTION("""COMPUTED_VALUE"""),"")</f>
        <v/>
      </c>
      <c r="D16" s="30"/>
      <c r="E16" s="34" t="str">
        <f>IFERROR(__xludf.DUMMYFUNCTION("""COMPUTED_VALUE"""),"")</f>
        <v/>
      </c>
      <c r="F16" s="30"/>
      <c r="G16" s="34" t="str">
        <f>IFERROR(__xludf.DUMMYFUNCTION("""COMPUTED_VALUE"""),"")</f>
        <v/>
      </c>
      <c r="H16" s="34" t="str">
        <f>IFERROR(__xludf.DUMMYFUNCTION("""COMPUTED_VALUE"""),"")</f>
        <v/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>
      <c r="A17" s="30"/>
      <c r="B17" s="30" t="str">
        <f>IFERROR(__xludf.DUMMYFUNCTION("""COMPUTED_VALUE"""),"")</f>
        <v/>
      </c>
      <c r="C17" s="30" t="str">
        <f>IFERROR(__xludf.DUMMYFUNCTION("""COMPUTED_VALUE"""),"")</f>
        <v/>
      </c>
      <c r="D17" s="30"/>
      <c r="E17" s="34" t="str">
        <f>IFERROR(__xludf.DUMMYFUNCTION("""COMPUTED_VALUE"""),"")</f>
        <v/>
      </c>
      <c r="F17" s="30"/>
      <c r="G17" s="34" t="str">
        <f>IFERROR(__xludf.DUMMYFUNCTION("""COMPUTED_VALUE"""),"")</f>
        <v/>
      </c>
      <c r="H17" s="34" t="str">
        <f>IFERROR(__xludf.DUMMYFUNCTION("""COMPUTED_VALUE"""),"")</f>
        <v/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</row>
    <row r="18">
      <c r="A18" s="30"/>
      <c r="B18" s="30" t="str">
        <f>IFERROR(__xludf.DUMMYFUNCTION("""COMPUTED_VALUE"""),"")</f>
        <v/>
      </c>
      <c r="C18" s="30" t="str">
        <f>IFERROR(__xludf.DUMMYFUNCTION("""COMPUTED_VALUE"""),"")</f>
        <v/>
      </c>
      <c r="D18" s="30"/>
      <c r="E18" s="34" t="str">
        <f>IFERROR(__xludf.DUMMYFUNCTION("""COMPUTED_VALUE"""),"")</f>
        <v/>
      </c>
      <c r="F18" s="30"/>
      <c r="G18" s="34" t="str">
        <f>IFERROR(__xludf.DUMMYFUNCTION("""COMPUTED_VALUE"""),"")</f>
        <v/>
      </c>
      <c r="H18" s="34" t="str">
        <f>IFERROR(__xludf.DUMMYFUNCTION("""COMPUTED_VALUE"""),"")</f>
        <v/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</row>
    <row r="19">
      <c r="A19" s="30"/>
      <c r="B19" s="30" t="str">
        <f>IFERROR(__xludf.DUMMYFUNCTION("""COMPUTED_VALUE"""),"")</f>
        <v/>
      </c>
      <c r="C19" s="30" t="str">
        <f>IFERROR(__xludf.DUMMYFUNCTION("""COMPUTED_VALUE"""),"")</f>
        <v/>
      </c>
      <c r="D19" s="30"/>
      <c r="E19" s="34" t="str">
        <f>IFERROR(__xludf.DUMMYFUNCTION("""COMPUTED_VALUE"""),"")</f>
        <v/>
      </c>
      <c r="F19" s="30"/>
      <c r="G19" s="34" t="str">
        <f>IFERROR(__xludf.DUMMYFUNCTION("""COMPUTED_VALUE"""),"")</f>
        <v/>
      </c>
      <c r="H19" s="34" t="str">
        <f>IFERROR(__xludf.DUMMYFUNCTION("""COMPUTED_VALUE"""),"")</f>
        <v/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</row>
    <row r="20">
      <c r="A20" s="30"/>
      <c r="B20" s="30" t="str">
        <f>IFERROR(__xludf.DUMMYFUNCTION("""COMPUTED_VALUE"""),"")</f>
        <v/>
      </c>
      <c r="C20" s="30" t="str">
        <f>IFERROR(__xludf.DUMMYFUNCTION("""COMPUTED_VALUE"""),"")</f>
        <v/>
      </c>
      <c r="D20" s="30"/>
      <c r="E20" s="34" t="str">
        <f>IFERROR(__xludf.DUMMYFUNCTION("""COMPUTED_VALUE"""),"")</f>
        <v/>
      </c>
      <c r="F20" s="30"/>
      <c r="G20" s="34" t="str">
        <f>IFERROR(__xludf.DUMMYFUNCTION("""COMPUTED_VALUE"""),"")</f>
        <v/>
      </c>
      <c r="H20" s="34" t="str">
        <f>IFERROR(__xludf.DUMMYFUNCTION("""COMPUTED_VALUE"""),"")</f>
        <v/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>
      <c r="A21" s="30"/>
      <c r="B21" s="30" t="str">
        <f>IFERROR(__xludf.DUMMYFUNCTION("""COMPUTED_VALUE"""),"")</f>
        <v/>
      </c>
      <c r="C21" s="30" t="str">
        <f>IFERROR(__xludf.DUMMYFUNCTION("""COMPUTED_VALUE"""),"")</f>
        <v/>
      </c>
      <c r="D21" s="30"/>
      <c r="E21" s="34" t="str">
        <f>IFERROR(__xludf.DUMMYFUNCTION("""COMPUTED_VALUE"""),"")</f>
        <v/>
      </c>
      <c r="F21" s="30"/>
      <c r="G21" s="34" t="str">
        <f>IFERROR(__xludf.DUMMYFUNCTION("""COMPUTED_VALUE"""),"")</f>
        <v/>
      </c>
      <c r="H21" s="34" t="str">
        <f>IFERROR(__xludf.DUMMYFUNCTION("""COMPUTED_VALUE"""),"")</f>
        <v/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>
      <c r="A22" s="30"/>
      <c r="B22" s="30" t="str">
        <f>IFERROR(__xludf.DUMMYFUNCTION("""COMPUTED_VALUE"""),"")</f>
        <v/>
      </c>
      <c r="C22" s="30" t="str">
        <f>IFERROR(__xludf.DUMMYFUNCTION("""COMPUTED_VALUE"""),"")</f>
        <v/>
      </c>
      <c r="D22" s="30"/>
      <c r="E22" s="34" t="str">
        <f>IFERROR(__xludf.DUMMYFUNCTION("""COMPUTED_VALUE"""),"")</f>
        <v/>
      </c>
      <c r="F22" s="30"/>
      <c r="G22" s="34" t="str">
        <f>IFERROR(__xludf.DUMMYFUNCTION("""COMPUTED_VALUE"""),"")</f>
        <v/>
      </c>
      <c r="H22" s="34" t="str">
        <f>IFERROR(__xludf.DUMMYFUNCTION("""COMPUTED_VALUE"""),"")</f>
        <v/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>
      <c r="A23" s="30"/>
      <c r="B23" s="30" t="str">
        <f>IFERROR(__xludf.DUMMYFUNCTION("""COMPUTED_VALUE"""),"")</f>
        <v/>
      </c>
      <c r="C23" s="30" t="str">
        <f>IFERROR(__xludf.DUMMYFUNCTION("""COMPUTED_VALUE"""),"")</f>
        <v/>
      </c>
      <c r="D23" s="30"/>
      <c r="E23" s="34" t="str">
        <f>IFERROR(__xludf.DUMMYFUNCTION("""COMPUTED_VALUE"""),"")</f>
        <v/>
      </c>
      <c r="F23" s="30"/>
      <c r="G23" s="34" t="str">
        <f>IFERROR(__xludf.DUMMYFUNCTION("""COMPUTED_VALUE"""),"")</f>
        <v/>
      </c>
      <c r="H23" s="34" t="str">
        <f>IFERROR(__xludf.DUMMYFUNCTION("""COMPUTED_VALUE"""),"")</f>
        <v/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>
      <c r="A24" s="30"/>
      <c r="B24" s="30" t="str">
        <f>IFERROR(__xludf.DUMMYFUNCTION("""COMPUTED_VALUE"""),"")</f>
        <v/>
      </c>
      <c r="C24" s="30" t="str">
        <f>IFERROR(__xludf.DUMMYFUNCTION("""COMPUTED_VALUE"""),"")</f>
        <v/>
      </c>
      <c r="D24" s="30"/>
      <c r="E24" s="34" t="str">
        <f>IFERROR(__xludf.DUMMYFUNCTION("""COMPUTED_VALUE"""),"")</f>
        <v/>
      </c>
      <c r="F24" s="30"/>
      <c r="G24" s="34" t="str">
        <f>IFERROR(__xludf.DUMMYFUNCTION("""COMPUTED_VALUE"""),"")</f>
        <v/>
      </c>
      <c r="H24" s="34" t="str">
        <f>IFERROR(__xludf.DUMMYFUNCTION("""COMPUTED_VALUE"""),"")</f>
        <v/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>
      <c r="A25" s="30"/>
      <c r="B25" s="30" t="str">
        <f>IFERROR(__xludf.DUMMYFUNCTION("""COMPUTED_VALUE"""),"")</f>
        <v/>
      </c>
      <c r="C25" s="30" t="str">
        <f>IFERROR(__xludf.DUMMYFUNCTION("""COMPUTED_VALUE"""),"")</f>
        <v/>
      </c>
      <c r="D25" s="30"/>
      <c r="E25" s="34" t="str">
        <f>IFERROR(__xludf.DUMMYFUNCTION("""COMPUTED_VALUE"""),"")</f>
        <v/>
      </c>
      <c r="F25" s="30"/>
      <c r="G25" s="34" t="str">
        <f>IFERROR(__xludf.DUMMYFUNCTION("""COMPUTED_VALUE"""),"")</f>
        <v/>
      </c>
      <c r="H25" s="34" t="str">
        <f>IFERROR(__xludf.DUMMYFUNCTION("""COMPUTED_VALUE"""),"")</f>
        <v/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>
      <c r="A26" s="30"/>
      <c r="B26" s="30" t="str">
        <f>IFERROR(__xludf.DUMMYFUNCTION("""COMPUTED_VALUE"""),"")</f>
        <v/>
      </c>
      <c r="C26" s="30" t="str">
        <f>IFERROR(__xludf.DUMMYFUNCTION("""COMPUTED_VALUE"""),"")</f>
        <v/>
      </c>
      <c r="D26" s="30"/>
      <c r="E26" s="34" t="str">
        <f>IFERROR(__xludf.DUMMYFUNCTION("""COMPUTED_VALUE"""),"")</f>
        <v/>
      </c>
      <c r="F26" s="30"/>
      <c r="G26" s="34" t="str">
        <f>IFERROR(__xludf.DUMMYFUNCTION("""COMPUTED_VALUE"""),"")</f>
        <v/>
      </c>
      <c r="H26" s="34" t="str">
        <f>IFERROR(__xludf.DUMMYFUNCTION("""COMPUTED_VALUE"""),"")</f>
        <v/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>
      <c r="A27" s="30"/>
      <c r="B27" s="30" t="str">
        <f>IFERROR(__xludf.DUMMYFUNCTION("""COMPUTED_VALUE"""),"")</f>
        <v/>
      </c>
      <c r="C27" s="30" t="str">
        <f>IFERROR(__xludf.DUMMYFUNCTION("""COMPUTED_VALUE"""),"")</f>
        <v/>
      </c>
      <c r="D27" s="30"/>
      <c r="E27" s="34" t="str">
        <f>IFERROR(__xludf.DUMMYFUNCTION("""COMPUTED_VALUE"""),"")</f>
        <v/>
      </c>
      <c r="F27" s="30"/>
      <c r="G27" s="34" t="str">
        <f>IFERROR(__xludf.DUMMYFUNCTION("""COMPUTED_VALUE"""),"")</f>
        <v/>
      </c>
      <c r="H27" s="34" t="str">
        <f>IFERROR(__xludf.DUMMYFUNCTION("""COMPUTED_VALUE"""),"")</f>
        <v/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>
      <c r="A28" s="30"/>
      <c r="B28" s="30" t="str">
        <f>IFERROR(__xludf.DUMMYFUNCTION("""COMPUTED_VALUE"""),"")</f>
        <v/>
      </c>
      <c r="C28" s="30" t="str">
        <f>IFERROR(__xludf.DUMMYFUNCTION("""COMPUTED_VALUE"""),"")</f>
        <v/>
      </c>
      <c r="D28" s="30"/>
      <c r="E28" s="34" t="str">
        <f>IFERROR(__xludf.DUMMYFUNCTION("""COMPUTED_VALUE"""),"")</f>
        <v/>
      </c>
      <c r="F28" s="30"/>
      <c r="G28" s="34" t="str">
        <f>IFERROR(__xludf.DUMMYFUNCTION("""COMPUTED_VALUE"""),"")</f>
        <v/>
      </c>
      <c r="H28" s="34" t="str">
        <f>IFERROR(__xludf.DUMMYFUNCTION("""COMPUTED_VALUE"""),"")</f>
        <v/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>
      <c r="A29" s="30"/>
      <c r="B29" s="30" t="str">
        <f>IFERROR(__xludf.DUMMYFUNCTION("""COMPUTED_VALUE"""),"")</f>
        <v/>
      </c>
      <c r="C29" s="30" t="str">
        <f>IFERROR(__xludf.DUMMYFUNCTION("""COMPUTED_VALUE"""),"")</f>
        <v/>
      </c>
      <c r="D29" s="30"/>
      <c r="E29" s="34" t="str">
        <f>IFERROR(__xludf.DUMMYFUNCTION("""COMPUTED_VALUE"""),"")</f>
        <v/>
      </c>
      <c r="F29" s="30"/>
      <c r="G29" s="34" t="str">
        <f>IFERROR(__xludf.DUMMYFUNCTION("""COMPUTED_VALUE"""),"")</f>
        <v/>
      </c>
      <c r="H29" s="34" t="str">
        <f>IFERROR(__xludf.DUMMYFUNCTION("""COMPUTED_VALUE"""),"")</f>
        <v/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>
      <c r="A30" s="30"/>
      <c r="B30" s="30" t="str">
        <f>IFERROR(__xludf.DUMMYFUNCTION("""COMPUTED_VALUE"""),"")</f>
        <v/>
      </c>
      <c r="C30" s="30" t="str">
        <f>IFERROR(__xludf.DUMMYFUNCTION("""COMPUTED_VALUE"""),"")</f>
        <v/>
      </c>
      <c r="D30" s="30"/>
      <c r="E30" s="34" t="str">
        <f>IFERROR(__xludf.DUMMYFUNCTION("""COMPUTED_VALUE"""),"")</f>
        <v/>
      </c>
      <c r="F30" s="30"/>
      <c r="G30" s="34" t="str">
        <f>IFERROR(__xludf.DUMMYFUNCTION("""COMPUTED_VALUE"""),"")</f>
        <v/>
      </c>
      <c r="H30" s="34" t="str">
        <f>IFERROR(__xludf.DUMMYFUNCTION("""COMPUTED_VALUE"""),"")</f>
        <v/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>
      <c r="A31" s="30"/>
      <c r="B31" s="30" t="str">
        <f>IFERROR(__xludf.DUMMYFUNCTION("""COMPUTED_VALUE"""),"")</f>
        <v/>
      </c>
      <c r="C31" s="30" t="str">
        <f>IFERROR(__xludf.DUMMYFUNCTION("""COMPUTED_VALUE"""),"")</f>
        <v/>
      </c>
      <c r="D31" s="30"/>
      <c r="E31" s="34" t="str">
        <f>IFERROR(__xludf.DUMMYFUNCTION("""COMPUTED_VALUE"""),"")</f>
        <v/>
      </c>
      <c r="F31" s="30"/>
      <c r="G31" s="34" t="str">
        <f>IFERROR(__xludf.DUMMYFUNCTION("""COMPUTED_VALUE"""),"")</f>
        <v/>
      </c>
      <c r="H31" s="34" t="str">
        <f>IFERROR(__xludf.DUMMYFUNCTION("""COMPUTED_VALUE"""),"")</f>
        <v/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>
      <c r="A32" s="30"/>
      <c r="B32" s="30" t="str">
        <f>IFERROR(__xludf.DUMMYFUNCTION("""COMPUTED_VALUE"""),"")</f>
        <v/>
      </c>
      <c r="C32" s="30" t="str">
        <f>IFERROR(__xludf.DUMMYFUNCTION("""COMPUTED_VALUE"""),"")</f>
        <v/>
      </c>
      <c r="D32" s="30"/>
      <c r="E32" s="34" t="str">
        <f>IFERROR(__xludf.DUMMYFUNCTION("""COMPUTED_VALUE"""),"")</f>
        <v/>
      </c>
      <c r="F32" s="30"/>
      <c r="G32" s="34" t="str">
        <f>IFERROR(__xludf.DUMMYFUNCTION("""COMPUTED_VALUE"""),"")</f>
        <v/>
      </c>
      <c r="H32" s="34" t="str">
        <f>IFERROR(__xludf.DUMMYFUNCTION("""COMPUTED_VALUE"""),"")</f>
        <v/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</row>
    <row r="33">
      <c r="A33" s="30"/>
      <c r="B33" s="30" t="str">
        <f>IFERROR(__xludf.DUMMYFUNCTION("""COMPUTED_VALUE"""),"")</f>
        <v/>
      </c>
      <c r="C33" s="30" t="str">
        <f>IFERROR(__xludf.DUMMYFUNCTION("""COMPUTED_VALUE"""),"")</f>
        <v/>
      </c>
      <c r="D33" s="30"/>
      <c r="E33" s="34" t="str">
        <f>IFERROR(__xludf.DUMMYFUNCTION("""COMPUTED_VALUE"""),"")</f>
        <v/>
      </c>
      <c r="F33" s="30"/>
      <c r="G33" s="34" t="str">
        <f>IFERROR(__xludf.DUMMYFUNCTION("""COMPUTED_VALUE"""),"")</f>
        <v/>
      </c>
      <c r="H33" s="34" t="str">
        <f>IFERROR(__xludf.DUMMYFUNCTION("""COMPUTED_VALUE"""),"")</f>
        <v/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>
      <c r="A34" s="30"/>
      <c r="B34" s="30" t="str">
        <f>IFERROR(__xludf.DUMMYFUNCTION("""COMPUTED_VALUE"""),"")</f>
        <v/>
      </c>
      <c r="C34" s="30" t="str">
        <f>IFERROR(__xludf.DUMMYFUNCTION("""COMPUTED_VALUE"""),"")</f>
        <v/>
      </c>
      <c r="D34" s="30"/>
      <c r="E34" s="34" t="str">
        <f>IFERROR(__xludf.DUMMYFUNCTION("""COMPUTED_VALUE"""),"")</f>
        <v/>
      </c>
      <c r="F34" s="30"/>
      <c r="G34" s="34" t="str">
        <f>IFERROR(__xludf.DUMMYFUNCTION("""COMPUTED_VALUE"""),"")</f>
        <v/>
      </c>
      <c r="H34" s="34" t="str">
        <f>IFERROR(__xludf.DUMMYFUNCTION("""COMPUTED_VALUE"""),"")</f>
        <v/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</row>
    <row r="35">
      <c r="A35" s="30"/>
      <c r="B35" s="30" t="str">
        <f>IFERROR(__xludf.DUMMYFUNCTION("""COMPUTED_VALUE"""),"")</f>
        <v/>
      </c>
      <c r="C35" s="30" t="str">
        <f>IFERROR(__xludf.DUMMYFUNCTION("""COMPUTED_VALUE"""),"")</f>
        <v/>
      </c>
      <c r="D35" s="30"/>
      <c r="E35" s="34" t="str">
        <f>IFERROR(__xludf.DUMMYFUNCTION("""COMPUTED_VALUE"""),"")</f>
        <v/>
      </c>
      <c r="F35" s="30"/>
      <c r="G35" s="34" t="str">
        <f>IFERROR(__xludf.DUMMYFUNCTION("""COMPUTED_VALUE"""),"")</f>
        <v/>
      </c>
      <c r="H35" s="34" t="str">
        <f>IFERROR(__xludf.DUMMYFUNCTION("""COMPUTED_VALUE"""),"")</f>
        <v/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</row>
    <row r="36">
      <c r="A36" s="30"/>
      <c r="B36" s="30" t="str">
        <f>IFERROR(__xludf.DUMMYFUNCTION("""COMPUTED_VALUE"""),"")</f>
        <v/>
      </c>
      <c r="C36" s="30" t="str">
        <f>IFERROR(__xludf.DUMMYFUNCTION("""COMPUTED_VALUE"""),"")</f>
        <v/>
      </c>
      <c r="D36" s="30"/>
      <c r="E36" s="34" t="str">
        <f>IFERROR(__xludf.DUMMYFUNCTION("""COMPUTED_VALUE"""),"")</f>
        <v/>
      </c>
      <c r="F36" s="30"/>
      <c r="G36" s="34" t="str">
        <f>IFERROR(__xludf.DUMMYFUNCTION("""COMPUTED_VALUE"""),"")</f>
        <v/>
      </c>
      <c r="H36" s="34" t="str">
        <f>IFERROR(__xludf.DUMMYFUNCTION("""COMPUTED_VALUE"""),"")</f>
        <v/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</row>
    <row r="37">
      <c r="A37" s="30"/>
      <c r="B37" s="30" t="str">
        <f>IFERROR(__xludf.DUMMYFUNCTION("""COMPUTED_VALUE"""),"")</f>
        <v/>
      </c>
      <c r="C37" s="30" t="str">
        <f>IFERROR(__xludf.DUMMYFUNCTION("""COMPUTED_VALUE"""),"")</f>
        <v/>
      </c>
      <c r="D37" s="30"/>
      <c r="E37" s="34" t="str">
        <f>IFERROR(__xludf.DUMMYFUNCTION("""COMPUTED_VALUE"""),"")</f>
        <v/>
      </c>
      <c r="F37" s="30"/>
      <c r="G37" s="34" t="str">
        <f>IFERROR(__xludf.DUMMYFUNCTION("""COMPUTED_VALUE"""),"")</f>
        <v/>
      </c>
      <c r="H37" s="34" t="str">
        <f>IFERROR(__xludf.DUMMYFUNCTION("""COMPUTED_VALUE"""),"")</f>
        <v/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</row>
    <row r="38">
      <c r="A38" s="30"/>
      <c r="B38" s="30" t="str">
        <f>IFERROR(__xludf.DUMMYFUNCTION("""COMPUTED_VALUE"""),"")</f>
        <v/>
      </c>
      <c r="C38" s="30" t="str">
        <f>IFERROR(__xludf.DUMMYFUNCTION("""COMPUTED_VALUE"""),"")</f>
        <v/>
      </c>
      <c r="D38" s="30"/>
      <c r="E38" s="34" t="str">
        <f>IFERROR(__xludf.DUMMYFUNCTION("""COMPUTED_VALUE"""),"")</f>
        <v/>
      </c>
      <c r="F38" s="30"/>
      <c r="G38" s="34" t="str">
        <f>IFERROR(__xludf.DUMMYFUNCTION("""COMPUTED_VALUE"""),"")</f>
        <v/>
      </c>
      <c r="H38" s="34" t="str">
        <f>IFERROR(__xludf.DUMMYFUNCTION("""COMPUTED_VALUE"""),"")</f>
        <v/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</row>
    <row r="39">
      <c r="A39" s="30"/>
      <c r="B39" s="30" t="str">
        <f>IFERROR(__xludf.DUMMYFUNCTION("""COMPUTED_VALUE"""),"")</f>
        <v/>
      </c>
      <c r="C39" s="30" t="str">
        <f>IFERROR(__xludf.DUMMYFUNCTION("""COMPUTED_VALUE"""),"")</f>
        <v/>
      </c>
      <c r="D39" s="30"/>
      <c r="E39" s="34" t="str">
        <f>IFERROR(__xludf.DUMMYFUNCTION("""COMPUTED_VALUE"""),"")</f>
        <v/>
      </c>
      <c r="F39" s="30"/>
      <c r="G39" s="34" t="str">
        <f>IFERROR(__xludf.DUMMYFUNCTION("""COMPUTED_VALUE"""),"")</f>
        <v/>
      </c>
      <c r="H39" s="34" t="str">
        <f>IFERROR(__xludf.DUMMYFUNCTION("""COMPUTED_VALUE"""),"")</f>
        <v/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</row>
    <row r="40">
      <c r="A40" s="30"/>
      <c r="B40" s="30" t="str">
        <f>IFERROR(__xludf.DUMMYFUNCTION("""COMPUTED_VALUE"""),"")</f>
        <v/>
      </c>
      <c r="C40" s="30" t="str">
        <f>IFERROR(__xludf.DUMMYFUNCTION("""COMPUTED_VALUE"""),"")</f>
        <v/>
      </c>
      <c r="D40" s="30"/>
      <c r="E40" s="34" t="str">
        <f>IFERROR(__xludf.DUMMYFUNCTION("""COMPUTED_VALUE"""),"")</f>
        <v/>
      </c>
      <c r="F40" s="30"/>
      <c r="G40" s="34" t="str">
        <f>IFERROR(__xludf.DUMMYFUNCTION("""COMPUTED_VALUE"""),"")</f>
        <v/>
      </c>
      <c r="H40" s="34" t="str">
        <f>IFERROR(__xludf.DUMMYFUNCTION("""COMPUTED_VALUE"""),"")</f>
        <v/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</row>
    <row r="41">
      <c r="A41" s="30"/>
      <c r="B41" s="30" t="str">
        <f>IFERROR(__xludf.DUMMYFUNCTION("""COMPUTED_VALUE"""),"")</f>
        <v/>
      </c>
      <c r="C41" s="30" t="str">
        <f>IFERROR(__xludf.DUMMYFUNCTION("""COMPUTED_VALUE"""),"")</f>
        <v/>
      </c>
      <c r="D41" s="30"/>
      <c r="E41" s="34" t="str">
        <f>IFERROR(__xludf.DUMMYFUNCTION("""COMPUTED_VALUE"""),"")</f>
        <v/>
      </c>
      <c r="F41" s="30"/>
      <c r="G41" s="34" t="str">
        <f>IFERROR(__xludf.DUMMYFUNCTION("""COMPUTED_VALUE"""),"")</f>
        <v/>
      </c>
      <c r="H41" s="34" t="str">
        <f>IFERROR(__xludf.DUMMYFUNCTION("""COMPUTED_VALUE"""),"")</f>
        <v/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>
      <c r="A42" s="30"/>
      <c r="B42" s="30" t="str">
        <f>IFERROR(__xludf.DUMMYFUNCTION("""COMPUTED_VALUE"""),"")</f>
        <v/>
      </c>
      <c r="C42" s="30" t="str">
        <f>IFERROR(__xludf.DUMMYFUNCTION("""COMPUTED_VALUE"""),"")</f>
        <v/>
      </c>
      <c r="D42" s="30"/>
      <c r="E42" s="34" t="str">
        <f>IFERROR(__xludf.DUMMYFUNCTION("""COMPUTED_VALUE"""),"")</f>
        <v/>
      </c>
      <c r="F42" s="30"/>
      <c r="G42" s="34" t="str">
        <f>IFERROR(__xludf.DUMMYFUNCTION("""COMPUTED_VALUE"""),"")</f>
        <v/>
      </c>
      <c r="H42" s="34" t="str">
        <f>IFERROR(__xludf.DUMMYFUNCTION("""COMPUTED_VALUE"""),"")</f>
        <v/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</row>
    <row r="43">
      <c r="A43" s="30"/>
      <c r="B43" s="30" t="str">
        <f>IFERROR(__xludf.DUMMYFUNCTION("""COMPUTED_VALUE"""),"")</f>
        <v/>
      </c>
      <c r="C43" s="30" t="str">
        <f>IFERROR(__xludf.DUMMYFUNCTION("""COMPUTED_VALUE"""),"")</f>
        <v/>
      </c>
      <c r="D43" s="30"/>
      <c r="E43" s="34" t="str">
        <f>IFERROR(__xludf.DUMMYFUNCTION("""COMPUTED_VALUE"""),"")</f>
        <v/>
      </c>
      <c r="F43" s="30"/>
      <c r="G43" s="34" t="str">
        <f>IFERROR(__xludf.DUMMYFUNCTION("""COMPUTED_VALUE"""),"")</f>
        <v/>
      </c>
      <c r="H43" s="34" t="str">
        <f>IFERROR(__xludf.DUMMYFUNCTION("""COMPUTED_VALUE"""),"")</f>
        <v/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</row>
    <row r="44">
      <c r="A44" s="30"/>
      <c r="B44" s="30" t="str">
        <f>IFERROR(__xludf.DUMMYFUNCTION("""COMPUTED_VALUE"""),"")</f>
        <v/>
      </c>
      <c r="C44" s="30" t="str">
        <f>IFERROR(__xludf.DUMMYFUNCTION("""COMPUTED_VALUE"""),"")</f>
        <v/>
      </c>
      <c r="D44" s="30"/>
      <c r="E44" s="34" t="str">
        <f>IFERROR(__xludf.DUMMYFUNCTION("""COMPUTED_VALUE"""),"")</f>
        <v/>
      </c>
      <c r="F44" s="30"/>
      <c r="G44" s="34" t="str">
        <f>IFERROR(__xludf.DUMMYFUNCTION("""COMPUTED_VALUE"""),"")</f>
        <v/>
      </c>
      <c r="H44" s="34" t="str">
        <f>IFERROR(__xludf.DUMMYFUNCTION("""COMPUTED_VALUE"""),"")</f>
        <v/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</row>
    <row r="45">
      <c r="A45" s="30"/>
      <c r="B45" s="30" t="str">
        <f>IFERROR(__xludf.DUMMYFUNCTION("""COMPUTED_VALUE"""),"")</f>
        <v/>
      </c>
      <c r="C45" s="30" t="str">
        <f>IFERROR(__xludf.DUMMYFUNCTION("""COMPUTED_VALUE"""),"")</f>
        <v/>
      </c>
      <c r="D45" s="30"/>
      <c r="E45" s="34" t="str">
        <f>IFERROR(__xludf.DUMMYFUNCTION("""COMPUTED_VALUE"""),"")</f>
        <v/>
      </c>
      <c r="F45" s="30"/>
      <c r="G45" s="34" t="str">
        <f>IFERROR(__xludf.DUMMYFUNCTION("""COMPUTED_VALUE"""),"")</f>
        <v/>
      </c>
      <c r="H45" s="34" t="str">
        <f>IFERROR(__xludf.DUMMYFUNCTION("""COMPUTED_VALUE"""),"")</f>
        <v/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</row>
    <row r="46">
      <c r="A46" s="30"/>
      <c r="B46" s="30" t="str">
        <f>IFERROR(__xludf.DUMMYFUNCTION("""COMPUTED_VALUE"""),"")</f>
        <v/>
      </c>
      <c r="C46" s="30" t="str">
        <f>IFERROR(__xludf.DUMMYFUNCTION("""COMPUTED_VALUE"""),"")</f>
        <v/>
      </c>
      <c r="D46" s="30"/>
      <c r="E46" s="34" t="str">
        <f>IFERROR(__xludf.DUMMYFUNCTION("""COMPUTED_VALUE"""),"")</f>
        <v/>
      </c>
      <c r="F46" s="30"/>
      <c r="G46" s="34" t="str">
        <f>IFERROR(__xludf.DUMMYFUNCTION("""COMPUTED_VALUE"""),"")</f>
        <v/>
      </c>
      <c r="H46" s="34" t="str">
        <f>IFERROR(__xludf.DUMMYFUNCTION("""COMPUTED_VALUE"""),"")</f>
        <v/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7">
      <c r="A47" s="30"/>
      <c r="B47" s="30" t="str">
        <f>IFERROR(__xludf.DUMMYFUNCTION("""COMPUTED_VALUE"""),"")</f>
        <v/>
      </c>
      <c r="C47" s="30" t="str">
        <f>IFERROR(__xludf.DUMMYFUNCTION("""COMPUTED_VALUE"""),"")</f>
        <v/>
      </c>
      <c r="D47" s="30"/>
      <c r="E47" s="34" t="str">
        <f>IFERROR(__xludf.DUMMYFUNCTION("""COMPUTED_VALUE"""),"")</f>
        <v/>
      </c>
      <c r="F47" s="30"/>
      <c r="G47" s="34" t="str">
        <f>IFERROR(__xludf.DUMMYFUNCTION("""COMPUTED_VALUE"""),"")</f>
        <v/>
      </c>
      <c r="H47" s="34" t="str">
        <f>IFERROR(__xludf.DUMMYFUNCTION("""COMPUTED_VALUE"""),"")</f>
        <v/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</row>
    <row r="48">
      <c r="A48" s="30"/>
      <c r="B48" s="30" t="str">
        <f>IFERROR(__xludf.DUMMYFUNCTION("""COMPUTED_VALUE"""),"")</f>
        <v/>
      </c>
      <c r="C48" s="30" t="str">
        <f>IFERROR(__xludf.DUMMYFUNCTION("""COMPUTED_VALUE"""),"")</f>
        <v/>
      </c>
      <c r="D48" s="30"/>
      <c r="E48" s="34" t="str">
        <f>IFERROR(__xludf.DUMMYFUNCTION("""COMPUTED_VALUE"""),"")</f>
        <v/>
      </c>
      <c r="F48" s="30"/>
      <c r="G48" s="34" t="str">
        <f>IFERROR(__xludf.DUMMYFUNCTION("""COMPUTED_VALUE"""),"")</f>
        <v/>
      </c>
      <c r="H48" s="34" t="str">
        <f>IFERROR(__xludf.DUMMYFUNCTION("""COMPUTED_VALUE"""),"")</f>
        <v/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>
      <c r="A49" s="30"/>
      <c r="B49" s="30" t="str">
        <f>IFERROR(__xludf.DUMMYFUNCTION("""COMPUTED_VALUE"""),"")</f>
        <v/>
      </c>
      <c r="C49" s="30" t="str">
        <f>IFERROR(__xludf.DUMMYFUNCTION("""COMPUTED_VALUE"""),"")</f>
        <v/>
      </c>
      <c r="D49" s="30"/>
      <c r="E49" s="34" t="str">
        <f>IFERROR(__xludf.DUMMYFUNCTION("""COMPUTED_VALUE"""),"")</f>
        <v/>
      </c>
      <c r="F49" s="30"/>
      <c r="G49" s="34" t="str">
        <f>IFERROR(__xludf.DUMMYFUNCTION("""COMPUTED_VALUE"""),"")</f>
        <v/>
      </c>
      <c r="H49" s="34" t="str">
        <f>IFERROR(__xludf.DUMMYFUNCTION("""COMPUTED_VALUE"""),"")</f>
        <v/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</row>
    <row r="50">
      <c r="A50" s="30"/>
      <c r="B50" s="30" t="str">
        <f>IFERROR(__xludf.DUMMYFUNCTION("""COMPUTED_VALUE"""),"")</f>
        <v/>
      </c>
      <c r="C50" s="30" t="str">
        <f>IFERROR(__xludf.DUMMYFUNCTION("""COMPUTED_VALUE"""),"")</f>
        <v/>
      </c>
      <c r="D50" s="30"/>
      <c r="E50" s="34" t="str">
        <f>IFERROR(__xludf.DUMMYFUNCTION("""COMPUTED_VALUE"""),"")</f>
        <v/>
      </c>
      <c r="F50" s="30"/>
      <c r="G50" s="34" t="str">
        <f>IFERROR(__xludf.DUMMYFUNCTION("""COMPUTED_VALUE"""),"")</f>
        <v/>
      </c>
      <c r="H50" s="34" t="str">
        <f>IFERROR(__xludf.DUMMYFUNCTION("""COMPUTED_VALUE"""),"")</f>
        <v/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</row>
    <row r="51">
      <c r="A51" s="30"/>
      <c r="B51" s="30" t="str">
        <f>IFERROR(__xludf.DUMMYFUNCTION("""COMPUTED_VALUE"""),"")</f>
        <v/>
      </c>
      <c r="C51" s="30" t="str">
        <f>IFERROR(__xludf.DUMMYFUNCTION("""COMPUTED_VALUE"""),"")</f>
        <v/>
      </c>
      <c r="D51" s="30"/>
      <c r="E51" s="34" t="str">
        <f>IFERROR(__xludf.DUMMYFUNCTION("""COMPUTED_VALUE"""),"")</f>
        <v/>
      </c>
      <c r="F51" s="30"/>
      <c r="G51" s="34" t="str">
        <f>IFERROR(__xludf.DUMMYFUNCTION("""COMPUTED_VALUE"""),"")</f>
        <v/>
      </c>
      <c r="H51" s="34" t="str">
        <f>IFERROR(__xludf.DUMMYFUNCTION("""COMPUTED_VALUE"""),"")</f>
        <v/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</row>
    <row r="52">
      <c r="A52" s="30"/>
      <c r="B52" s="30" t="str">
        <f>IFERROR(__xludf.DUMMYFUNCTION("""COMPUTED_VALUE"""),"")</f>
        <v/>
      </c>
      <c r="C52" s="30" t="str">
        <f>IFERROR(__xludf.DUMMYFUNCTION("""COMPUTED_VALUE"""),"")</f>
        <v/>
      </c>
      <c r="D52" s="30"/>
      <c r="E52" s="34" t="str">
        <f>IFERROR(__xludf.DUMMYFUNCTION("""COMPUTED_VALUE"""),"")</f>
        <v/>
      </c>
      <c r="F52" s="30"/>
      <c r="G52" s="34" t="str">
        <f>IFERROR(__xludf.DUMMYFUNCTION("""COMPUTED_VALUE"""),"")</f>
        <v/>
      </c>
      <c r="H52" s="34" t="str">
        <f>IFERROR(__xludf.DUMMYFUNCTION("""COMPUTED_VALUE"""),"")</f>
        <v/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</row>
    <row r="53">
      <c r="A53" s="30"/>
      <c r="B53" s="30" t="str">
        <f>IFERROR(__xludf.DUMMYFUNCTION("""COMPUTED_VALUE"""),"")</f>
        <v/>
      </c>
      <c r="C53" s="30" t="str">
        <f>IFERROR(__xludf.DUMMYFUNCTION("""COMPUTED_VALUE"""),"")</f>
        <v/>
      </c>
      <c r="D53" s="30"/>
      <c r="E53" s="34" t="str">
        <f>IFERROR(__xludf.DUMMYFUNCTION("""COMPUTED_VALUE"""),"")</f>
        <v/>
      </c>
      <c r="F53" s="30"/>
      <c r="G53" s="34" t="str">
        <f>IFERROR(__xludf.DUMMYFUNCTION("""COMPUTED_VALUE"""),"")</f>
        <v/>
      </c>
      <c r="H53" s="34" t="str">
        <f>IFERROR(__xludf.DUMMYFUNCTION("""COMPUTED_VALUE"""),"")</f>
        <v/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</row>
    <row r="54">
      <c r="A54" s="30"/>
      <c r="B54" s="30" t="str">
        <f>IFERROR(__xludf.DUMMYFUNCTION("""COMPUTED_VALUE"""),"")</f>
        <v/>
      </c>
      <c r="C54" s="30" t="str">
        <f>IFERROR(__xludf.DUMMYFUNCTION("""COMPUTED_VALUE"""),"")</f>
        <v/>
      </c>
      <c r="D54" s="30"/>
      <c r="E54" s="34" t="str">
        <f>IFERROR(__xludf.DUMMYFUNCTION("""COMPUTED_VALUE"""),"")</f>
        <v/>
      </c>
      <c r="F54" s="30"/>
      <c r="G54" s="34" t="str">
        <f>IFERROR(__xludf.DUMMYFUNCTION("""COMPUTED_VALUE"""),"")</f>
        <v/>
      </c>
      <c r="H54" s="34" t="str">
        <f>IFERROR(__xludf.DUMMYFUNCTION("""COMPUTED_VALUE"""),"")</f>
        <v/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</row>
    <row r="55">
      <c r="A55" s="30"/>
      <c r="B55" s="30" t="str">
        <f>IFERROR(__xludf.DUMMYFUNCTION("""COMPUTED_VALUE"""),"")</f>
        <v/>
      </c>
      <c r="C55" s="30" t="str">
        <f>IFERROR(__xludf.DUMMYFUNCTION("""COMPUTED_VALUE"""),"")</f>
        <v/>
      </c>
      <c r="D55" s="30"/>
      <c r="E55" s="34" t="str">
        <f>IFERROR(__xludf.DUMMYFUNCTION("""COMPUTED_VALUE"""),"")</f>
        <v/>
      </c>
      <c r="F55" s="30"/>
      <c r="G55" s="34" t="str">
        <f>IFERROR(__xludf.DUMMYFUNCTION("""COMPUTED_VALUE"""),"")</f>
        <v/>
      </c>
      <c r="H55" s="34" t="str">
        <f>IFERROR(__xludf.DUMMYFUNCTION("""COMPUTED_VALUE"""),"")</f>
        <v/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</row>
    <row r="56">
      <c r="A56" s="30"/>
      <c r="B56" s="30" t="str">
        <f>IFERROR(__xludf.DUMMYFUNCTION("""COMPUTED_VALUE"""),"")</f>
        <v/>
      </c>
      <c r="C56" s="30" t="str">
        <f>IFERROR(__xludf.DUMMYFUNCTION("""COMPUTED_VALUE"""),"")</f>
        <v/>
      </c>
      <c r="D56" s="30"/>
      <c r="E56" s="34" t="str">
        <f>IFERROR(__xludf.DUMMYFUNCTION("""COMPUTED_VALUE"""),"")</f>
        <v/>
      </c>
      <c r="F56" s="30"/>
      <c r="G56" s="34" t="str">
        <f>IFERROR(__xludf.DUMMYFUNCTION("""COMPUTED_VALUE"""),"")</f>
        <v/>
      </c>
      <c r="H56" s="34" t="str">
        <f>IFERROR(__xludf.DUMMYFUNCTION("""COMPUTED_VALUE"""),"")</f>
        <v/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</row>
    <row r="57">
      <c r="A57" s="30"/>
      <c r="B57" s="30" t="str">
        <f>IFERROR(__xludf.DUMMYFUNCTION("""COMPUTED_VALUE"""),"")</f>
        <v/>
      </c>
      <c r="C57" s="30" t="str">
        <f>IFERROR(__xludf.DUMMYFUNCTION("""COMPUTED_VALUE"""),"")</f>
        <v/>
      </c>
      <c r="D57" s="30"/>
      <c r="E57" s="34" t="str">
        <f>IFERROR(__xludf.DUMMYFUNCTION("""COMPUTED_VALUE"""),"")</f>
        <v/>
      </c>
      <c r="F57" s="30"/>
      <c r="G57" s="34" t="str">
        <f>IFERROR(__xludf.DUMMYFUNCTION("""COMPUTED_VALUE"""),"")</f>
        <v/>
      </c>
      <c r="H57" s="34" t="str">
        <f>IFERROR(__xludf.DUMMYFUNCTION("""COMPUTED_VALUE"""),"")</f>
        <v/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>
      <c r="A58" s="30"/>
      <c r="B58" s="30" t="str">
        <f>IFERROR(__xludf.DUMMYFUNCTION("""COMPUTED_VALUE"""),"")</f>
        <v/>
      </c>
      <c r="C58" s="30" t="str">
        <f>IFERROR(__xludf.DUMMYFUNCTION("""COMPUTED_VALUE"""),"")</f>
        <v/>
      </c>
      <c r="D58" s="30"/>
      <c r="E58" s="34" t="str">
        <f>IFERROR(__xludf.DUMMYFUNCTION("""COMPUTED_VALUE"""),"")</f>
        <v/>
      </c>
      <c r="F58" s="30"/>
      <c r="G58" s="34" t="str">
        <f>IFERROR(__xludf.DUMMYFUNCTION("""COMPUTED_VALUE"""),"")</f>
        <v/>
      </c>
      <c r="H58" s="34" t="str">
        <f>IFERROR(__xludf.DUMMYFUNCTION("""COMPUTED_VALUE"""),"")</f>
        <v/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</row>
    <row r="59">
      <c r="A59" s="30"/>
      <c r="B59" s="30" t="str">
        <f>IFERROR(__xludf.DUMMYFUNCTION("""COMPUTED_VALUE"""),"")</f>
        <v/>
      </c>
      <c r="C59" s="30" t="str">
        <f>IFERROR(__xludf.DUMMYFUNCTION("""COMPUTED_VALUE"""),"")</f>
        <v/>
      </c>
      <c r="D59" s="30"/>
      <c r="E59" s="34" t="str">
        <f>IFERROR(__xludf.DUMMYFUNCTION("""COMPUTED_VALUE"""),"")</f>
        <v/>
      </c>
      <c r="F59" s="30"/>
      <c r="G59" s="34" t="str">
        <f>IFERROR(__xludf.DUMMYFUNCTION("""COMPUTED_VALUE"""),"")</f>
        <v/>
      </c>
      <c r="H59" s="34" t="str">
        <f>IFERROR(__xludf.DUMMYFUNCTION("""COMPUTED_VALUE"""),"")</f>
        <v/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</row>
    <row r="60">
      <c r="A60" s="30"/>
      <c r="B60" s="30" t="str">
        <f>IFERROR(__xludf.DUMMYFUNCTION("""COMPUTED_VALUE"""),"")</f>
        <v/>
      </c>
      <c r="C60" s="30" t="str">
        <f>IFERROR(__xludf.DUMMYFUNCTION("""COMPUTED_VALUE"""),"")</f>
        <v/>
      </c>
      <c r="D60" s="30"/>
      <c r="E60" s="34" t="str">
        <f>IFERROR(__xludf.DUMMYFUNCTION("""COMPUTED_VALUE"""),"")</f>
        <v/>
      </c>
      <c r="F60" s="30"/>
      <c r="G60" s="34" t="str">
        <f>IFERROR(__xludf.DUMMYFUNCTION("""COMPUTED_VALUE"""),"")</f>
        <v/>
      </c>
      <c r="H60" s="34" t="str">
        <f>IFERROR(__xludf.DUMMYFUNCTION("""COMPUTED_VALUE"""),"")</f>
        <v/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</row>
    <row r="61">
      <c r="A61" s="30"/>
      <c r="B61" s="30" t="str">
        <f>IFERROR(__xludf.DUMMYFUNCTION("""COMPUTED_VALUE"""),"")</f>
        <v/>
      </c>
      <c r="C61" s="30" t="str">
        <f>IFERROR(__xludf.DUMMYFUNCTION("""COMPUTED_VALUE"""),"")</f>
        <v/>
      </c>
      <c r="D61" s="30"/>
      <c r="E61" s="34" t="str">
        <f>IFERROR(__xludf.DUMMYFUNCTION("""COMPUTED_VALUE"""),"")</f>
        <v/>
      </c>
      <c r="F61" s="30"/>
      <c r="G61" s="34" t="str">
        <f>IFERROR(__xludf.DUMMYFUNCTION("""COMPUTED_VALUE"""),"")</f>
        <v/>
      </c>
      <c r="H61" s="34" t="str">
        <f>IFERROR(__xludf.DUMMYFUNCTION("""COMPUTED_VALUE"""),"")</f>
        <v/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</row>
    <row r="62">
      <c r="A62" s="30"/>
      <c r="B62" s="30" t="str">
        <f>IFERROR(__xludf.DUMMYFUNCTION("""COMPUTED_VALUE"""),"")</f>
        <v/>
      </c>
      <c r="C62" s="30" t="str">
        <f>IFERROR(__xludf.DUMMYFUNCTION("""COMPUTED_VALUE"""),"")</f>
        <v/>
      </c>
      <c r="D62" s="30"/>
      <c r="E62" s="34" t="str">
        <f>IFERROR(__xludf.DUMMYFUNCTION("""COMPUTED_VALUE"""),"")</f>
        <v/>
      </c>
      <c r="F62" s="30"/>
      <c r="G62" s="34" t="str">
        <f>IFERROR(__xludf.DUMMYFUNCTION("""COMPUTED_VALUE"""),"")</f>
        <v/>
      </c>
      <c r="H62" s="34" t="str">
        <f>IFERROR(__xludf.DUMMYFUNCTION("""COMPUTED_VALUE"""),"")</f>
        <v/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</row>
    <row r="63">
      <c r="A63" s="30"/>
      <c r="B63" s="30" t="str">
        <f>IFERROR(__xludf.DUMMYFUNCTION("""COMPUTED_VALUE"""),"")</f>
        <v/>
      </c>
      <c r="C63" s="30" t="str">
        <f>IFERROR(__xludf.DUMMYFUNCTION("""COMPUTED_VALUE"""),"")</f>
        <v/>
      </c>
      <c r="D63" s="30"/>
      <c r="E63" s="34" t="str">
        <f>IFERROR(__xludf.DUMMYFUNCTION("""COMPUTED_VALUE"""),"")</f>
        <v/>
      </c>
      <c r="F63" s="30"/>
      <c r="G63" s="34" t="str">
        <f>IFERROR(__xludf.DUMMYFUNCTION("""COMPUTED_VALUE"""),"")</f>
        <v/>
      </c>
      <c r="H63" s="34" t="str">
        <f>IFERROR(__xludf.DUMMYFUNCTION("""COMPUTED_VALUE"""),"")</f>
        <v/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</row>
    <row r="64">
      <c r="A64" s="30"/>
      <c r="B64" s="30" t="str">
        <f>IFERROR(__xludf.DUMMYFUNCTION("""COMPUTED_VALUE"""),"")</f>
        <v/>
      </c>
      <c r="C64" s="30" t="str">
        <f>IFERROR(__xludf.DUMMYFUNCTION("""COMPUTED_VALUE"""),"")</f>
        <v/>
      </c>
      <c r="D64" s="30"/>
      <c r="E64" s="34" t="str">
        <f>IFERROR(__xludf.DUMMYFUNCTION("""COMPUTED_VALUE"""),"")</f>
        <v/>
      </c>
      <c r="F64" s="30"/>
      <c r="G64" s="34" t="str">
        <f>IFERROR(__xludf.DUMMYFUNCTION("""COMPUTED_VALUE"""),"")</f>
        <v/>
      </c>
      <c r="H64" s="34" t="str">
        <f>IFERROR(__xludf.DUMMYFUNCTION("""COMPUTED_VALUE"""),"")</f>
        <v/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</row>
    <row r="65">
      <c r="A65" s="30"/>
      <c r="B65" s="30" t="str">
        <f>IFERROR(__xludf.DUMMYFUNCTION("""COMPUTED_VALUE"""),"")</f>
        <v/>
      </c>
      <c r="C65" s="30" t="str">
        <f>IFERROR(__xludf.DUMMYFUNCTION("""COMPUTED_VALUE"""),"")</f>
        <v/>
      </c>
      <c r="D65" s="30"/>
      <c r="E65" s="34" t="str">
        <f>IFERROR(__xludf.DUMMYFUNCTION("""COMPUTED_VALUE"""),"")</f>
        <v/>
      </c>
      <c r="F65" s="30"/>
      <c r="G65" s="34" t="str">
        <f>IFERROR(__xludf.DUMMYFUNCTION("""COMPUTED_VALUE"""),"")</f>
        <v/>
      </c>
      <c r="H65" s="34" t="str">
        <f>IFERROR(__xludf.DUMMYFUNCTION("""COMPUTED_VALUE"""),"")</f>
        <v/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</row>
    <row r="66">
      <c r="A66" s="30"/>
      <c r="B66" s="30" t="str">
        <f>IFERROR(__xludf.DUMMYFUNCTION("""COMPUTED_VALUE"""),"")</f>
        <v/>
      </c>
      <c r="C66" s="30" t="str">
        <f>IFERROR(__xludf.DUMMYFUNCTION("""COMPUTED_VALUE"""),"")</f>
        <v/>
      </c>
      <c r="D66" s="30"/>
      <c r="E66" s="34" t="str">
        <f>IFERROR(__xludf.DUMMYFUNCTION("""COMPUTED_VALUE"""),"")</f>
        <v/>
      </c>
      <c r="F66" s="30"/>
      <c r="G66" s="34" t="str">
        <f>IFERROR(__xludf.DUMMYFUNCTION("""COMPUTED_VALUE"""),"")</f>
        <v/>
      </c>
      <c r="H66" s="34" t="str">
        <f>IFERROR(__xludf.DUMMYFUNCTION("""COMPUTED_VALUE"""),"")</f>
        <v/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</row>
    <row r="67">
      <c r="A67" s="30"/>
      <c r="B67" s="30" t="str">
        <f>IFERROR(__xludf.DUMMYFUNCTION("""COMPUTED_VALUE"""),"")</f>
        <v/>
      </c>
      <c r="C67" s="30" t="str">
        <f>IFERROR(__xludf.DUMMYFUNCTION("""COMPUTED_VALUE"""),"")</f>
        <v/>
      </c>
      <c r="D67" s="30"/>
      <c r="E67" s="34" t="str">
        <f>IFERROR(__xludf.DUMMYFUNCTION("""COMPUTED_VALUE"""),"")</f>
        <v/>
      </c>
      <c r="F67" s="30"/>
      <c r="G67" s="34" t="str">
        <f>IFERROR(__xludf.DUMMYFUNCTION("""COMPUTED_VALUE"""),"")</f>
        <v/>
      </c>
      <c r="H67" s="34" t="str">
        <f>IFERROR(__xludf.DUMMYFUNCTION("""COMPUTED_VALUE"""),"")</f>
        <v/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</row>
    <row r="68">
      <c r="A68" s="30"/>
      <c r="B68" s="30" t="str">
        <f>IFERROR(__xludf.DUMMYFUNCTION("""COMPUTED_VALUE"""),"")</f>
        <v/>
      </c>
      <c r="C68" s="30" t="str">
        <f>IFERROR(__xludf.DUMMYFUNCTION("""COMPUTED_VALUE"""),"")</f>
        <v/>
      </c>
      <c r="D68" s="30"/>
      <c r="E68" s="34" t="str">
        <f>IFERROR(__xludf.DUMMYFUNCTION("""COMPUTED_VALUE"""),"")</f>
        <v/>
      </c>
      <c r="F68" s="30"/>
      <c r="G68" s="34" t="str">
        <f>IFERROR(__xludf.DUMMYFUNCTION("""COMPUTED_VALUE"""),"")</f>
        <v/>
      </c>
      <c r="H68" s="34" t="str">
        <f>IFERROR(__xludf.DUMMYFUNCTION("""COMPUTED_VALUE"""),"")</f>
        <v/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</row>
    <row r="69">
      <c r="A69" s="30"/>
      <c r="B69" s="30" t="str">
        <f>IFERROR(__xludf.DUMMYFUNCTION("""COMPUTED_VALUE"""),"")</f>
        <v/>
      </c>
      <c r="C69" s="30" t="str">
        <f>IFERROR(__xludf.DUMMYFUNCTION("""COMPUTED_VALUE"""),"")</f>
        <v/>
      </c>
      <c r="D69" s="30"/>
      <c r="E69" s="34" t="str">
        <f>IFERROR(__xludf.DUMMYFUNCTION("""COMPUTED_VALUE"""),"")</f>
        <v/>
      </c>
      <c r="F69" s="30"/>
      <c r="G69" s="34" t="str">
        <f>IFERROR(__xludf.DUMMYFUNCTION("""COMPUTED_VALUE"""),"")</f>
        <v/>
      </c>
      <c r="H69" s="34" t="str">
        <f>IFERROR(__xludf.DUMMYFUNCTION("""COMPUTED_VALUE"""),"")</f>
        <v/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</row>
    <row r="70">
      <c r="A70" s="30"/>
      <c r="B70" s="30" t="str">
        <f>IFERROR(__xludf.DUMMYFUNCTION("""COMPUTED_VALUE"""),"")</f>
        <v/>
      </c>
      <c r="C70" s="30" t="str">
        <f>IFERROR(__xludf.DUMMYFUNCTION("""COMPUTED_VALUE"""),"")</f>
        <v/>
      </c>
      <c r="D70" s="30"/>
      <c r="E70" s="34" t="str">
        <f>IFERROR(__xludf.DUMMYFUNCTION("""COMPUTED_VALUE"""),"")</f>
        <v/>
      </c>
      <c r="F70" s="30"/>
      <c r="G70" s="34" t="str">
        <f>IFERROR(__xludf.DUMMYFUNCTION("""COMPUTED_VALUE"""),"")</f>
        <v/>
      </c>
      <c r="H70" s="34" t="str">
        <f>IFERROR(__xludf.DUMMYFUNCTION("""COMPUTED_VALUE"""),"")</f>
        <v/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</row>
    <row r="71">
      <c r="A71" s="30"/>
      <c r="B71" s="30" t="str">
        <f>IFERROR(__xludf.DUMMYFUNCTION("""COMPUTED_VALUE"""),"")</f>
        <v/>
      </c>
      <c r="C71" s="30" t="str">
        <f>IFERROR(__xludf.DUMMYFUNCTION("""COMPUTED_VALUE"""),"")</f>
        <v/>
      </c>
      <c r="D71" s="30"/>
      <c r="E71" s="34" t="str">
        <f>IFERROR(__xludf.DUMMYFUNCTION("""COMPUTED_VALUE"""),"")</f>
        <v/>
      </c>
      <c r="F71" s="30"/>
      <c r="G71" s="34" t="str">
        <f>IFERROR(__xludf.DUMMYFUNCTION("""COMPUTED_VALUE"""),"")</f>
        <v/>
      </c>
      <c r="H71" s="34" t="str">
        <f>IFERROR(__xludf.DUMMYFUNCTION("""COMPUTED_VALUE"""),"")</f>
        <v/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</row>
    <row r="72">
      <c r="A72" s="30"/>
      <c r="B72" s="30" t="str">
        <f>IFERROR(__xludf.DUMMYFUNCTION("""COMPUTED_VALUE"""),"")</f>
        <v/>
      </c>
      <c r="C72" s="30" t="str">
        <f>IFERROR(__xludf.DUMMYFUNCTION("""COMPUTED_VALUE"""),"")</f>
        <v/>
      </c>
      <c r="D72" s="30"/>
      <c r="E72" s="34" t="str">
        <f>IFERROR(__xludf.DUMMYFUNCTION("""COMPUTED_VALUE"""),"")</f>
        <v/>
      </c>
      <c r="F72" s="30"/>
      <c r="G72" s="34" t="str">
        <f>IFERROR(__xludf.DUMMYFUNCTION("""COMPUTED_VALUE"""),"")</f>
        <v/>
      </c>
      <c r="H72" s="34" t="str">
        <f>IFERROR(__xludf.DUMMYFUNCTION("""COMPUTED_VALUE"""),"")</f>
        <v/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</row>
    <row r="73">
      <c r="A73" s="30"/>
      <c r="B73" s="30" t="str">
        <f>IFERROR(__xludf.DUMMYFUNCTION("""COMPUTED_VALUE"""),"")</f>
        <v/>
      </c>
      <c r="C73" s="30" t="str">
        <f>IFERROR(__xludf.DUMMYFUNCTION("""COMPUTED_VALUE"""),"")</f>
        <v/>
      </c>
      <c r="D73" s="30"/>
      <c r="E73" s="34" t="str">
        <f>IFERROR(__xludf.DUMMYFUNCTION("""COMPUTED_VALUE"""),"")</f>
        <v/>
      </c>
      <c r="F73" s="30"/>
      <c r="G73" s="34" t="str">
        <f>IFERROR(__xludf.DUMMYFUNCTION("""COMPUTED_VALUE"""),"")</f>
        <v/>
      </c>
      <c r="H73" s="34" t="str">
        <f>IFERROR(__xludf.DUMMYFUNCTION("""COMPUTED_VALUE"""),"")</f>
        <v/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>
      <c r="A74" s="30"/>
      <c r="B74" s="30" t="str">
        <f>IFERROR(__xludf.DUMMYFUNCTION("""COMPUTED_VALUE"""),"")</f>
        <v/>
      </c>
      <c r="C74" s="30" t="str">
        <f>IFERROR(__xludf.DUMMYFUNCTION("""COMPUTED_VALUE"""),"")</f>
        <v/>
      </c>
      <c r="D74" s="30"/>
      <c r="E74" s="34" t="str">
        <f>IFERROR(__xludf.DUMMYFUNCTION("""COMPUTED_VALUE"""),"")</f>
        <v/>
      </c>
      <c r="F74" s="30"/>
      <c r="G74" s="34" t="str">
        <f>IFERROR(__xludf.DUMMYFUNCTION("""COMPUTED_VALUE"""),"")</f>
        <v/>
      </c>
      <c r="H74" s="34" t="str">
        <f>IFERROR(__xludf.DUMMYFUNCTION("""COMPUTED_VALUE"""),"")</f>
        <v/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</row>
    <row r="75">
      <c r="A75" s="30"/>
      <c r="B75" s="30" t="str">
        <f>IFERROR(__xludf.DUMMYFUNCTION("""COMPUTED_VALUE"""),"")</f>
        <v/>
      </c>
      <c r="C75" s="30" t="str">
        <f>IFERROR(__xludf.DUMMYFUNCTION("""COMPUTED_VALUE"""),"")</f>
        <v/>
      </c>
      <c r="D75" s="30"/>
      <c r="E75" s="34" t="str">
        <f>IFERROR(__xludf.DUMMYFUNCTION("""COMPUTED_VALUE"""),"")</f>
        <v/>
      </c>
      <c r="F75" s="30"/>
      <c r="G75" s="34" t="str">
        <f>IFERROR(__xludf.DUMMYFUNCTION("""COMPUTED_VALUE"""),"")</f>
        <v/>
      </c>
      <c r="H75" s="34" t="str">
        <f>IFERROR(__xludf.DUMMYFUNCTION("""COMPUTED_VALUE"""),"")</f>
        <v/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</row>
    <row r="76">
      <c r="A76" s="30"/>
      <c r="B76" s="30" t="str">
        <f>IFERROR(__xludf.DUMMYFUNCTION("""COMPUTED_VALUE"""),"")</f>
        <v/>
      </c>
      <c r="C76" s="30" t="str">
        <f>IFERROR(__xludf.DUMMYFUNCTION("""COMPUTED_VALUE"""),"")</f>
        <v/>
      </c>
      <c r="D76" s="30"/>
      <c r="E76" s="34" t="str">
        <f>IFERROR(__xludf.DUMMYFUNCTION("""COMPUTED_VALUE"""),"")</f>
        <v/>
      </c>
      <c r="F76" s="30"/>
      <c r="G76" s="34" t="str">
        <f>IFERROR(__xludf.DUMMYFUNCTION("""COMPUTED_VALUE"""),"")</f>
        <v/>
      </c>
      <c r="H76" s="34" t="str">
        <f>IFERROR(__xludf.DUMMYFUNCTION("""COMPUTED_VALUE"""),"")</f>
        <v/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</row>
    <row r="77">
      <c r="A77" s="30"/>
      <c r="B77" s="30" t="str">
        <f>IFERROR(__xludf.DUMMYFUNCTION("""COMPUTED_VALUE"""),"")</f>
        <v/>
      </c>
      <c r="C77" s="30" t="str">
        <f>IFERROR(__xludf.DUMMYFUNCTION("""COMPUTED_VALUE"""),"")</f>
        <v/>
      </c>
      <c r="D77" s="30"/>
      <c r="E77" s="34" t="str">
        <f>IFERROR(__xludf.DUMMYFUNCTION("""COMPUTED_VALUE"""),"")</f>
        <v/>
      </c>
      <c r="F77" s="30"/>
      <c r="G77" s="34" t="str">
        <f>IFERROR(__xludf.DUMMYFUNCTION("""COMPUTED_VALUE"""),"")</f>
        <v/>
      </c>
      <c r="H77" s="34" t="str">
        <f>IFERROR(__xludf.DUMMYFUNCTION("""COMPUTED_VALUE"""),"")</f>
        <v/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</row>
    <row r="78">
      <c r="A78" s="30"/>
      <c r="B78" s="30" t="str">
        <f>IFERROR(__xludf.DUMMYFUNCTION("""COMPUTED_VALUE"""),"")</f>
        <v/>
      </c>
      <c r="C78" s="30" t="str">
        <f>IFERROR(__xludf.DUMMYFUNCTION("""COMPUTED_VALUE"""),"")</f>
        <v/>
      </c>
      <c r="D78" s="30"/>
      <c r="E78" s="34" t="str">
        <f>IFERROR(__xludf.DUMMYFUNCTION("""COMPUTED_VALUE"""),"")</f>
        <v/>
      </c>
      <c r="F78" s="30"/>
      <c r="G78" s="34" t="str">
        <f>IFERROR(__xludf.DUMMYFUNCTION("""COMPUTED_VALUE"""),"")</f>
        <v/>
      </c>
      <c r="H78" s="34" t="str">
        <f>IFERROR(__xludf.DUMMYFUNCTION("""COMPUTED_VALUE"""),"")</f>
        <v/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>
      <c r="A79" s="30"/>
      <c r="B79" s="30" t="str">
        <f>IFERROR(__xludf.DUMMYFUNCTION("""COMPUTED_VALUE"""),"")</f>
        <v/>
      </c>
      <c r="C79" s="30" t="str">
        <f>IFERROR(__xludf.DUMMYFUNCTION("""COMPUTED_VALUE"""),"")</f>
        <v/>
      </c>
      <c r="D79" s="30"/>
      <c r="E79" s="34" t="str">
        <f>IFERROR(__xludf.DUMMYFUNCTION("""COMPUTED_VALUE"""),"")</f>
        <v/>
      </c>
      <c r="F79" s="30"/>
      <c r="G79" s="34" t="str">
        <f>IFERROR(__xludf.DUMMYFUNCTION("""COMPUTED_VALUE"""),"")</f>
        <v/>
      </c>
      <c r="H79" s="34" t="str">
        <f>IFERROR(__xludf.DUMMYFUNCTION("""COMPUTED_VALUE"""),"")</f>
        <v/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</row>
    <row r="80">
      <c r="A80" s="30"/>
      <c r="B80" s="30" t="str">
        <f>IFERROR(__xludf.DUMMYFUNCTION("""COMPUTED_VALUE"""),"")</f>
        <v/>
      </c>
      <c r="C80" s="30" t="str">
        <f>IFERROR(__xludf.DUMMYFUNCTION("""COMPUTED_VALUE"""),"")</f>
        <v/>
      </c>
      <c r="D80" s="30"/>
      <c r="E80" s="34" t="str">
        <f>IFERROR(__xludf.DUMMYFUNCTION("""COMPUTED_VALUE"""),"")</f>
        <v/>
      </c>
      <c r="F80" s="30"/>
      <c r="G80" s="34" t="str">
        <f>IFERROR(__xludf.DUMMYFUNCTION("""COMPUTED_VALUE"""),"")</f>
        <v/>
      </c>
      <c r="H80" s="34" t="str">
        <f>IFERROR(__xludf.DUMMYFUNCTION("""COMPUTED_VALUE"""),"")</f>
        <v/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</row>
    <row r="81">
      <c r="A81" s="30"/>
      <c r="B81" s="30" t="str">
        <f>IFERROR(__xludf.DUMMYFUNCTION("""COMPUTED_VALUE"""),"")</f>
        <v/>
      </c>
      <c r="C81" s="30" t="str">
        <f>IFERROR(__xludf.DUMMYFUNCTION("""COMPUTED_VALUE"""),"")</f>
        <v/>
      </c>
      <c r="D81" s="30"/>
      <c r="E81" s="34" t="str">
        <f>IFERROR(__xludf.DUMMYFUNCTION("""COMPUTED_VALUE"""),"")</f>
        <v/>
      </c>
      <c r="F81" s="30"/>
      <c r="G81" s="34" t="str">
        <f>IFERROR(__xludf.DUMMYFUNCTION("""COMPUTED_VALUE"""),"")</f>
        <v/>
      </c>
      <c r="H81" s="34" t="str">
        <f>IFERROR(__xludf.DUMMYFUNCTION("""COMPUTED_VALUE"""),"")</f>
        <v/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</row>
    <row r="82">
      <c r="A82" s="30"/>
      <c r="B82" s="30" t="str">
        <f>IFERROR(__xludf.DUMMYFUNCTION("""COMPUTED_VALUE"""),"")</f>
        <v/>
      </c>
      <c r="C82" s="30" t="str">
        <f>IFERROR(__xludf.DUMMYFUNCTION("""COMPUTED_VALUE"""),"")</f>
        <v/>
      </c>
      <c r="D82" s="30"/>
      <c r="E82" s="34" t="str">
        <f>IFERROR(__xludf.DUMMYFUNCTION("""COMPUTED_VALUE"""),"")</f>
        <v/>
      </c>
      <c r="F82" s="30"/>
      <c r="G82" s="34" t="str">
        <f>IFERROR(__xludf.DUMMYFUNCTION("""COMPUTED_VALUE"""),"")</f>
        <v/>
      </c>
      <c r="H82" s="34" t="str">
        <f>IFERROR(__xludf.DUMMYFUNCTION("""COMPUTED_VALUE"""),"")</f>
        <v/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</row>
    <row r="83">
      <c r="A83" s="30"/>
      <c r="B83" s="30" t="str">
        <f>IFERROR(__xludf.DUMMYFUNCTION("""COMPUTED_VALUE"""),"")</f>
        <v/>
      </c>
      <c r="C83" s="30" t="str">
        <f>IFERROR(__xludf.DUMMYFUNCTION("""COMPUTED_VALUE"""),"")</f>
        <v/>
      </c>
      <c r="D83" s="30"/>
      <c r="E83" s="34" t="str">
        <f>IFERROR(__xludf.DUMMYFUNCTION("""COMPUTED_VALUE"""),"")</f>
        <v/>
      </c>
      <c r="F83" s="30"/>
      <c r="G83" s="34" t="str">
        <f>IFERROR(__xludf.DUMMYFUNCTION("""COMPUTED_VALUE"""),"")</f>
        <v/>
      </c>
      <c r="H83" s="34" t="str">
        <f>IFERROR(__xludf.DUMMYFUNCTION("""COMPUTED_VALUE"""),"")</f>
        <v/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</row>
    <row r="84">
      <c r="A84" s="30"/>
      <c r="B84" s="30" t="str">
        <f>IFERROR(__xludf.DUMMYFUNCTION("""COMPUTED_VALUE"""),"")</f>
        <v/>
      </c>
      <c r="C84" s="30" t="str">
        <f>IFERROR(__xludf.DUMMYFUNCTION("""COMPUTED_VALUE"""),"")</f>
        <v/>
      </c>
      <c r="D84" s="30"/>
      <c r="E84" s="34" t="str">
        <f>IFERROR(__xludf.DUMMYFUNCTION("""COMPUTED_VALUE"""),"")</f>
        <v/>
      </c>
      <c r="F84" s="30"/>
      <c r="G84" s="34" t="str">
        <f>IFERROR(__xludf.DUMMYFUNCTION("""COMPUTED_VALUE"""),"")</f>
        <v/>
      </c>
      <c r="H84" s="34" t="str">
        <f>IFERROR(__xludf.DUMMYFUNCTION("""COMPUTED_VALUE"""),"")</f>
        <v/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</row>
    <row r="85">
      <c r="A85" s="30"/>
      <c r="B85" s="30" t="str">
        <f>IFERROR(__xludf.DUMMYFUNCTION("""COMPUTED_VALUE"""),"")</f>
        <v/>
      </c>
      <c r="C85" s="30" t="str">
        <f>IFERROR(__xludf.DUMMYFUNCTION("""COMPUTED_VALUE"""),"")</f>
        <v/>
      </c>
      <c r="D85" s="30"/>
      <c r="E85" s="34" t="str">
        <f>IFERROR(__xludf.DUMMYFUNCTION("""COMPUTED_VALUE"""),"")</f>
        <v/>
      </c>
      <c r="F85" s="30"/>
      <c r="G85" s="34" t="str">
        <f>IFERROR(__xludf.DUMMYFUNCTION("""COMPUTED_VALUE"""),"")</f>
        <v/>
      </c>
      <c r="H85" s="34" t="str">
        <f>IFERROR(__xludf.DUMMYFUNCTION("""COMPUTED_VALUE"""),"")</f>
        <v/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</row>
    <row r="86">
      <c r="A86" s="30"/>
      <c r="B86" s="30" t="str">
        <f>IFERROR(__xludf.DUMMYFUNCTION("""COMPUTED_VALUE"""),"")</f>
        <v/>
      </c>
      <c r="C86" s="30" t="str">
        <f>IFERROR(__xludf.DUMMYFUNCTION("""COMPUTED_VALUE"""),"")</f>
        <v/>
      </c>
      <c r="D86" s="30"/>
      <c r="E86" s="34" t="str">
        <f>IFERROR(__xludf.DUMMYFUNCTION("""COMPUTED_VALUE"""),"")</f>
        <v/>
      </c>
      <c r="F86" s="30"/>
      <c r="G86" s="34" t="str">
        <f>IFERROR(__xludf.DUMMYFUNCTION("""COMPUTED_VALUE"""),"")</f>
        <v/>
      </c>
      <c r="H86" s="34" t="str">
        <f>IFERROR(__xludf.DUMMYFUNCTION("""COMPUTED_VALUE"""),"")</f>
        <v/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</row>
    <row r="87">
      <c r="A87" s="30"/>
      <c r="B87" s="30" t="str">
        <f>IFERROR(__xludf.DUMMYFUNCTION("""COMPUTED_VALUE"""),"")</f>
        <v/>
      </c>
      <c r="C87" s="30" t="str">
        <f>IFERROR(__xludf.DUMMYFUNCTION("""COMPUTED_VALUE"""),"")</f>
        <v/>
      </c>
      <c r="D87" s="30"/>
      <c r="E87" s="34" t="str">
        <f>IFERROR(__xludf.DUMMYFUNCTION("""COMPUTED_VALUE"""),"")</f>
        <v/>
      </c>
      <c r="F87" s="30"/>
      <c r="G87" s="34" t="str">
        <f>IFERROR(__xludf.DUMMYFUNCTION("""COMPUTED_VALUE"""),"")</f>
        <v/>
      </c>
      <c r="H87" s="34" t="str">
        <f>IFERROR(__xludf.DUMMYFUNCTION("""COMPUTED_VALUE"""),"")</f>
        <v/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</row>
    <row r="88">
      <c r="A88" s="30"/>
      <c r="B88" s="30" t="str">
        <f>IFERROR(__xludf.DUMMYFUNCTION("""COMPUTED_VALUE"""),"")</f>
        <v/>
      </c>
      <c r="C88" s="30" t="str">
        <f>IFERROR(__xludf.DUMMYFUNCTION("""COMPUTED_VALUE"""),"")</f>
        <v/>
      </c>
      <c r="D88" s="30"/>
      <c r="E88" s="34" t="str">
        <f>IFERROR(__xludf.DUMMYFUNCTION("""COMPUTED_VALUE"""),"")</f>
        <v/>
      </c>
      <c r="F88" s="30"/>
      <c r="G88" s="34" t="str">
        <f>IFERROR(__xludf.DUMMYFUNCTION("""COMPUTED_VALUE"""),"")</f>
        <v/>
      </c>
      <c r="H88" s="34" t="str">
        <f>IFERROR(__xludf.DUMMYFUNCTION("""COMPUTED_VALUE"""),"")</f>
        <v/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</row>
    <row r="89">
      <c r="A89" s="30"/>
      <c r="B89" s="30" t="str">
        <f>IFERROR(__xludf.DUMMYFUNCTION("""COMPUTED_VALUE"""),"")</f>
        <v/>
      </c>
      <c r="C89" s="30" t="str">
        <f>IFERROR(__xludf.DUMMYFUNCTION("""COMPUTED_VALUE"""),"")</f>
        <v/>
      </c>
      <c r="D89" s="30"/>
      <c r="E89" s="34" t="str">
        <f>IFERROR(__xludf.DUMMYFUNCTION("""COMPUTED_VALUE"""),"")</f>
        <v/>
      </c>
      <c r="F89" s="30"/>
      <c r="G89" s="34" t="str">
        <f>IFERROR(__xludf.DUMMYFUNCTION("""COMPUTED_VALUE"""),"")</f>
        <v/>
      </c>
      <c r="H89" s="34" t="str">
        <f>IFERROR(__xludf.DUMMYFUNCTION("""COMPUTED_VALUE"""),"")</f>
        <v/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</row>
    <row r="90">
      <c r="A90" s="30"/>
      <c r="B90" s="30" t="str">
        <f>IFERROR(__xludf.DUMMYFUNCTION("""COMPUTED_VALUE"""),"")</f>
        <v/>
      </c>
      <c r="C90" s="30" t="str">
        <f>IFERROR(__xludf.DUMMYFUNCTION("""COMPUTED_VALUE"""),"")</f>
        <v/>
      </c>
      <c r="D90" s="30"/>
      <c r="E90" s="34" t="str">
        <f>IFERROR(__xludf.DUMMYFUNCTION("""COMPUTED_VALUE"""),"")</f>
        <v/>
      </c>
      <c r="F90" s="30"/>
      <c r="G90" s="34" t="str">
        <f>IFERROR(__xludf.DUMMYFUNCTION("""COMPUTED_VALUE"""),"")</f>
        <v/>
      </c>
      <c r="H90" s="34" t="str">
        <f>IFERROR(__xludf.DUMMYFUNCTION("""COMPUTED_VALUE"""),"")</f>
        <v/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</row>
    <row r="91">
      <c r="A91" s="30"/>
      <c r="B91" s="30" t="str">
        <f>IFERROR(__xludf.DUMMYFUNCTION("""COMPUTED_VALUE"""),"")</f>
        <v/>
      </c>
      <c r="C91" s="30" t="str">
        <f>IFERROR(__xludf.DUMMYFUNCTION("""COMPUTED_VALUE"""),"")</f>
        <v/>
      </c>
      <c r="D91" s="30"/>
      <c r="E91" s="34" t="str">
        <f>IFERROR(__xludf.DUMMYFUNCTION("""COMPUTED_VALUE"""),"")</f>
        <v/>
      </c>
      <c r="F91" s="30"/>
      <c r="G91" s="34" t="str">
        <f>IFERROR(__xludf.DUMMYFUNCTION("""COMPUTED_VALUE"""),"")</f>
        <v/>
      </c>
      <c r="H91" s="34" t="str">
        <f>IFERROR(__xludf.DUMMYFUNCTION("""COMPUTED_VALUE"""),"")</f>
        <v/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</row>
    <row r="92">
      <c r="A92" s="30"/>
      <c r="B92" s="30" t="str">
        <f>IFERROR(__xludf.DUMMYFUNCTION("""COMPUTED_VALUE"""),"")</f>
        <v/>
      </c>
      <c r="C92" s="30" t="str">
        <f>IFERROR(__xludf.DUMMYFUNCTION("""COMPUTED_VALUE"""),"")</f>
        <v/>
      </c>
      <c r="D92" s="30"/>
      <c r="E92" s="34" t="str">
        <f>IFERROR(__xludf.DUMMYFUNCTION("""COMPUTED_VALUE"""),"")</f>
        <v/>
      </c>
      <c r="F92" s="30"/>
      <c r="G92" s="34" t="str">
        <f>IFERROR(__xludf.DUMMYFUNCTION("""COMPUTED_VALUE"""),"")</f>
        <v/>
      </c>
      <c r="H92" s="34" t="str">
        <f>IFERROR(__xludf.DUMMYFUNCTION("""COMPUTED_VALUE"""),"")</f>
        <v/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</row>
    <row r="93">
      <c r="A93" s="30"/>
      <c r="B93" s="30" t="str">
        <f>IFERROR(__xludf.DUMMYFUNCTION("""COMPUTED_VALUE"""),"")</f>
        <v/>
      </c>
      <c r="C93" s="30" t="str">
        <f>IFERROR(__xludf.DUMMYFUNCTION("""COMPUTED_VALUE"""),"")</f>
        <v/>
      </c>
      <c r="D93" s="30"/>
      <c r="E93" s="34" t="str">
        <f>IFERROR(__xludf.DUMMYFUNCTION("""COMPUTED_VALUE"""),"")</f>
        <v/>
      </c>
      <c r="F93" s="30"/>
      <c r="G93" s="34" t="str">
        <f>IFERROR(__xludf.DUMMYFUNCTION("""COMPUTED_VALUE"""),"")</f>
        <v/>
      </c>
      <c r="H93" s="34" t="str">
        <f>IFERROR(__xludf.DUMMYFUNCTION("""COMPUTED_VALUE"""),"")</f>
        <v/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</row>
    <row r="94">
      <c r="A94" s="30"/>
      <c r="B94" s="30" t="str">
        <f>IFERROR(__xludf.DUMMYFUNCTION("""COMPUTED_VALUE"""),"")</f>
        <v/>
      </c>
      <c r="C94" s="30" t="str">
        <f>IFERROR(__xludf.DUMMYFUNCTION("""COMPUTED_VALUE"""),"")</f>
        <v/>
      </c>
      <c r="D94" s="30"/>
      <c r="E94" s="34" t="str">
        <f>IFERROR(__xludf.DUMMYFUNCTION("""COMPUTED_VALUE"""),"")</f>
        <v/>
      </c>
      <c r="F94" s="30"/>
      <c r="G94" s="34" t="str">
        <f>IFERROR(__xludf.DUMMYFUNCTION("""COMPUTED_VALUE"""),"")</f>
        <v/>
      </c>
      <c r="H94" s="34" t="str">
        <f>IFERROR(__xludf.DUMMYFUNCTION("""COMPUTED_VALUE"""),"")</f>
        <v/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</row>
    <row r="95">
      <c r="A95" s="30"/>
      <c r="B95" s="30" t="str">
        <f>IFERROR(__xludf.DUMMYFUNCTION("""COMPUTED_VALUE"""),"")</f>
        <v/>
      </c>
      <c r="C95" s="30" t="str">
        <f>IFERROR(__xludf.DUMMYFUNCTION("""COMPUTED_VALUE"""),"")</f>
        <v/>
      </c>
      <c r="D95" s="30"/>
      <c r="E95" s="34" t="str">
        <f>IFERROR(__xludf.DUMMYFUNCTION("""COMPUTED_VALUE"""),"")</f>
        <v/>
      </c>
      <c r="F95" s="30"/>
      <c r="G95" s="34" t="str">
        <f>IFERROR(__xludf.DUMMYFUNCTION("""COMPUTED_VALUE"""),"")</f>
        <v/>
      </c>
      <c r="H95" s="34" t="str">
        <f>IFERROR(__xludf.DUMMYFUNCTION("""COMPUTED_VALUE"""),"")</f>
        <v/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</row>
    <row r="96">
      <c r="A96" s="30"/>
      <c r="B96" s="30" t="str">
        <f>IFERROR(__xludf.DUMMYFUNCTION("""COMPUTED_VALUE"""),"")</f>
        <v/>
      </c>
      <c r="C96" s="30" t="str">
        <f>IFERROR(__xludf.DUMMYFUNCTION("""COMPUTED_VALUE"""),"")</f>
        <v/>
      </c>
      <c r="D96" s="30"/>
      <c r="E96" s="34" t="str">
        <f>IFERROR(__xludf.DUMMYFUNCTION("""COMPUTED_VALUE"""),"")</f>
        <v/>
      </c>
      <c r="F96" s="30"/>
      <c r="G96" s="34" t="str">
        <f>IFERROR(__xludf.DUMMYFUNCTION("""COMPUTED_VALUE"""),"")</f>
        <v/>
      </c>
      <c r="H96" s="34" t="str">
        <f>IFERROR(__xludf.DUMMYFUNCTION("""COMPUTED_VALUE"""),"")</f>
        <v/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</row>
    <row r="97">
      <c r="A97" s="30"/>
      <c r="B97" s="30" t="str">
        <f>IFERROR(__xludf.DUMMYFUNCTION("""COMPUTED_VALUE"""),"")</f>
        <v/>
      </c>
      <c r="C97" s="30" t="str">
        <f>IFERROR(__xludf.DUMMYFUNCTION("""COMPUTED_VALUE"""),"")</f>
        <v/>
      </c>
      <c r="D97" s="30"/>
      <c r="E97" s="34" t="str">
        <f>IFERROR(__xludf.DUMMYFUNCTION("""COMPUTED_VALUE"""),"")</f>
        <v/>
      </c>
      <c r="F97" s="30"/>
      <c r="G97" s="34" t="str">
        <f>IFERROR(__xludf.DUMMYFUNCTION("""COMPUTED_VALUE"""),"")</f>
        <v/>
      </c>
      <c r="H97" s="34" t="str">
        <f>IFERROR(__xludf.DUMMYFUNCTION("""COMPUTED_VALUE"""),"")</f>
        <v/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</row>
    <row r="98">
      <c r="A98" s="30"/>
      <c r="B98" s="30" t="str">
        <f>IFERROR(__xludf.DUMMYFUNCTION("""COMPUTED_VALUE"""),"")</f>
        <v/>
      </c>
      <c r="C98" s="30" t="str">
        <f>IFERROR(__xludf.DUMMYFUNCTION("""COMPUTED_VALUE"""),"")</f>
        <v/>
      </c>
      <c r="D98" s="30"/>
      <c r="E98" s="34" t="str">
        <f>IFERROR(__xludf.DUMMYFUNCTION("""COMPUTED_VALUE"""),"")</f>
        <v/>
      </c>
      <c r="F98" s="30"/>
      <c r="G98" s="34" t="str">
        <f>IFERROR(__xludf.DUMMYFUNCTION("""COMPUTED_VALUE"""),"")</f>
        <v/>
      </c>
      <c r="H98" s="34" t="str">
        <f>IFERROR(__xludf.DUMMYFUNCTION("""COMPUTED_VALUE"""),"")</f>
        <v/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</row>
    <row r="99">
      <c r="A99" s="30"/>
      <c r="B99" s="30" t="str">
        <f>IFERROR(__xludf.DUMMYFUNCTION("""COMPUTED_VALUE"""),"")</f>
        <v/>
      </c>
      <c r="C99" s="30" t="str">
        <f>IFERROR(__xludf.DUMMYFUNCTION("""COMPUTED_VALUE"""),"")</f>
        <v/>
      </c>
      <c r="D99" s="30"/>
      <c r="E99" s="34" t="str">
        <f>IFERROR(__xludf.DUMMYFUNCTION("""COMPUTED_VALUE"""),"")</f>
        <v/>
      </c>
      <c r="F99" s="30"/>
      <c r="G99" s="34" t="str">
        <f>IFERROR(__xludf.DUMMYFUNCTION("""COMPUTED_VALUE"""),"")</f>
        <v/>
      </c>
      <c r="H99" s="34" t="str">
        <f>IFERROR(__xludf.DUMMYFUNCTION("""COMPUTED_VALUE"""),"")</f>
        <v/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</row>
    <row r="100">
      <c r="A100" s="30"/>
      <c r="B100" s="30" t="str">
        <f>IFERROR(__xludf.DUMMYFUNCTION("""COMPUTED_VALUE"""),"")</f>
        <v/>
      </c>
      <c r="C100" s="30" t="str">
        <f>IFERROR(__xludf.DUMMYFUNCTION("""COMPUTED_VALUE"""),"")</f>
        <v/>
      </c>
      <c r="D100" s="30"/>
      <c r="E100" s="34" t="str">
        <f>IFERROR(__xludf.DUMMYFUNCTION("""COMPUTED_VALUE"""),"")</f>
        <v/>
      </c>
      <c r="F100" s="30"/>
      <c r="G100" s="34" t="str">
        <f>IFERROR(__xludf.DUMMYFUNCTION("""COMPUTED_VALUE"""),"")</f>
        <v/>
      </c>
      <c r="H100" s="34" t="str">
        <f>IFERROR(__xludf.DUMMYFUNCTION("""COMPUTED_VALUE"""),"")</f>
        <v/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</row>
    <row r="101">
      <c r="A101" s="30"/>
      <c r="B101" s="30" t="str">
        <f>IFERROR(__xludf.DUMMYFUNCTION("""COMPUTED_VALUE"""),"")</f>
        <v/>
      </c>
      <c r="C101" s="30" t="str">
        <f>IFERROR(__xludf.DUMMYFUNCTION("""COMPUTED_VALUE"""),"")</f>
        <v/>
      </c>
      <c r="D101" s="30"/>
      <c r="E101" s="34" t="str">
        <f>IFERROR(__xludf.DUMMYFUNCTION("""COMPUTED_VALUE"""),"")</f>
        <v/>
      </c>
      <c r="F101" s="30"/>
      <c r="G101" s="34" t="str">
        <f>IFERROR(__xludf.DUMMYFUNCTION("""COMPUTED_VALUE"""),"")</f>
        <v/>
      </c>
      <c r="H101" s="34" t="str">
        <f>IFERROR(__xludf.DUMMYFUNCTION("""COMPUTED_VALUE"""),"")</f>
        <v/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</row>
    <row r="102">
      <c r="A102" s="30"/>
      <c r="B102" s="30" t="str">
        <f>IFERROR(__xludf.DUMMYFUNCTION("""COMPUTED_VALUE"""),"")</f>
        <v/>
      </c>
      <c r="C102" s="30" t="str">
        <f>IFERROR(__xludf.DUMMYFUNCTION("""COMPUTED_VALUE"""),"")</f>
        <v/>
      </c>
      <c r="D102" s="30"/>
      <c r="E102" s="34" t="str">
        <f>IFERROR(__xludf.DUMMYFUNCTION("""COMPUTED_VALUE"""),"")</f>
        <v/>
      </c>
      <c r="F102" s="30"/>
      <c r="G102" s="34" t="str">
        <f>IFERROR(__xludf.DUMMYFUNCTION("""COMPUTED_VALUE"""),"")</f>
        <v/>
      </c>
      <c r="H102" s="34" t="str">
        <f>IFERROR(__xludf.DUMMYFUNCTION("""COMPUTED_VALUE"""),"")</f>
        <v/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</row>
    <row r="103">
      <c r="A103" s="30"/>
      <c r="B103" s="30" t="str">
        <f>IFERROR(__xludf.DUMMYFUNCTION("""COMPUTED_VALUE"""),"")</f>
        <v/>
      </c>
      <c r="C103" s="30" t="str">
        <f>IFERROR(__xludf.DUMMYFUNCTION("""COMPUTED_VALUE"""),"")</f>
        <v/>
      </c>
      <c r="D103" s="30"/>
      <c r="E103" s="34" t="str">
        <f>IFERROR(__xludf.DUMMYFUNCTION("""COMPUTED_VALUE"""),"")</f>
        <v/>
      </c>
      <c r="F103" s="30"/>
      <c r="G103" s="34" t="str">
        <f>IFERROR(__xludf.DUMMYFUNCTION("""COMPUTED_VALUE"""),"")</f>
        <v/>
      </c>
      <c r="H103" s="34" t="str">
        <f>IFERROR(__xludf.DUMMYFUNCTION("""COMPUTED_VALUE"""),"")</f>
        <v/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</row>
    <row r="104">
      <c r="A104" s="30"/>
      <c r="B104" s="30" t="str">
        <f>IFERROR(__xludf.DUMMYFUNCTION("""COMPUTED_VALUE"""),"")</f>
        <v/>
      </c>
      <c r="C104" s="30" t="str">
        <f>IFERROR(__xludf.DUMMYFUNCTION("""COMPUTED_VALUE"""),"")</f>
        <v/>
      </c>
      <c r="D104" s="30"/>
      <c r="E104" s="34" t="str">
        <f>IFERROR(__xludf.DUMMYFUNCTION("""COMPUTED_VALUE"""),"")</f>
        <v/>
      </c>
      <c r="F104" s="30"/>
      <c r="G104" s="34" t="str">
        <f>IFERROR(__xludf.DUMMYFUNCTION("""COMPUTED_VALUE"""),"")</f>
        <v/>
      </c>
      <c r="H104" s="34" t="str">
        <f>IFERROR(__xludf.DUMMYFUNCTION("""COMPUTED_VALUE"""),"")</f>
        <v/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</row>
    <row r="105">
      <c r="A105" s="30"/>
      <c r="B105" s="30" t="str">
        <f>IFERROR(__xludf.DUMMYFUNCTION("""COMPUTED_VALUE"""),"")</f>
        <v/>
      </c>
      <c r="C105" s="30" t="str">
        <f>IFERROR(__xludf.DUMMYFUNCTION("""COMPUTED_VALUE"""),"")</f>
        <v/>
      </c>
      <c r="D105" s="30"/>
      <c r="E105" s="34" t="str">
        <f>IFERROR(__xludf.DUMMYFUNCTION("""COMPUTED_VALUE"""),"")</f>
        <v/>
      </c>
      <c r="F105" s="30"/>
      <c r="G105" s="34" t="str">
        <f>IFERROR(__xludf.DUMMYFUNCTION("""COMPUTED_VALUE"""),"")</f>
        <v/>
      </c>
      <c r="H105" s="34" t="str">
        <f>IFERROR(__xludf.DUMMYFUNCTION("""COMPUTED_VALUE"""),"")</f>
        <v/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</row>
    <row r="106">
      <c r="A106" s="30"/>
      <c r="B106" s="30" t="str">
        <f>IFERROR(__xludf.DUMMYFUNCTION("""COMPUTED_VALUE"""),"")</f>
        <v/>
      </c>
      <c r="C106" s="30" t="str">
        <f>IFERROR(__xludf.DUMMYFUNCTION("""COMPUTED_VALUE"""),"")</f>
        <v/>
      </c>
      <c r="D106" s="30"/>
      <c r="E106" s="34" t="str">
        <f>IFERROR(__xludf.DUMMYFUNCTION("""COMPUTED_VALUE"""),"")</f>
        <v/>
      </c>
      <c r="F106" s="30"/>
      <c r="G106" s="34" t="str">
        <f>IFERROR(__xludf.DUMMYFUNCTION("""COMPUTED_VALUE"""),"")</f>
        <v/>
      </c>
      <c r="H106" s="34" t="str">
        <f>IFERROR(__xludf.DUMMYFUNCTION("""COMPUTED_VALUE"""),"")</f>
        <v/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</row>
    <row r="107">
      <c r="A107" s="30"/>
      <c r="B107" s="30" t="str">
        <f>IFERROR(__xludf.DUMMYFUNCTION("""COMPUTED_VALUE"""),"")</f>
        <v/>
      </c>
      <c r="C107" s="30" t="str">
        <f>IFERROR(__xludf.DUMMYFUNCTION("""COMPUTED_VALUE"""),"")</f>
        <v/>
      </c>
      <c r="D107" s="30"/>
      <c r="E107" s="34" t="str">
        <f>IFERROR(__xludf.DUMMYFUNCTION("""COMPUTED_VALUE"""),"")</f>
        <v/>
      </c>
      <c r="F107" s="30"/>
      <c r="G107" s="34" t="str">
        <f>IFERROR(__xludf.DUMMYFUNCTION("""COMPUTED_VALUE"""),"")</f>
        <v/>
      </c>
      <c r="H107" s="34" t="str">
        <f>IFERROR(__xludf.DUMMYFUNCTION("""COMPUTED_VALUE"""),"")</f>
        <v/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</row>
    <row r="108">
      <c r="A108" s="30"/>
      <c r="B108" s="30" t="str">
        <f>IFERROR(__xludf.DUMMYFUNCTION("""COMPUTED_VALUE"""),"")</f>
        <v/>
      </c>
      <c r="C108" s="30" t="str">
        <f>IFERROR(__xludf.DUMMYFUNCTION("""COMPUTED_VALUE"""),"")</f>
        <v/>
      </c>
      <c r="D108" s="30"/>
      <c r="E108" s="34" t="str">
        <f>IFERROR(__xludf.DUMMYFUNCTION("""COMPUTED_VALUE"""),"")</f>
        <v/>
      </c>
      <c r="F108" s="30"/>
      <c r="G108" s="34" t="str">
        <f>IFERROR(__xludf.DUMMYFUNCTION("""COMPUTED_VALUE"""),"")</f>
        <v/>
      </c>
      <c r="H108" s="34" t="str">
        <f>IFERROR(__xludf.DUMMYFUNCTION("""COMPUTED_VALUE"""),"")</f>
        <v/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</row>
    <row r="109">
      <c r="A109" s="30"/>
      <c r="B109" s="30" t="str">
        <f>IFERROR(__xludf.DUMMYFUNCTION("""COMPUTED_VALUE"""),"")</f>
        <v/>
      </c>
      <c r="C109" s="30" t="str">
        <f>IFERROR(__xludf.DUMMYFUNCTION("""COMPUTED_VALUE"""),"")</f>
        <v/>
      </c>
      <c r="D109" s="30"/>
      <c r="E109" s="34" t="str">
        <f>IFERROR(__xludf.DUMMYFUNCTION("""COMPUTED_VALUE"""),"")</f>
        <v/>
      </c>
      <c r="F109" s="30"/>
      <c r="G109" s="34" t="str">
        <f>IFERROR(__xludf.DUMMYFUNCTION("""COMPUTED_VALUE"""),"")</f>
        <v/>
      </c>
      <c r="H109" s="34" t="str">
        <f>IFERROR(__xludf.DUMMYFUNCTION("""COMPUTED_VALUE"""),"")</f>
        <v/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</row>
    <row r="110">
      <c r="A110" s="30"/>
      <c r="B110" s="30" t="str">
        <f>IFERROR(__xludf.DUMMYFUNCTION("""COMPUTED_VALUE"""),"")</f>
        <v/>
      </c>
      <c r="C110" s="30" t="str">
        <f>IFERROR(__xludf.DUMMYFUNCTION("""COMPUTED_VALUE"""),"")</f>
        <v/>
      </c>
      <c r="D110" s="30"/>
      <c r="E110" s="34" t="str">
        <f>IFERROR(__xludf.DUMMYFUNCTION("""COMPUTED_VALUE"""),"")</f>
        <v/>
      </c>
      <c r="F110" s="30"/>
      <c r="G110" s="34" t="str">
        <f>IFERROR(__xludf.DUMMYFUNCTION("""COMPUTED_VALUE"""),"")</f>
        <v/>
      </c>
      <c r="H110" s="34" t="str">
        <f>IFERROR(__xludf.DUMMYFUNCTION("""COMPUTED_VALUE"""),"")</f>
        <v/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</row>
    <row r="111">
      <c r="A111" s="30"/>
      <c r="B111" s="30" t="str">
        <f>IFERROR(__xludf.DUMMYFUNCTION("""COMPUTED_VALUE"""),"")</f>
        <v/>
      </c>
      <c r="C111" s="30" t="str">
        <f>IFERROR(__xludf.DUMMYFUNCTION("""COMPUTED_VALUE"""),"")</f>
        <v/>
      </c>
      <c r="D111" s="30"/>
      <c r="E111" s="34" t="str">
        <f>IFERROR(__xludf.DUMMYFUNCTION("""COMPUTED_VALUE"""),"")</f>
        <v/>
      </c>
      <c r="F111" s="30"/>
      <c r="G111" s="34" t="str">
        <f>IFERROR(__xludf.DUMMYFUNCTION("""COMPUTED_VALUE"""),"")</f>
        <v/>
      </c>
      <c r="H111" s="34" t="str">
        <f>IFERROR(__xludf.DUMMYFUNCTION("""COMPUTED_VALUE"""),"")</f>
        <v/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</row>
    <row r="112">
      <c r="A112" s="30"/>
      <c r="B112" s="30" t="str">
        <f>IFERROR(__xludf.DUMMYFUNCTION("""COMPUTED_VALUE"""),"")</f>
        <v/>
      </c>
      <c r="C112" s="30" t="str">
        <f>IFERROR(__xludf.DUMMYFUNCTION("""COMPUTED_VALUE"""),"")</f>
        <v/>
      </c>
      <c r="D112" s="30"/>
      <c r="E112" s="34" t="str">
        <f>IFERROR(__xludf.DUMMYFUNCTION("""COMPUTED_VALUE"""),"")</f>
        <v/>
      </c>
      <c r="F112" s="30"/>
      <c r="G112" s="34" t="str">
        <f>IFERROR(__xludf.DUMMYFUNCTION("""COMPUTED_VALUE"""),"")</f>
        <v/>
      </c>
      <c r="H112" s="34" t="str">
        <f>IFERROR(__xludf.DUMMYFUNCTION("""COMPUTED_VALUE"""),"")</f>
        <v/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</row>
    <row r="113">
      <c r="A113" s="30"/>
      <c r="B113" s="30" t="str">
        <f>IFERROR(__xludf.DUMMYFUNCTION("""COMPUTED_VALUE"""),"")</f>
        <v/>
      </c>
      <c r="C113" s="30" t="str">
        <f>IFERROR(__xludf.DUMMYFUNCTION("""COMPUTED_VALUE"""),"")</f>
        <v/>
      </c>
      <c r="D113" s="30"/>
      <c r="E113" s="34" t="str">
        <f>IFERROR(__xludf.DUMMYFUNCTION("""COMPUTED_VALUE"""),"")</f>
        <v/>
      </c>
      <c r="F113" s="30"/>
      <c r="G113" s="34" t="str">
        <f>IFERROR(__xludf.DUMMYFUNCTION("""COMPUTED_VALUE"""),"")</f>
        <v/>
      </c>
      <c r="H113" s="34" t="str">
        <f>IFERROR(__xludf.DUMMYFUNCTION("""COMPUTED_VALUE"""),"")</f>
        <v/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</row>
    <row r="114">
      <c r="A114" s="30"/>
      <c r="B114" s="30" t="str">
        <f>IFERROR(__xludf.DUMMYFUNCTION("""COMPUTED_VALUE"""),"")</f>
        <v/>
      </c>
      <c r="C114" s="30" t="str">
        <f>IFERROR(__xludf.DUMMYFUNCTION("""COMPUTED_VALUE"""),"")</f>
        <v/>
      </c>
      <c r="D114" s="30"/>
      <c r="E114" s="34" t="str">
        <f>IFERROR(__xludf.DUMMYFUNCTION("""COMPUTED_VALUE"""),"")</f>
        <v/>
      </c>
      <c r="F114" s="30"/>
      <c r="G114" s="34" t="str">
        <f>IFERROR(__xludf.DUMMYFUNCTION("""COMPUTED_VALUE"""),"")</f>
        <v/>
      </c>
      <c r="H114" s="34" t="str">
        <f>IFERROR(__xludf.DUMMYFUNCTION("""COMPUTED_VALUE"""),"")</f>
        <v/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</row>
    <row r="115">
      <c r="A115" s="30"/>
      <c r="B115" s="30" t="str">
        <f>IFERROR(__xludf.DUMMYFUNCTION("""COMPUTED_VALUE"""),"")</f>
        <v/>
      </c>
      <c r="C115" s="30" t="str">
        <f>IFERROR(__xludf.DUMMYFUNCTION("""COMPUTED_VALUE"""),"")</f>
        <v/>
      </c>
      <c r="D115" s="30"/>
      <c r="E115" s="34" t="str">
        <f>IFERROR(__xludf.DUMMYFUNCTION("""COMPUTED_VALUE"""),"")</f>
        <v/>
      </c>
      <c r="F115" s="30"/>
      <c r="G115" s="34" t="str">
        <f>IFERROR(__xludf.DUMMYFUNCTION("""COMPUTED_VALUE"""),"")</f>
        <v/>
      </c>
      <c r="H115" s="34" t="str">
        <f>IFERROR(__xludf.DUMMYFUNCTION("""COMPUTED_VALUE"""),"")</f>
        <v/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</row>
    <row r="116">
      <c r="A116" s="30"/>
      <c r="B116" s="30" t="str">
        <f>IFERROR(__xludf.DUMMYFUNCTION("""COMPUTED_VALUE"""),"")</f>
        <v/>
      </c>
      <c r="C116" s="30" t="str">
        <f>IFERROR(__xludf.DUMMYFUNCTION("""COMPUTED_VALUE"""),"")</f>
        <v/>
      </c>
      <c r="D116" s="30"/>
      <c r="E116" s="34" t="str">
        <f>IFERROR(__xludf.DUMMYFUNCTION("""COMPUTED_VALUE"""),"")</f>
        <v/>
      </c>
      <c r="F116" s="30"/>
      <c r="G116" s="34" t="str">
        <f>IFERROR(__xludf.DUMMYFUNCTION("""COMPUTED_VALUE"""),"")</f>
        <v/>
      </c>
      <c r="H116" s="34" t="str">
        <f>IFERROR(__xludf.DUMMYFUNCTION("""COMPUTED_VALUE"""),"")</f>
        <v/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</row>
    <row r="117">
      <c r="A117" s="30"/>
      <c r="B117" s="30" t="str">
        <f>IFERROR(__xludf.DUMMYFUNCTION("""COMPUTED_VALUE"""),"")</f>
        <v/>
      </c>
      <c r="C117" s="30" t="str">
        <f>IFERROR(__xludf.DUMMYFUNCTION("""COMPUTED_VALUE"""),"")</f>
        <v/>
      </c>
      <c r="D117" s="30"/>
      <c r="E117" s="34" t="str">
        <f>IFERROR(__xludf.DUMMYFUNCTION("""COMPUTED_VALUE"""),"")</f>
        <v/>
      </c>
      <c r="F117" s="30"/>
      <c r="G117" s="34" t="str">
        <f>IFERROR(__xludf.DUMMYFUNCTION("""COMPUTED_VALUE"""),"")</f>
        <v/>
      </c>
      <c r="H117" s="34" t="str">
        <f>IFERROR(__xludf.DUMMYFUNCTION("""COMPUTED_VALUE"""),"")</f>
        <v/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</row>
    <row r="118">
      <c r="A118" s="30"/>
      <c r="B118" s="30" t="str">
        <f>IFERROR(__xludf.DUMMYFUNCTION("""COMPUTED_VALUE"""),"")</f>
        <v/>
      </c>
      <c r="C118" s="30" t="str">
        <f>IFERROR(__xludf.DUMMYFUNCTION("""COMPUTED_VALUE"""),"")</f>
        <v/>
      </c>
      <c r="D118" s="30"/>
      <c r="E118" s="34" t="str">
        <f>IFERROR(__xludf.DUMMYFUNCTION("""COMPUTED_VALUE"""),"")</f>
        <v/>
      </c>
      <c r="F118" s="30"/>
      <c r="G118" s="34" t="str">
        <f>IFERROR(__xludf.DUMMYFUNCTION("""COMPUTED_VALUE"""),"")</f>
        <v/>
      </c>
      <c r="H118" s="34" t="str">
        <f>IFERROR(__xludf.DUMMYFUNCTION("""COMPUTED_VALUE"""),"")</f>
        <v/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</row>
    <row r="119">
      <c r="A119" s="30"/>
      <c r="B119" s="30" t="str">
        <f>IFERROR(__xludf.DUMMYFUNCTION("""COMPUTED_VALUE"""),"")</f>
        <v/>
      </c>
      <c r="C119" s="30" t="str">
        <f>IFERROR(__xludf.DUMMYFUNCTION("""COMPUTED_VALUE"""),"")</f>
        <v/>
      </c>
      <c r="D119" s="30"/>
      <c r="E119" s="34" t="str">
        <f>IFERROR(__xludf.DUMMYFUNCTION("""COMPUTED_VALUE"""),"")</f>
        <v/>
      </c>
      <c r="F119" s="30"/>
      <c r="G119" s="34" t="str">
        <f>IFERROR(__xludf.DUMMYFUNCTION("""COMPUTED_VALUE"""),"")</f>
        <v/>
      </c>
      <c r="H119" s="34" t="str">
        <f>IFERROR(__xludf.DUMMYFUNCTION("""COMPUTED_VALUE"""),"")</f>
        <v/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</row>
    <row r="120">
      <c r="A120" s="30"/>
      <c r="B120" s="30" t="str">
        <f>IFERROR(__xludf.DUMMYFUNCTION("""COMPUTED_VALUE"""),"")</f>
        <v/>
      </c>
      <c r="C120" s="30" t="str">
        <f>IFERROR(__xludf.DUMMYFUNCTION("""COMPUTED_VALUE"""),"")</f>
        <v/>
      </c>
      <c r="D120" s="30"/>
      <c r="E120" s="34" t="str">
        <f>IFERROR(__xludf.DUMMYFUNCTION("""COMPUTED_VALUE"""),"")</f>
        <v/>
      </c>
      <c r="F120" s="30"/>
      <c r="G120" s="34" t="str">
        <f>IFERROR(__xludf.DUMMYFUNCTION("""COMPUTED_VALUE"""),"")</f>
        <v/>
      </c>
      <c r="H120" s="34" t="str">
        <f>IFERROR(__xludf.DUMMYFUNCTION("""COMPUTED_VALUE"""),"")</f>
        <v/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</row>
    <row r="121">
      <c r="A121" s="30"/>
      <c r="B121" s="30" t="str">
        <f>IFERROR(__xludf.DUMMYFUNCTION("""COMPUTED_VALUE"""),"")</f>
        <v/>
      </c>
      <c r="C121" s="30" t="str">
        <f>IFERROR(__xludf.DUMMYFUNCTION("""COMPUTED_VALUE"""),"")</f>
        <v/>
      </c>
      <c r="D121" s="30"/>
      <c r="E121" s="34" t="str">
        <f>IFERROR(__xludf.DUMMYFUNCTION("""COMPUTED_VALUE"""),"")</f>
        <v/>
      </c>
      <c r="F121" s="30"/>
      <c r="G121" s="34" t="str">
        <f>IFERROR(__xludf.DUMMYFUNCTION("""COMPUTED_VALUE"""),"")</f>
        <v/>
      </c>
      <c r="H121" s="34" t="str">
        <f>IFERROR(__xludf.DUMMYFUNCTION("""COMPUTED_VALUE"""),"")</f>
        <v/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</row>
    <row r="122">
      <c r="A122" s="30"/>
      <c r="B122" s="30" t="str">
        <f>IFERROR(__xludf.DUMMYFUNCTION("""COMPUTED_VALUE"""),"")</f>
        <v/>
      </c>
      <c r="C122" s="30" t="str">
        <f>IFERROR(__xludf.DUMMYFUNCTION("""COMPUTED_VALUE"""),"")</f>
        <v/>
      </c>
      <c r="D122" s="30"/>
      <c r="E122" s="34" t="str">
        <f>IFERROR(__xludf.DUMMYFUNCTION("""COMPUTED_VALUE"""),"")</f>
        <v/>
      </c>
      <c r="F122" s="30"/>
      <c r="G122" s="34" t="str">
        <f>IFERROR(__xludf.DUMMYFUNCTION("""COMPUTED_VALUE"""),"")</f>
        <v/>
      </c>
      <c r="H122" s="34" t="str">
        <f>IFERROR(__xludf.DUMMYFUNCTION("""COMPUTED_VALUE"""),"")</f>
        <v/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</row>
    <row r="123">
      <c r="A123" s="30"/>
      <c r="B123" s="30" t="str">
        <f>IFERROR(__xludf.DUMMYFUNCTION("""COMPUTED_VALUE"""),"")</f>
        <v/>
      </c>
      <c r="C123" s="30" t="str">
        <f>IFERROR(__xludf.DUMMYFUNCTION("""COMPUTED_VALUE"""),"")</f>
        <v/>
      </c>
      <c r="D123" s="30"/>
      <c r="E123" s="34" t="str">
        <f>IFERROR(__xludf.DUMMYFUNCTION("""COMPUTED_VALUE"""),"")</f>
        <v/>
      </c>
      <c r="F123" s="30"/>
      <c r="G123" s="34" t="str">
        <f>IFERROR(__xludf.DUMMYFUNCTION("""COMPUTED_VALUE"""),"")</f>
        <v/>
      </c>
      <c r="H123" s="34" t="str">
        <f>IFERROR(__xludf.DUMMYFUNCTION("""COMPUTED_VALUE"""),"")</f>
        <v/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</row>
    <row r="124">
      <c r="A124" s="30"/>
      <c r="B124" s="30" t="str">
        <f>IFERROR(__xludf.DUMMYFUNCTION("""COMPUTED_VALUE"""),"")</f>
        <v/>
      </c>
      <c r="C124" s="30" t="str">
        <f>IFERROR(__xludf.DUMMYFUNCTION("""COMPUTED_VALUE"""),"")</f>
        <v/>
      </c>
      <c r="D124" s="30"/>
      <c r="E124" s="34" t="str">
        <f>IFERROR(__xludf.DUMMYFUNCTION("""COMPUTED_VALUE"""),"")</f>
        <v/>
      </c>
      <c r="F124" s="30"/>
      <c r="G124" s="34" t="str">
        <f>IFERROR(__xludf.DUMMYFUNCTION("""COMPUTED_VALUE"""),"")</f>
        <v/>
      </c>
      <c r="H124" s="34" t="str">
        <f>IFERROR(__xludf.DUMMYFUNCTION("""COMPUTED_VALUE"""),"")</f>
        <v/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</row>
    <row r="125">
      <c r="A125" s="30"/>
      <c r="B125" s="30" t="str">
        <f>IFERROR(__xludf.DUMMYFUNCTION("""COMPUTED_VALUE"""),"")</f>
        <v/>
      </c>
      <c r="C125" s="30" t="str">
        <f>IFERROR(__xludf.DUMMYFUNCTION("""COMPUTED_VALUE"""),"")</f>
        <v/>
      </c>
      <c r="D125" s="30"/>
      <c r="E125" s="34" t="str">
        <f>IFERROR(__xludf.DUMMYFUNCTION("""COMPUTED_VALUE"""),"")</f>
        <v/>
      </c>
      <c r="F125" s="30"/>
      <c r="G125" s="34" t="str">
        <f>IFERROR(__xludf.DUMMYFUNCTION("""COMPUTED_VALUE"""),"")</f>
        <v/>
      </c>
      <c r="H125" s="34" t="str">
        <f>IFERROR(__xludf.DUMMYFUNCTION("""COMPUTED_VALUE"""),"")</f>
        <v/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</row>
    <row r="126">
      <c r="A126" s="30"/>
      <c r="B126" s="30" t="str">
        <f>IFERROR(__xludf.DUMMYFUNCTION("""COMPUTED_VALUE"""),"")</f>
        <v/>
      </c>
      <c r="C126" s="30" t="str">
        <f>IFERROR(__xludf.DUMMYFUNCTION("""COMPUTED_VALUE"""),"")</f>
        <v/>
      </c>
      <c r="D126" s="30"/>
      <c r="E126" s="34" t="str">
        <f>IFERROR(__xludf.DUMMYFUNCTION("""COMPUTED_VALUE"""),"")</f>
        <v/>
      </c>
      <c r="F126" s="30"/>
      <c r="G126" s="34" t="str">
        <f>IFERROR(__xludf.DUMMYFUNCTION("""COMPUTED_VALUE"""),"")</f>
        <v/>
      </c>
      <c r="H126" s="34" t="str">
        <f>IFERROR(__xludf.DUMMYFUNCTION("""COMPUTED_VALUE"""),"")</f>
        <v/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</row>
    <row r="127">
      <c r="A127" s="30"/>
      <c r="B127" s="30" t="str">
        <f>IFERROR(__xludf.DUMMYFUNCTION("""COMPUTED_VALUE"""),"")</f>
        <v/>
      </c>
      <c r="C127" s="30" t="str">
        <f>IFERROR(__xludf.DUMMYFUNCTION("""COMPUTED_VALUE"""),"")</f>
        <v/>
      </c>
      <c r="D127" s="30"/>
      <c r="E127" s="34" t="str">
        <f>IFERROR(__xludf.DUMMYFUNCTION("""COMPUTED_VALUE"""),"")</f>
        <v/>
      </c>
      <c r="F127" s="30"/>
      <c r="G127" s="34" t="str">
        <f>IFERROR(__xludf.DUMMYFUNCTION("""COMPUTED_VALUE"""),"")</f>
        <v/>
      </c>
      <c r="H127" s="34" t="str">
        <f>IFERROR(__xludf.DUMMYFUNCTION("""COMPUTED_VALUE"""),"")</f>
        <v/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>
      <c r="A128" s="30"/>
      <c r="B128" s="30" t="str">
        <f>IFERROR(__xludf.DUMMYFUNCTION("""COMPUTED_VALUE"""),"")</f>
        <v/>
      </c>
      <c r="C128" s="30" t="str">
        <f>IFERROR(__xludf.DUMMYFUNCTION("""COMPUTED_VALUE"""),"")</f>
        <v/>
      </c>
      <c r="D128" s="30"/>
      <c r="E128" s="34" t="str">
        <f>IFERROR(__xludf.DUMMYFUNCTION("""COMPUTED_VALUE"""),"")</f>
        <v/>
      </c>
      <c r="F128" s="30"/>
      <c r="G128" s="34" t="str">
        <f>IFERROR(__xludf.DUMMYFUNCTION("""COMPUTED_VALUE"""),"")</f>
        <v/>
      </c>
      <c r="H128" s="34" t="str">
        <f>IFERROR(__xludf.DUMMYFUNCTION("""COMPUTED_VALUE"""),"")</f>
        <v/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</row>
    <row r="129">
      <c r="A129" s="30"/>
      <c r="B129" s="30" t="str">
        <f>IFERROR(__xludf.DUMMYFUNCTION("""COMPUTED_VALUE"""),"")</f>
        <v/>
      </c>
      <c r="C129" s="30" t="str">
        <f>IFERROR(__xludf.DUMMYFUNCTION("""COMPUTED_VALUE"""),"")</f>
        <v/>
      </c>
      <c r="D129" s="30"/>
      <c r="E129" s="34" t="str">
        <f>IFERROR(__xludf.DUMMYFUNCTION("""COMPUTED_VALUE"""),"")</f>
        <v/>
      </c>
      <c r="F129" s="30"/>
      <c r="G129" s="34" t="str">
        <f>IFERROR(__xludf.DUMMYFUNCTION("""COMPUTED_VALUE"""),"")</f>
        <v/>
      </c>
      <c r="H129" s="34" t="str">
        <f>IFERROR(__xludf.DUMMYFUNCTION("""COMPUTED_VALUE"""),"")</f>
        <v/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</row>
    <row r="130">
      <c r="A130" s="30"/>
      <c r="B130" s="30" t="str">
        <f>IFERROR(__xludf.DUMMYFUNCTION("""COMPUTED_VALUE"""),"")</f>
        <v/>
      </c>
      <c r="C130" s="30" t="str">
        <f>IFERROR(__xludf.DUMMYFUNCTION("""COMPUTED_VALUE"""),"")</f>
        <v/>
      </c>
      <c r="D130" s="30"/>
      <c r="E130" s="34" t="str">
        <f>IFERROR(__xludf.DUMMYFUNCTION("""COMPUTED_VALUE"""),"")</f>
        <v/>
      </c>
      <c r="F130" s="30"/>
      <c r="G130" s="34" t="str">
        <f>IFERROR(__xludf.DUMMYFUNCTION("""COMPUTED_VALUE"""),"")</f>
        <v/>
      </c>
      <c r="H130" s="34" t="str">
        <f>IFERROR(__xludf.DUMMYFUNCTION("""COMPUTED_VALUE"""),"")</f>
        <v/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</row>
    <row r="131">
      <c r="A131" s="30"/>
      <c r="B131" s="30" t="str">
        <f>IFERROR(__xludf.DUMMYFUNCTION("""COMPUTED_VALUE"""),"")</f>
        <v/>
      </c>
      <c r="C131" s="30" t="str">
        <f>IFERROR(__xludf.DUMMYFUNCTION("""COMPUTED_VALUE"""),"")</f>
        <v/>
      </c>
      <c r="D131" s="30"/>
      <c r="E131" s="34" t="str">
        <f>IFERROR(__xludf.DUMMYFUNCTION("""COMPUTED_VALUE"""),"")</f>
        <v/>
      </c>
      <c r="F131" s="30"/>
      <c r="G131" s="34" t="str">
        <f>IFERROR(__xludf.DUMMYFUNCTION("""COMPUTED_VALUE"""),"")</f>
        <v/>
      </c>
      <c r="H131" s="34" t="str">
        <f>IFERROR(__xludf.DUMMYFUNCTION("""COMPUTED_VALUE"""),"")</f>
        <v/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</row>
    <row r="132">
      <c r="A132" s="30"/>
      <c r="B132" s="30" t="str">
        <f>IFERROR(__xludf.DUMMYFUNCTION("""COMPUTED_VALUE"""),"")</f>
        <v/>
      </c>
      <c r="C132" s="30" t="str">
        <f>IFERROR(__xludf.DUMMYFUNCTION("""COMPUTED_VALUE"""),"")</f>
        <v/>
      </c>
      <c r="D132" s="30"/>
      <c r="E132" s="34" t="str">
        <f>IFERROR(__xludf.DUMMYFUNCTION("""COMPUTED_VALUE"""),"")</f>
        <v/>
      </c>
      <c r="F132" s="30"/>
      <c r="G132" s="34" t="str">
        <f>IFERROR(__xludf.DUMMYFUNCTION("""COMPUTED_VALUE"""),"")</f>
        <v/>
      </c>
      <c r="H132" s="34" t="str">
        <f>IFERROR(__xludf.DUMMYFUNCTION("""COMPUTED_VALUE"""),"")</f>
        <v/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</row>
    <row r="133">
      <c r="A133" s="30"/>
      <c r="B133" s="30" t="str">
        <f>IFERROR(__xludf.DUMMYFUNCTION("""COMPUTED_VALUE"""),"")</f>
        <v/>
      </c>
      <c r="C133" s="30" t="str">
        <f>IFERROR(__xludf.DUMMYFUNCTION("""COMPUTED_VALUE"""),"")</f>
        <v/>
      </c>
      <c r="D133" s="30"/>
      <c r="E133" s="34" t="str">
        <f>IFERROR(__xludf.DUMMYFUNCTION("""COMPUTED_VALUE"""),"")</f>
        <v/>
      </c>
      <c r="F133" s="30"/>
      <c r="G133" s="34" t="str">
        <f>IFERROR(__xludf.DUMMYFUNCTION("""COMPUTED_VALUE"""),"")</f>
        <v/>
      </c>
      <c r="H133" s="34" t="str">
        <f>IFERROR(__xludf.DUMMYFUNCTION("""COMPUTED_VALUE"""),"")</f>
        <v/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</row>
    <row r="134">
      <c r="A134" s="30"/>
      <c r="B134" s="30" t="str">
        <f>IFERROR(__xludf.DUMMYFUNCTION("""COMPUTED_VALUE"""),"")</f>
        <v/>
      </c>
      <c r="C134" s="30" t="str">
        <f>IFERROR(__xludf.DUMMYFUNCTION("""COMPUTED_VALUE"""),"")</f>
        <v/>
      </c>
      <c r="D134" s="30"/>
      <c r="E134" s="34" t="str">
        <f>IFERROR(__xludf.DUMMYFUNCTION("""COMPUTED_VALUE"""),"")</f>
        <v/>
      </c>
      <c r="F134" s="30"/>
      <c r="G134" s="34" t="str">
        <f>IFERROR(__xludf.DUMMYFUNCTION("""COMPUTED_VALUE"""),"")</f>
        <v/>
      </c>
      <c r="H134" s="34" t="str">
        <f>IFERROR(__xludf.DUMMYFUNCTION("""COMPUTED_VALUE"""),"")</f>
        <v/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</row>
    <row r="135">
      <c r="A135" s="30"/>
      <c r="B135" s="30" t="str">
        <f>IFERROR(__xludf.DUMMYFUNCTION("""COMPUTED_VALUE"""),"")</f>
        <v/>
      </c>
      <c r="C135" s="30" t="str">
        <f>IFERROR(__xludf.DUMMYFUNCTION("""COMPUTED_VALUE"""),"")</f>
        <v/>
      </c>
      <c r="D135" s="30"/>
      <c r="E135" s="34" t="str">
        <f>IFERROR(__xludf.DUMMYFUNCTION("""COMPUTED_VALUE"""),"")</f>
        <v/>
      </c>
      <c r="F135" s="30"/>
      <c r="G135" s="34" t="str">
        <f>IFERROR(__xludf.DUMMYFUNCTION("""COMPUTED_VALUE"""),"")</f>
        <v/>
      </c>
      <c r="H135" s="34" t="str">
        <f>IFERROR(__xludf.DUMMYFUNCTION("""COMPUTED_VALUE"""),"")</f>
        <v/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</row>
    <row r="136">
      <c r="A136" s="30"/>
      <c r="B136" s="30" t="str">
        <f>IFERROR(__xludf.DUMMYFUNCTION("""COMPUTED_VALUE"""),"")</f>
        <v/>
      </c>
      <c r="C136" s="30" t="str">
        <f>IFERROR(__xludf.DUMMYFUNCTION("""COMPUTED_VALUE"""),"")</f>
        <v/>
      </c>
      <c r="D136" s="30"/>
      <c r="E136" s="34" t="str">
        <f>IFERROR(__xludf.DUMMYFUNCTION("""COMPUTED_VALUE"""),"")</f>
        <v/>
      </c>
      <c r="F136" s="30"/>
      <c r="G136" s="34" t="str">
        <f>IFERROR(__xludf.DUMMYFUNCTION("""COMPUTED_VALUE"""),"")</f>
        <v/>
      </c>
      <c r="H136" s="34" t="str">
        <f>IFERROR(__xludf.DUMMYFUNCTION("""COMPUTED_VALUE"""),"")</f>
        <v/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</row>
    <row r="137">
      <c r="A137" s="30"/>
      <c r="B137" s="30" t="str">
        <f>IFERROR(__xludf.DUMMYFUNCTION("""COMPUTED_VALUE"""),"")</f>
        <v/>
      </c>
      <c r="C137" s="30" t="str">
        <f>IFERROR(__xludf.DUMMYFUNCTION("""COMPUTED_VALUE"""),"")</f>
        <v/>
      </c>
      <c r="D137" s="30"/>
      <c r="E137" s="34" t="str">
        <f>IFERROR(__xludf.DUMMYFUNCTION("""COMPUTED_VALUE"""),"")</f>
        <v/>
      </c>
      <c r="F137" s="30"/>
      <c r="G137" s="34" t="str">
        <f>IFERROR(__xludf.DUMMYFUNCTION("""COMPUTED_VALUE"""),"")</f>
        <v/>
      </c>
      <c r="H137" s="34" t="str">
        <f>IFERROR(__xludf.DUMMYFUNCTION("""COMPUTED_VALUE"""),"")</f>
        <v/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</row>
    <row r="138">
      <c r="A138" s="30"/>
      <c r="B138" s="30" t="str">
        <f>IFERROR(__xludf.DUMMYFUNCTION("""COMPUTED_VALUE"""),"")</f>
        <v/>
      </c>
      <c r="C138" s="30" t="str">
        <f>IFERROR(__xludf.DUMMYFUNCTION("""COMPUTED_VALUE"""),"")</f>
        <v/>
      </c>
      <c r="D138" s="30"/>
      <c r="E138" s="34" t="str">
        <f>IFERROR(__xludf.DUMMYFUNCTION("""COMPUTED_VALUE"""),"")</f>
        <v/>
      </c>
      <c r="F138" s="30"/>
      <c r="G138" s="34" t="str">
        <f>IFERROR(__xludf.DUMMYFUNCTION("""COMPUTED_VALUE"""),"")</f>
        <v/>
      </c>
      <c r="H138" s="34" t="str">
        <f>IFERROR(__xludf.DUMMYFUNCTION("""COMPUTED_VALUE"""),"")</f>
        <v/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</row>
    <row r="139">
      <c r="A139" s="30"/>
      <c r="B139" s="30" t="str">
        <f>IFERROR(__xludf.DUMMYFUNCTION("""COMPUTED_VALUE"""),"")</f>
        <v/>
      </c>
      <c r="C139" s="30" t="str">
        <f>IFERROR(__xludf.DUMMYFUNCTION("""COMPUTED_VALUE"""),"")</f>
        <v/>
      </c>
      <c r="D139" s="30"/>
      <c r="E139" s="34" t="str">
        <f>IFERROR(__xludf.DUMMYFUNCTION("""COMPUTED_VALUE"""),"")</f>
        <v/>
      </c>
      <c r="F139" s="30"/>
      <c r="G139" s="34" t="str">
        <f>IFERROR(__xludf.DUMMYFUNCTION("""COMPUTED_VALUE"""),"")</f>
        <v/>
      </c>
      <c r="H139" s="34" t="str">
        <f>IFERROR(__xludf.DUMMYFUNCTION("""COMPUTED_VALUE"""),"")</f>
        <v/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>
      <c r="A140" s="30"/>
      <c r="B140" s="30" t="str">
        <f>IFERROR(__xludf.DUMMYFUNCTION("""COMPUTED_VALUE"""),"")</f>
        <v/>
      </c>
      <c r="C140" s="30" t="str">
        <f>IFERROR(__xludf.DUMMYFUNCTION("""COMPUTED_VALUE"""),"")</f>
        <v/>
      </c>
      <c r="D140" s="30"/>
      <c r="E140" s="34" t="str">
        <f>IFERROR(__xludf.DUMMYFUNCTION("""COMPUTED_VALUE"""),"")</f>
        <v/>
      </c>
      <c r="F140" s="30"/>
      <c r="G140" s="34" t="str">
        <f>IFERROR(__xludf.DUMMYFUNCTION("""COMPUTED_VALUE"""),"")</f>
        <v/>
      </c>
      <c r="H140" s="34" t="str">
        <f>IFERROR(__xludf.DUMMYFUNCTION("""COMPUTED_VALUE"""),"")</f>
        <v/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</row>
    <row r="141">
      <c r="A141" s="30"/>
      <c r="B141" s="30" t="str">
        <f>IFERROR(__xludf.DUMMYFUNCTION("""COMPUTED_VALUE"""),"")</f>
        <v/>
      </c>
      <c r="C141" s="30" t="str">
        <f>IFERROR(__xludf.DUMMYFUNCTION("""COMPUTED_VALUE"""),"")</f>
        <v/>
      </c>
      <c r="D141" s="30"/>
      <c r="E141" s="34" t="str">
        <f>IFERROR(__xludf.DUMMYFUNCTION("""COMPUTED_VALUE"""),"")</f>
        <v/>
      </c>
      <c r="F141" s="30"/>
      <c r="G141" s="34" t="str">
        <f>IFERROR(__xludf.DUMMYFUNCTION("""COMPUTED_VALUE"""),"")</f>
        <v/>
      </c>
      <c r="H141" s="34" t="str">
        <f>IFERROR(__xludf.DUMMYFUNCTION("""COMPUTED_VALUE"""),"")</f>
        <v/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</row>
    <row r="142">
      <c r="A142" s="30"/>
      <c r="B142" s="30" t="str">
        <f>IFERROR(__xludf.DUMMYFUNCTION("""COMPUTED_VALUE"""),"")</f>
        <v/>
      </c>
      <c r="C142" s="30" t="str">
        <f>IFERROR(__xludf.DUMMYFUNCTION("""COMPUTED_VALUE"""),"")</f>
        <v/>
      </c>
      <c r="D142" s="30"/>
      <c r="E142" s="34" t="str">
        <f>IFERROR(__xludf.DUMMYFUNCTION("""COMPUTED_VALUE"""),"")</f>
        <v/>
      </c>
      <c r="F142" s="30"/>
      <c r="G142" s="34" t="str">
        <f>IFERROR(__xludf.DUMMYFUNCTION("""COMPUTED_VALUE"""),"")</f>
        <v/>
      </c>
      <c r="H142" s="34" t="str">
        <f>IFERROR(__xludf.DUMMYFUNCTION("""COMPUTED_VALUE"""),"")</f>
        <v/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</row>
    <row r="143">
      <c r="A143" s="30"/>
      <c r="B143" s="30" t="str">
        <f>IFERROR(__xludf.DUMMYFUNCTION("""COMPUTED_VALUE"""),"")</f>
        <v/>
      </c>
      <c r="C143" s="30" t="str">
        <f>IFERROR(__xludf.DUMMYFUNCTION("""COMPUTED_VALUE"""),"")</f>
        <v/>
      </c>
      <c r="D143" s="30"/>
      <c r="E143" s="34" t="str">
        <f>IFERROR(__xludf.DUMMYFUNCTION("""COMPUTED_VALUE"""),"")</f>
        <v/>
      </c>
      <c r="F143" s="30"/>
      <c r="G143" s="34" t="str">
        <f>IFERROR(__xludf.DUMMYFUNCTION("""COMPUTED_VALUE"""),"")</f>
        <v/>
      </c>
      <c r="H143" s="34" t="str">
        <f>IFERROR(__xludf.DUMMYFUNCTION("""COMPUTED_VALUE"""),"")</f>
        <v/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</row>
    <row r="144">
      <c r="A144" s="30"/>
      <c r="B144" s="30" t="str">
        <f>IFERROR(__xludf.DUMMYFUNCTION("""COMPUTED_VALUE"""),"")</f>
        <v/>
      </c>
      <c r="C144" s="30" t="str">
        <f>IFERROR(__xludf.DUMMYFUNCTION("""COMPUTED_VALUE"""),"")</f>
        <v/>
      </c>
      <c r="D144" s="30"/>
      <c r="E144" s="34" t="str">
        <f>IFERROR(__xludf.DUMMYFUNCTION("""COMPUTED_VALUE"""),"")</f>
        <v/>
      </c>
      <c r="F144" s="30"/>
      <c r="G144" s="34" t="str">
        <f>IFERROR(__xludf.DUMMYFUNCTION("""COMPUTED_VALUE"""),"")</f>
        <v/>
      </c>
      <c r="H144" s="34" t="str">
        <f>IFERROR(__xludf.DUMMYFUNCTION("""COMPUTED_VALUE"""),"")</f>
        <v/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</row>
    <row r="145">
      <c r="A145" s="30"/>
      <c r="B145" s="30" t="str">
        <f>IFERROR(__xludf.DUMMYFUNCTION("""COMPUTED_VALUE"""),"")</f>
        <v/>
      </c>
      <c r="C145" s="30" t="str">
        <f>IFERROR(__xludf.DUMMYFUNCTION("""COMPUTED_VALUE"""),"")</f>
        <v/>
      </c>
      <c r="D145" s="30"/>
      <c r="E145" s="34" t="str">
        <f>IFERROR(__xludf.DUMMYFUNCTION("""COMPUTED_VALUE"""),"")</f>
        <v/>
      </c>
      <c r="F145" s="30"/>
      <c r="G145" s="34" t="str">
        <f>IFERROR(__xludf.DUMMYFUNCTION("""COMPUTED_VALUE"""),"")</f>
        <v/>
      </c>
      <c r="H145" s="34" t="str">
        <f>IFERROR(__xludf.DUMMYFUNCTION("""COMPUTED_VALUE"""),"")</f>
        <v/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</row>
    <row r="146">
      <c r="A146" s="30"/>
      <c r="B146" s="30" t="str">
        <f>IFERROR(__xludf.DUMMYFUNCTION("""COMPUTED_VALUE"""),"")</f>
        <v/>
      </c>
      <c r="C146" s="30" t="str">
        <f>IFERROR(__xludf.DUMMYFUNCTION("""COMPUTED_VALUE"""),"")</f>
        <v/>
      </c>
      <c r="D146" s="30"/>
      <c r="E146" s="34" t="str">
        <f>IFERROR(__xludf.DUMMYFUNCTION("""COMPUTED_VALUE"""),"")</f>
        <v/>
      </c>
      <c r="F146" s="30"/>
      <c r="G146" s="34" t="str">
        <f>IFERROR(__xludf.DUMMYFUNCTION("""COMPUTED_VALUE"""),"")</f>
        <v/>
      </c>
      <c r="H146" s="34" t="str">
        <f>IFERROR(__xludf.DUMMYFUNCTION("""COMPUTED_VALUE"""),"")</f>
        <v/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</row>
    <row r="147">
      <c r="A147" s="30"/>
      <c r="B147" s="30" t="str">
        <f>IFERROR(__xludf.DUMMYFUNCTION("""COMPUTED_VALUE"""),"")</f>
        <v/>
      </c>
      <c r="C147" s="30" t="str">
        <f>IFERROR(__xludf.DUMMYFUNCTION("""COMPUTED_VALUE"""),"")</f>
        <v/>
      </c>
      <c r="D147" s="30"/>
      <c r="E147" s="34" t="str">
        <f>IFERROR(__xludf.DUMMYFUNCTION("""COMPUTED_VALUE"""),"")</f>
        <v/>
      </c>
      <c r="F147" s="30"/>
      <c r="G147" s="34" t="str">
        <f>IFERROR(__xludf.DUMMYFUNCTION("""COMPUTED_VALUE"""),"")</f>
        <v/>
      </c>
      <c r="H147" s="34" t="str">
        <f>IFERROR(__xludf.DUMMYFUNCTION("""COMPUTED_VALUE"""),"")</f>
        <v/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</row>
    <row r="148">
      <c r="A148" s="30"/>
      <c r="B148" s="30" t="str">
        <f>IFERROR(__xludf.DUMMYFUNCTION("""COMPUTED_VALUE"""),"")</f>
        <v/>
      </c>
      <c r="C148" s="30" t="str">
        <f>IFERROR(__xludf.DUMMYFUNCTION("""COMPUTED_VALUE"""),"")</f>
        <v/>
      </c>
      <c r="D148" s="30"/>
      <c r="E148" s="34" t="str">
        <f>IFERROR(__xludf.DUMMYFUNCTION("""COMPUTED_VALUE"""),"")</f>
        <v/>
      </c>
      <c r="F148" s="30"/>
      <c r="G148" s="34" t="str">
        <f>IFERROR(__xludf.DUMMYFUNCTION("""COMPUTED_VALUE"""),"")</f>
        <v/>
      </c>
      <c r="H148" s="34" t="str">
        <f>IFERROR(__xludf.DUMMYFUNCTION("""COMPUTED_VALUE"""),"")</f>
        <v/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</row>
    <row r="149">
      <c r="A149" s="30"/>
      <c r="B149" s="30" t="str">
        <f>IFERROR(__xludf.DUMMYFUNCTION("""COMPUTED_VALUE"""),"")</f>
        <v/>
      </c>
      <c r="C149" s="30" t="str">
        <f>IFERROR(__xludf.DUMMYFUNCTION("""COMPUTED_VALUE"""),"")</f>
        <v/>
      </c>
      <c r="D149" s="30"/>
      <c r="E149" s="34" t="str">
        <f>IFERROR(__xludf.DUMMYFUNCTION("""COMPUTED_VALUE"""),"")</f>
        <v/>
      </c>
      <c r="F149" s="30"/>
      <c r="G149" s="34" t="str">
        <f>IFERROR(__xludf.DUMMYFUNCTION("""COMPUTED_VALUE"""),"")</f>
        <v/>
      </c>
      <c r="H149" s="34" t="str">
        <f>IFERROR(__xludf.DUMMYFUNCTION("""COMPUTED_VALUE"""),"")</f>
        <v/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</row>
    <row r="150">
      <c r="A150" s="30"/>
      <c r="B150" s="30" t="str">
        <f>IFERROR(__xludf.DUMMYFUNCTION("""COMPUTED_VALUE"""),"")</f>
        <v/>
      </c>
      <c r="C150" s="30" t="str">
        <f>IFERROR(__xludf.DUMMYFUNCTION("""COMPUTED_VALUE"""),"")</f>
        <v/>
      </c>
      <c r="D150" s="30"/>
      <c r="E150" s="34" t="str">
        <f>IFERROR(__xludf.DUMMYFUNCTION("""COMPUTED_VALUE"""),"")</f>
        <v/>
      </c>
      <c r="F150" s="30"/>
      <c r="G150" s="34" t="str">
        <f>IFERROR(__xludf.DUMMYFUNCTION("""COMPUTED_VALUE"""),"")</f>
        <v/>
      </c>
      <c r="H150" s="34" t="str">
        <f>IFERROR(__xludf.DUMMYFUNCTION("""COMPUTED_VALUE"""),"")</f>
        <v/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</row>
    <row r="151">
      <c r="A151" s="30"/>
      <c r="B151" s="30" t="str">
        <f>IFERROR(__xludf.DUMMYFUNCTION("""COMPUTED_VALUE"""),"")</f>
        <v/>
      </c>
      <c r="C151" s="30" t="str">
        <f>IFERROR(__xludf.DUMMYFUNCTION("""COMPUTED_VALUE"""),"")</f>
        <v/>
      </c>
      <c r="D151" s="30"/>
      <c r="E151" s="34" t="str">
        <f>IFERROR(__xludf.DUMMYFUNCTION("""COMPUTED_VALUE"""),"")</f>
        <v/>
      </c>
      <c r="F151" s="30"/>
      <c r="G151" s="34" t="str">
        <f>IFERROR(__xludf.DUMMYFUNCTION("""COMPUTED_VALUE"""),"")</f>
        <v/>
      </c>
      <c r="H151" s="34" t="str">
        <f>IFERROR(__xludf.DUMMYFUNCTION("""COMPUTED_VALUE"""),"")</f>
        <v/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</row>
    <row r="152">
      <c r="A152" s="30"/>
      <c r="B152" s="30" t="str">
        <f>IFERROR(__xludf.DUMMYFUNCTION("""COMPUTED_VALUE"""),"")</f>
        <v/>
      </c>
      <c r="C152" s="30" t="str">
        <f>IFERROR(__xludf.DUMMYFUNCTION("""COMPUTED_VALUE"""),"")</f>
        <v/>
      </c>
      <c r="D152" s="30"/>
      <c r="E152" s="34" t="str">
        <f>IFERROR(__xludf.DUMMYFUNCTION("""COMPUTED_VALUE"""),"")</f>
        <v/>
      </c>
      <c r="F152" s="30"/>
      <c r="G152" s="34" t="str">
        <f>IFERROR(__xludf.DUMMYFUNCTION("""COMPUTED_VALUE"""),"")</f>
        <v/>
      </c>
      <c r="H152" s="34" t="str">
        <f>IFERROR(__xludf.DUMMYFUNCTION("""COMPUTED_VALUE"""),"")</f>
        <v/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</row>
    <row r="153">
      <c r="A153" s="30"/>
      <c r="B153" s="30" t="str">
        <f>IFERROR(__xludf.DUMMYFUNCTION("""COMPUTED_VALUE"""),"")</f>
        <v/>
      </c>
      <c r="C153" s="30" t="str">
        <f>IFERROR(__xludf.DUMMYFUNCTION("""COMPUTED_VALUE"""),"")</f>
        <v/>
      </c>
      <c r="D153" s="30"/>
      <c r="E153" s="34" t="str">
        <f>IFERROR(__xludf.DUMMYFUNCTION("""COMPUTED_VALUE"""),"")</f>
        <v/>
      </c>
      <c r="F153" s="30"/>
      <c r="G153" s="34" t="str">
        <f>IFERROR(__xludf.DUMMYFUNCTION("""COMPUTED_VALUE"""),"")</f>
        <v/>
      </c>
      <c r="H153" s="34" t="str">
        <f>IFERROR(__xludf.DUMMYFUNCTION("""COMPUTED_VALUE"""),"")</f>
        <v/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</row>
    <row r="154">
      <c r="A154" s="30"/>
      <c r="B154" s="30" t="str">
        <f>IFERROR(__xludf.DUMMYFUNCTION("""COMPUTED_VALUE"""),"")</f>
        <v/>
      </c>
      <c r="C154" s="30" t="str">
        <f>IFERROR(__xludf.DUMMYFUNCTION("""COMPUTED_VALUE"""),"")</f>
        <v/>
      </c>
      <c r="D154" s="30"/>
      <c r="E154" s="34" t="str">
        <f>IFERROR(__xludf.DUMMYFUNCTION("""COMPUTED_VALUE"""),"")</f>
        <v/>
      </c>
      <c r="F154" s="30"/>
      <c r="G154" s="34" t="str">
        <f>IFERROR(__xludf.DUMMYFUNCTION("""COMPUTED_VALUE"""),"")</f>
        <v/>
      </c>
      <c r="H154" s="34" t="str">
        <f>IFERROR(__xludf.DUMMYFUNCTION("""COMPUTED_VALUE"""),"")</f>
        <v/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</row>
    <row r="155">
      <c r="A155" s="30"/>
      <c r="B155" s="30" t="str">
        <f>IFERROR(__xludf.DUMMYFUNCTION("""COMPUTED_VALUE"""),"")</f>
        <v/>
      </c>
      <c r="C155" s="30" t="str">
        <f>IFERROR(__xludf.DUMMYFUNCTION("""COMPUTED_VALUE"""),"")</f>
        <v/>
      </c>
      <c r="D155" s="30"/>
      <c r="E155" s="34" t="str">
        <f>IFERROR(__xludf.DUMMYFUNCTION("""COMPUTED_VALUE"""),"")</f>
        <v/>
      </c>
      <c r="F155" s="30"/>
      <c r="G155" s="34" t="str">
        <f>IFERROR(__xludf.DUMMYFUNCTION("""COMPUTED_VALUE"""),"")</f>
        <v/>
      </c>
      <c r="H155" s="34" t="str">
        <f>IFERROR(__xludf.DUMMYFUNCTION("""COMPUTED_VALUE"""),"")</f>
        <v/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</row>
    <row r="156">
      <c r="A156" s="30"/>
      <c r="B156" s="30" t="str">
        <f>IFERROR(__xludf.DUMMYFUNCTION("""COMPUTED_VALUE"""),"")</f>
        <v/>
      </c>
      <c r="C156" s="30" t="str">
        <f>IFERROR(__xludf.DUMMYFUNCTION("""COMPUTED_VALUE"""),"")</f>
        <v/>
      </c>
      <c r="D156" s="30"/>
      <c r="E156" s="34" t="str">
        <f>IFERROR(__xludf.DUMMYFUNCTION("""COMPUTED_VALUE"""),"")</f>
        <v/>
      </c>
      <c r="F156" s="30"/>
      <c r="G156" s="34" t="str">
        <f>IFERROR(__xludf.DUMMYFUNCTION("""COMPUTED_VALUE"""),"")</f>
        <v/>
      </c>
      <c r="H156" s="34" t="str">
        <f>IFERROR(__xludf.DUMMYFUNCTION("""COMPUTED_VALUE"""),"")</f>
        <v/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</row>
    <row r="157">
      <c r="A157" s="30"/>
      <c r="B157" s="30" t="str">
        <f>IFERROR(__xludf.DUMMYFUNCTION("""COMPUTED_VALUE"""),"")</f>
        <v/>
      </c>
      <c r="C157" s="30" t="str">
        <f>IFERROR(__xludf.DUMMYFUNCTION("""COMPUTED_VALUE"""),"")</f>
        <v/>
      </c>
      <c r="D157" s="30"/>
      <c r="E157" s="34" t="str">
        <f>IFERROR(__xludf.DUMMYFUNCTION("""COMPUTED_VALUE"""),"")</f>
        <v/>
      </c>
      <c r="F157" s="30"/>
      <c r="G157" s="34" t="str">
        <f>IFERROR(__xludf.DUMMYFUNCTION("""COMPUTED_VALUE"""),"")</f>
        <v/>
      </c>
      <c r="H157" s="34" t="str">
        <f>IFERROR(__xludf.DUMMYFUNCTION("""COMPUTED_VALUE"""),"")</f>
        <v/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</row>
    <row r="158">
      <c r="A158" s="30"/>
      <c r="B158" s="30" t="str">
        <f>IFERROR(__xludf.DUMMYFUNCTION("""COMPUTED_VALUE"""),"")</f>
        <v/>
      </c>
      <c r="C158" s="30" t="str">
        <f>IFERROR(__xludf.DUMMYFUNCTION("""COMPUTED_VALUE"""),"")</f>
        <v/>
      </c>
      <c r="D158" s="30"/>
      <c r="E158" s="34" t="str">
        <f>IFERROR(__xludf.DUMMYFUNCTION("""COMPUTED_VALUE"""),"")</f>
        <v/>
      </c>
      <c r="F158" s="30"/>
      <c r="G158" s="34" t="str">
        <f>IFERROR(__xludf.DUMMYFUNCTION("""COMPUTED_VALUE"""),"")</f>
        <v/>
      </c>
      <c r="H158" s="34" t="str">
        <f>IFERROR(__xludf.DUMMYFUNCTION("""COMPUTED_VALUE"""),"")</f>
        <v/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>
      <c r="A159" s="30"/>
      <c r="B159" s="30" t="str">
        <f>IFERROR(__xludf.DUMMYFUNCTION("""COMPUTED_VALUE"""),"")</f>
        <v/>
      </c>
      <c r="C159" s="30" t="str">
        <f>IFERROR(__xludf.DUMMYFUNCTION("""COMPUTED_VALUE"""),"")</f>
        <v/>
      </c>
      <c r="D159" s="30"/>
      <c r="E159" s="34" t="str">
        <f>IFERROR(__xludf.DUMMYFUNCTION("""COMPUTED_VALUE"""),"")</f>
        <v/>
      </c>
      <c r="F159" s="30"/>
      <c r="G159" s="34" t="str">
        <f>IFERROR(__xludf.DUMMYFUNCTION("""COMPUTED_VALUE"""),"")</f>
        <v/>
      </c>
      <c r="H159" s="34" t="str">
        <f>IFERROR(__xludf.DUMMYFUNCTION("""COMPUTED_VALUE"""),"")</f>
        <v/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</row>
    <row r="160">
      <c r="A160" s="30"/>
      <c r="B160" s="30" t="str">
        <f>IFERROR(__xludf.DUMMYFUNCTION("""COMPUTED_VALUE"""),"")</f>
        <v/>
      </c>
      <c r="C160" s="30" t="str">
        <f>IFERROR(__xludf.DUMMYFUNCTION("""COMPUTED_VALUE"""),"")</f>
        <v/>
      </c>
      <c r="D160" s="30"/>
      <c r="E160" s="34" t="str">
        <f>IFERROR(__xludf.DUMMYFUNCTION("""COMPUTED_VALUE"""),"")</f>
        <v/>
      </c>
      <c r="F160" s="30"/>
      <c r="G160" s="34" t="str">
        <f>IFERROR(__xludf.DUMMYFUNCTION("""COMPUTED_VALUE"""),"")</f>
        <v/>
      </c>
      <c r="H160" s="34" t="str">
        <f>IFERROR(__xludf.DUMMYFUNCTION("""COMPUTED_VALUE"""),"")</f>
        <v/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</row>
    <row r="161">
      <c r="A161" s="30"/>
      <c r="B161" s="30" t="str">
        <f>IFERROR(__xludf.DUMMYFUNCTION("""COMPUTED_VALUE"""),"")</f>
        <v/>
      </c>
      <c r="C161" s="30" t="str">
        <f>IFERROR(__xludf.DUMMYFUNCTION("""COMPUTED_VALUE"""),"")</f>
        <v/>
      </c>
      <c r="D161" s="30"/>
      <c r="E161" s="34" t="str">
        <f>IFERROR(__xludf.DUMMYFUNCTION("""COMPUTED_VALUE"""),"")</f>
        <v/>
      </c>
      <c r="F161" s="30"/>
      <c r="G161" s="34" t="str">
        <f>IFERROR(__xludf.DUMMYFUNCTION("""COMPUTED_VALUE"""),"")</f>
        <v/>
      </c>
      <c r="H161" s="34" t="str">
        <f>IFERROR(__xludf.DUMMYFUNCTION("""COMPUTED_VALUE"""),"")</f>
        <v/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</row>
    <row r="162">
      <c r="A162" s="30"/>
      <c r="B162" s="30" t="str">
        <f>IFERROR(__xludf.DUMMYFUNCTION("""COMPUTED_VALUE"""),"")</f>
        <v/>
      </c>
      <c r="C162" s="30" t="str">
        <f>IFERROR(__xludf.DUMMYFUNCTION("""COMPUTED_VALUE"""),"")</f>
        <v/>
      </c>
      <c r="D162" s="30"/>
      <c r="E162" s="34" t="str">
        <f>IFERROR(__xludf.DUMMYFUNCTION("""COMPUTED_VALUE"""),"")</f>
        <v/>
      </c>
      <c r="F162" s="30"/>
      <c r="G162" s="34" t="str">
        <f>IFERROR(__xludf.DUMMYFUNCTION("""COMPUTED_VALUE"""),"")</f>
        <v/>
      </c>
      <c r="H162" s="34" t="str">
        <f>IFERROR(__xludf.DUMMYFUNCTION("""COMPUTED_VALUE"""),"")</f>
        <v/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</row>
    <row r="163">
      <c r="A163" s="30"/>
      <c r="B163" s="30" t="str">
        <f>IFERROR(__xludf.DUMMYFUNCTION("""COMPUTED_VALUE"""),"")</f>
        <v/>
      </c>
      <c r="C163" s="30" t="str">
        <f>IFERROR(__xludf.DUMMYFUNCTION("""COMPUTED_VALUE"""),"")</f>
        <v/>
      </c>
      <c r="D163" s="30"/>
      <c r="E163" s="34" t="str">
        <f>IFERROR(__xludf.DUMMYFUNCTION("""COMPUTED_VALUE"""),"")</f>
        <v/>
      </c>
      <c r="F163" s="30"/>
      <c r="G163" s="34" t="str">
        <f>IFERROR(__xludf.DUMMYFUNCTION("""COMPUTED_VALUE"""),"")</f>
        <v/>
      </c>
      <c r="H163" s="34" t="str">
        <f>IFERROR(__xludf.DUMMYFUNCTION("""COMPUTED_VALUE"""),"")</f>
        <v/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</row>
    <row r="164">
      <c r="A164" s="30"/>
      <c r="B164" s="30" t="str">
        <f>IFERROR(__xludf.DUMMYFUNCTION("""COMPUTED_VALUE"""),"")</f>
        <v/>
      </c>
      <c r="C164" s="30" t="str">
        <f>IFERROR(__xludf.DUMMYFUNCTION("""COMPUTED_VALUE"""),"")</f>
        <v/>
      </c>
      <c r="D164" s="30"/>
      <c r="E164" s="34" t="str">
        <f>IFERROR(__xludf.DUMMYFUNCTION("""COMPUTED_VALUE"""),"")</f>
        <v/>
      </c>
      <c r="F164" s="30"/>
      <c r="G164" s="34" t="str">
        <f>IFERROR(__xludf.DUMMYFUNCTION("""COMPUTED_VALUE"""),"")</f>
        <v/>
      </c>
      <c r="H164" s="34" t="str">
        <f>IFERROR(__xludf.DUMMYFUNCTION("""COMPUTED_VALUE"""),"")</f>
        <v/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>
      <c r="A165" s="30"/>
      <c r="B165" s="30" t="str">
        <f>IFERROR(__xludf.DUMMYFUNCTION("""COMPUTED_VALUE"""),"")</f>
        <v/>
      </c>
      <c r="C165" s="30" t="str">
        <f>IFERROR(__xludf.DUMMYFUNCTION("""COMPUTED_VALUE"""),"")</f>
        <v/>
      </c>
      <c r="D165" s="30"/>
      <c r="E165" s="34" t="str">
        <f>IFERROR(__xludf.DUMMYFUNCTION("""COMPUTED_VALUE"""),"")</f>
        <v/>
      </c>
      <c r="F165" s="30"/>
      <c r="G165" s="34" t="str">
        <f>IFERROR(__xludf.DUMMYFUNCTION("""COMPUTED_VALUE"""),"")</f>
        <v/>
      </c>
      <c r="H165" s="34" t="str">
        <f>IFERROR(__xludf.DUMMYFUNCTION("""COMPUTED_VALUE"""),"")</f>
        <v/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</row>
    <row r="166">
      <c r="A166" s="30"/>
      <c r="B166" s="30" t="str">
        <f>IFERROR(__xludf.DUMMYFUNCTION("""COMPUTED_VALUE"""),"")</f>
        <v/>
      </c>
      <c r="C166" s="30" t="str">
        <f>IFERROR(__xludf.DUMMYFUNCTION("""COMPUTED_VALUE"""),"")</f>
        <v/>
      </c>
      <c r="D166" s="30"/>
      <c r="E166" s="34" t="str">
        <f>IFERROR(__xludf.DUMMYFUNCTION("""COMPUTED_VALUE"""),"")</f>
        <v/>
      </c>
      <c r="F166" s="30"/>
      <c r="G166" s="34" t="str">
        <f>IFERROR(__xludf.DUMMYFUNCTION("""COMPUTED_VALUE"""),"")</f>
        <v/>
      </c>
      <c r="H166" s="34" t="str">
        <f>IFERROR(__xludf.DUMMYFUNCTION("""COMPUTED_VALUE"""),"")</f>
        <v/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</row>
    <row r="167">
      <c r="A167" s="30"/>
      <c r="B167" s="30" t="str">
        <f>IFERROR(__xludf.DUMMYFUNCTION("""COMPUTED_VALUE"""),"")</f>
        <v/>
      </c>
      <c r="C167" s="30" t="str">
        <f>IFERROR(__xludf.DUMMYFUNCTION("""COMPUTED_VALUE"""),"")</f>
        <v/>
      </c>
      <c r="D167" s="30"/>
      <c r="E167" s="34" t="str">
        <f>IFERROR(__xludf.DUMMYFUNCTION("""COMPUTED_VALUE"""),"")</f>
        <v/>
      </c>
      <c r="F167" s="30"/>
      <c r="G167" s="34" t="str">
        <f>IFERROR(__xludf.DUMMYFUNCTION("""COMPUTED_VALUE"""),"")</f>
        <v/>
      </c>
      <c r="H167" s="34" t="str">
        <f>IFERROR(__xludf.DUMMYFUNCTION("""COMPUTED_VALUE"""),"")</f>
        <v/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</row>
    <row r="168">
      <c r="A168" s="30"/>
      <c r="B168" s="30" t="str">
        <f>IFERROR(__xludf.DUMMYFUNCTION("""COMPUTED_VALUE"""),"")</f>
        <v/>
      </c>
      <c r="C168" s="30" t="str">
        <f>IFERROR(__xludf.DUMMYFUNCTION("""COMPUTED_VALUE"""),"")</f>
        <v/>
      </c>
      <c r="D168" s="30"/>
      <c r="E168" s="34" t="str">
        <f>IFERROR(__xludf.DUMMYFUNCTION("""COMPUTED_VALUE"""),"")</f>
        <v/>
      </c>
      <c r="F168" s="30"/>
      <c r="G168" s="34" t="str">
        <f>IFERROR(__xludf.DUMMYFUNCTION("""COMPUTED_VALUE"""),"")</f>
        <v/>
      </c>
      <c r="H168" s="34" t="str">
        <f>IFERROR(__xludf.DUMMYFUNCTION("""COMPUTED_VALUE"""),"")</f>
        <v/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</row>
    <row r="169">
      <c r="A169" s="30"/>
      <c r="B169" s="30" t="str">
        <f>IFERROR(__xludf.DUMMYFUNCTION("""COMPUTED_VALUE"""),"")</f>
        <v/>
      </c>
      <c r="C169" s="30" t="str">
        <f>IFERROR(__xludf.DUMMYFUNCTION("""COMPUTED_VALUE"""),"")</f>
        <v/>
      </c>
      <c r="D169" s="30"/>
      <c r="E169" s="34" t="str">
        <f>IFERROR(__xludf.DUMMYFUNCTION("""COMPUTED_VALUE"""),"")</f>
        <v/>
      </c>
      <c r="F169" s="30"/>
      <c r="G169" s="34" t="str">
        <f>IFERROR(__xludf.DUMMYFUNCTION("""COMPUTED_VALUE"""),"")</f>
        <v/>
      </c>
      <c r="H169" s="34" t="str">
        <f>IFERROR(__xludf.DUMMYFUNCTION("""COMPUTED_VALUE"""),"")</f>
        <v/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</row>
    <row r="170">
      <c r="A170" s="30"/>
      <c r="B170" s="30" t="str">
        <f>IFERROR(__xludf.DUMMYFUNCTION("""COMPUTED_VALUE"""),"")</f>
        <v/>
      </c>
      <c r="C170" s="30" t="str">
        <f>IFERROR(__xludf.DUMMYFUNCTION("""COMPUTED_VALUE"""),"")</f>
        <v/>
      </c>
      <c r="D170" s="30"/>
      <c r="E170" s="34" t="str">
        <f>IFERROR(__xludf.DUMMYFUNCTION("""COMPUTED_VALUE"""),"")</f>
        <v/>
      </c>
      <c r="F170" s="30"/>
      <c r="G170" s="34" t="str">
        <f>IFERROR(__xludf.DUMMYFUNCTION("""COMPUTED_VALUE"""),"")</f>
        <v/>
      </c>
      <c r="H170" s="34" t="str">
        <f>IFERROR(__xludf.DUMMYFUNCTION("""COMPUTED_VALUE"""),"")</f>
        <v/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</row>
    <row r="171">
      <c r="A171" s="30"/>
      <c r="B171" s="30" t="str">
        <f>IFERROR(__xludf.DUMMYFUNCTION("""COMPUTED_VALUE"""),"")</f>
        <v/>
      </c>
      <c r="C171" s="30" t="str">
        <f>IFERROR(__xludf.DUMMYFUNCTION("""COMPUTED_VALUE"""),"")</f>
        <v/>
      </c>
      <c r="D171" s="30"/>
      <c r="E171" s="34" t="str">
        <f>IFERROR(__xludf.DUMMYFUNCTION("""COMPUTED_VALUE"""),"")</f>
        <v/>
      </c>
      <c r="F171" s="30"/>
      <c r="G171" s="34" t="str">
        <f>IFERROR(__xludf.DUMMYFUNCTION("""COMPUTED_VALUE"""),"")</f>
        <v/>
      </c>
      <c r="H171" s="34" t="str">
        <f>IFERROR(__xludf.DUMMYFUNCTION("""COMPUTED_VALUE"""),"")</f>
        <v/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</row>
    <row r="172">
      <c r="A172" s="30"/>
      <c r="B172" s="30" t="str">
        <f>IFERROR(__xludf.DUMMYFUNCTION("""COMPUTED_VALUE"""),"")</f>
        <v/>
      </c>
      <c r="C172" s="30" t="str">
        <f>IFERROR(__xludf.DUMMYFUNCTION("""COMPUTED_VALUE"""),"")</f>
        <v/>
      </c>
      <c r="D172" s="30"/>
      <c r="E172" s="34" t="str">
        <f>IFERROR(__xludf.DUMMYFUNCTION("""COMPUTED_VALUE"""),"")</f>
        <v/>
      </c>
      <c r="F172" s="30"/>
      <c r="G172" s="34" t="str">
        <f>IFERROR(__xludf.DUMMYFUNCTION("""COMPUTED_VALUE"""),"")</f>
        <v/>
      </c>
      <c r="H172" s="34" t="str">
        <f>IFERROR(__xludf.DUMMYFUNCTION("""COMPUTED_VALUE"""),"")</f>
        <v/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</row>
    <row r="173">
      <c r="A173" s="30"/>
      <c r="B173" s="30" t="str">
        <f>IFERROR(__xludf.DUMMYFUNCTION("""COMPUTED_VALUE"""),"")</f>
        <v/>
      </c>
      <c r="C173" s="30" t="str">
        <f>IFERROR(__xludf.DUMMYFUNCTION("""COMPUTED_VALUE"""),"")</f>
        <v/>
      </c>
      <c r="D173" s="30"/>
      <c r="E173" s="34" t="str">
        <f>IFERROR(__xludf.DUMMYFUNCTION("""COMPUTED_VALUE"""),"")</f>
        <v/>
      </c>
      <c r="F173" s="30"/>
      <c r="G173" s="34" t="str">
        <f>IFERROR(__xludf.DUMMYFUNCTION("""COMPUTED_VALUE"""),"")</f>
        <v/>
      </c>
      <c r="H173" s="34" t="str">
        <f>IFERROR(__xludf.DUMMYFUNCTION("""COMPUTED_VALUE"""),"")</f>
        <v/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</row>
    <row r="174">
      <c r="A174" s="30"/>
      <c r="B174" s="30" t="str">
        <f>IFERROR(__xludf.DUMMYFUNCTION("""COMPUTED_VALUE"""),"")</f>
        <v/>
      </c>
      <c r="C174" s="30" t="str">
        <f>IFERROR(__xludf.DUMMYFUNCTION("""COMPUTED_VALUE"""),"")</f>
        <v/>
      </c>
      <c r="D174" s="30"/>
      <c r="E174" s="34" t="str">
        <f>IFERROR(__xludf.DUMMYFUNCTION("""COMPUTED_VALUE"""),"")</f>
        <v/>
      </c>
      <c r="F174" s="30"/>
      <c r="G174" s="34" t="str">
        <f>IFERROR(__xludf.DUMMYFUNCTION("""COMPUTED_VALUE"""),"")</f>
        <v/>
      </c>
      <c r="H174" s="34" t="str">
        <f>IFERROR(__xludf.DUMMYFUNCTION("""COMPUTED_VALUE"""),"")</f>
        <v/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</row>
    <row r="175">
      <c r="A175" s="30"/>
      <c r="B175" s="30" t="str">
        <f>IFERROR(__xludf.DUMMYFUNCTION("""COMPUTED_VALUE"""),"")</f>
        <v/>
      </c>
      <c r="C175" s="30" t="str">
        <f>IFERROR(__xludf.DUMMYFUNCTION("""COMPUTED_VALUE"""),"")</f>
        <v/>
      </c>
      <c r="D175" s="30"/>
      <c r="E175" s="34" t="str">
        <f>IFERROR(__xludf.DUMMYFUNCTION("""COMPUTED_VALUE"""),"")</f>
        <v/>
      </c>
      <c r="F175" s="30"/>
      <c r="G175" s="34" t="str">
        <f>IFERROR(__xludf.DUMMYFUNCTION("""COMPUTED_VALUE"""),"")</f>
        <v/>
      </c>
      <c r="H175" s="34" t="str">
        <f>IFERROR(__xludf.DUMMYFUNCTION("""COMPUTED_VALUE"""),"")</f>
        <v/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</row>
    <row r="176">
      <c r="A176" s="30"/>
      <c r="B176" s="30" t="str">
        <f>IFERROR(__xludf.DUMMYFUNCTION("""COMPUTED_VALUE"""),"")</f>
        <v/>
      </c>
      <c r="C176" s="30" t="str">
        <f>IFERROR(__xludf.DUMMYFUNCTION("""COMPUTED_VALUE"""),"")</f>
        <v/>
      </c>
      <c r="D176" s="30"/>
      <c r="E176" s="34" t="str">
        <f>IFERROR(__xludf.DUMMYFUNCTION("""COMPUTED_VALUE"""),"")</f>
        <v/>
      </c>
      <c r="F176" s="30"/>
      <c r="G176" s="34" t="str">
        <f>IFERROR(__xludf.DUMMYFUNCTION("""COMPUTED_VALUE"""),"")</f>
        <v/>
      </c>
      <c r="H176" s="34" t="str">
        <f>IFERROR(__xludf.DUMMYFUNCTION("""COMPUTED_VALUE"""),"")</f>
        <v/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</row>
    <row r="177">
      <c r="A177" s="30"/>
      <c r="B177" s="30" t="str">
        <f>IFERROR(__xludf.DUMMYFUNCTION("""COMPUTED_VALUE"""),"")</f>
        <v/>
      </c>
      <c r="C177" s="30" t="str">
        <f>IFERROR(__xludf.DUMMYFUNCTION("""COMPUTED_VALUE"""),"")</f>
        <v/>
      </c>
      <c r="D177" s="30"/>
      <c r="E177" s="34" t="str">
        <f>IFERROR(__xludf.DUMMYFUNCTION("""COMPUTED_VALUE"""),"")</f>
        <v/>
      </c>
      <c r="F177" s="30"/>
      <c r="G177" s="34" t="str">
        <f>IFERROR(__xludf.DUMMYFUNCTION("""COMPUTED_VALUE"""),"")</f>
        <v/>
      </c>
      <c r="H177" s="34" t="str">
        <f>IFERROR(__xludf.DUMMYFUNCTION("""COMPUTED_VALUE"""),"")</f>
        <v/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</row>
    <row r="178">
      <c r="A178" s="30"/>
      <c r="B178" s="30" t="str">
        <f>IFERROR(__xludf.DUMMYFUNCTION("""COMPUTED_VALUE"""),"")</f>
        <v/>
      </c>
      <c r="C178" s="30" t="str">
        <f>IFERROR(__xludf.DUMMYFUNCTION("""COMPUTED_VALUE"""),"")</f>
        <v/>
      </c>
      <c r="D178" s="30"/>
      <c r="E178" s="34" t="str">
        <f>IFERROR(__xludf.DUMMYFUNCTION("""COMPUTED_VALUE"""),"")</f>
        <v/>
      </c>
      <c r="F178" s="30"/>
      <c r="G178" s="34" t="str">
        <f>IFERROR(__xludf.DUMMYFUNCTION("""COMPUTED_VALUE"""),"")</f>
        <v/>
      </c>
      <c r="H178" s="34" t="str">
        <f>IFERROR(__xludf.DUMMYFUNCTION("""COMPUTED_VALUE"""),"")</f>
        <v/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</row>
    <row r="179">
      <c r="A179" s="30"/>
      <c r="B179" s="30" t="str">
        <f>IFERROR(__xludf.DUMMYFUNCTION("""COMPUTED_VALUE"""),"")</f>
        <v/>
      </c>
      <c r="C179" s="30" t="str">
        <f>IFERROR(__xludf.DUMMYFUNCTION("""COMPUTED_VALUE"""),"")</f>
        <v/>
      </c>
      <c r="D179" s="30"/>
      <c r="E179" s="34" t="str">
        <f>IFERROR(__xludf.DUMMYFUNCTION("""COMPUTED_VALUE"""),"")</f>
        <v/>
      </c>
      <c r="F179" s="30"/>
      <c r="G179" s="34" t="str">
        <f>IFERROR(__xludf.DUMMYFUNCTION("""COMPUTED_VALUE"""),"")</f>
        <v/>
      </c>
      <c r="H179" s="34" t="str">
        <f>IFERROR(__xludf.DUMMYFUNCTION("""COMPUTED_VALUE"""),"")</f>
        <v/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</row>
    <row r="180">
      <c r="A180" s="30"/>
      <c r="B180" s="30" t="str">
        <f>IFERROR(__xludf.DUMMYFUNCTION("""COMPUTED_VALUE"""),"")</f>
        <v/>
      </c>
      <c r="C180" s="30" t="str">
        <f>IFERROR(__xludf.DUMMYFUNCTION("""COMPUTED_VALUE"""),"")</f>
        <v/>
      </c>
      <c r="D180" s="30"/>
      <c r="E180" s="34" t="str">
        <f>IFERROR(__xludf.DUMMYFUNCTION("""COMPUTED_VALUE"""),"")</f>
        <v/>
      </c>
      <c r="F180" s="30"/>
      <c r="G180" s="34" t="str">
        <f>IFERROR(__xludf.DUMMYFUNCTION("""COMPUTED_VALUE"""),"")</f>
        <v/>
      </c>
      <c r="H180" s="34" t="str">
        <f>IFERROR(__xludf.DUMMYFUNCTION("""COMPUTED_VALUE"""),"")</f>
        <v/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</row>
    <row r="181">
      <c r="A181" s="30"/>
      <c r="B181" s="30" t="str">
        <f>IFERROR(__xludf.DUMMYFUNCTION("""COMPUTED_VALUE"""),"")</f>
        <v/>
      </c>
      <c r="C181" s="30" t="str">
        <f>IFERROR(__xludf.DUMMYFUNCTION("""COMPUTED_VALUE"""),"")</f>
        <v/>
      </c>
      <c r="D181" s="30"/>
      <c r="E181" s="34" t="str">
        <f>IFERROR(__xludf.DUMMYFUNCTION("""COMPUTED_VALUE"""),"")</f>
        <v/>
      </c>
      <c r="F181" s="30"/>
      <c r="G181" s="34" t="str">
        <f>IFERROR(__xludf.DUMMYFUNCTION("""COMPUTED_VALUE"""),"")</f>
        <v/>
      </c>
      <c r="H181" s="34" t="str">
        <f>IFERROR(__xludf.DUMMYFUNCTION("""COMPUTED_VALUE"""),"")</f>
        <v/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</row>
    <row r="182">
      <c r="A182" s="30"/>
      <c r="B182" s="30" t="str">
        <f>IFERROR(__xludf.DUMMYFUNCTION("""COMPUTED_VALUE"""),"")</f>
        <v/>
      </c>
      <c r="C182" s="30" t="str">
        <f>IFERROR(__xludf.DUMMYFUNCTION("""COMPUTED_VALUE"""),"")</f>
        <v/>
      </c>
      <c r="D182" s="30"/>
      <c r="E182" s="34" t="str">
        <f>IFERROR(__xludf.DUMMYFUNCTION("""COMPUTED_VALUE"""),"")</f>
        <v/>
      </c>
      <c r="F182" s="30"/>
      <c r="G182" s="34" t="str">
        <f>IFERROR(__xludf.DUMMYFUNCTION("""COMPUTED_VALUE"""),"")</f>
        <v/>
      </c>
      <c r="H182" s="34" t="str">
        <f>IFERROR(__xludf.DUMMYFUNCTION("""COMPUTED_VALUE"""),"")</f>
        <v/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</row>
    <row r="183">
      <c r="A183" s="30"/>
      <c r="B183" s="30" t="str">
        <f>IFERROR(__xludf.DUMMYFUNCTION("""COMPUTED_VALUE"""),"")</f>
        <v/>
      </c>
      <c r="C183" s="30" t="str">
        <f>IFERROR(__xludf.DUMMYFUNCTION("""COMPUTED_VALUE"""),"")</f>
        <v/>
      </c>
      <c r="D183" s="30"/>
      <c r="E183" s="34" t="str">
        <f>IFERROR(__xludf.DUMMYFUNCTION("""COMPUTED_VALUE"""),"")</f>
        <v/>
      </c>
      <c r="F183" s="30"/>
      <c r="G183" s="34" t="str">
        <f>IFERROR(__xludf.DUMMYFUNCTION("""COMPUTED_VALUE"""),"")</f>
        <v/>
      </c>
      <c r="H183" s="34" t="str">
        <f>IFERROR(__xludf.DUMMYFUNCTION("""COMPUTED_VALUE"""),"")</f>
        <v/>
      </c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</row>
    <row r="184">
      <c r="A184" s="30"/>
      <c r="B184" s="30" t="str">
        <f>IFERROR(__xludf.DUMMYFUNCTION("""COMPUTED_VALUE"""),"")</f>
        <v/>
      </c>
      <c r="C184" s="30" t="str">
        <f>IFERROR(__xludf.DUMMYFUNCTION("""COMPUTED_VALUE"""),"")</f>
        <v/>
      </c>
      <c r="D184" s="30"/>
      <c r="E184" s="34" t="str">
        <f>IFERROR(__xludf.DUMMYFUNCTION("""COMPUTED_VALUE"""),"")</f>
        <v/>
      </c>
      <c r="F184" s="30"/>
      <c r="G184" s="34" t="str">
        <f>IFERROR(__xludf.DUMMYFUNCTION("""COMPUTED_VALUE"""),"")</f>
        <v/>
      </c>
      <c r="H184" s="34" t="str">
        <f>IFERROR(__xludf.DUMMYFUNCTION("""COMPUTED_VALUE"""),"")</f>
        <v/>
      </c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</row>
    <row r="185">
      <c r="A185" s="30"/>
      <c r="B185" s="30" t="str">
        <f>IFERROR(__xludf.DUMMYFUNCTION("""COMPUTED_VALUE"""),"")</f>
        <v/>
      </c>
      <c r="C185" s="30" t="str">
        <f>IFERROR(__xludf.DUMMYFUNCTION("""COMPUTED_VALUE"""),"")</f>
        <v/>
      </c>
      <c r="D185" s="30"/>
      <c r="E185" s="34" t="str">
        <f>IFERROR(__xludf.DUMMYFUNCTION("""COMPUTED_VALUE"""),"")</f>
        <v/>
      </c>
      <c r="F185" s="30"/>
      <c r="G185" s="34" t="str">
        <f>IFERROR(__xludf.DUMMYFUNCTION("""COMPUTED_VALUE"""),"")</f>
        <v/>
      </c>
      <c r="H185" s="34" t="str">
        <f>IFERROR(__xludf.DUMMYFUNCTION("""COMPUTED_VALUE"""),"")</f>
        <v/>
      </c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</row>
    <row r="186">
      <c r="A186" s="30"/>
      <c r="B186" s="30" t="str">
        <f>IFERROR(__xludf.DUMMYFUNCTION("""COMPUTED_VALUE"""),"")</f>
        <v/>
      </c>
      <c r="C186" s="30" t="str">
        <f>IFERROR(__xludf.DUMMYFUNCTION("""COMPUTED_VALUE"""),"")</f>
        <v/>
      </c>
      <c r="D186" s="30"/>
      <c r="E186" s="34" t="str">
        <f>IFERROR(__xludf.DUMMYFUNCTION("""COMPUTED_VALUE"""),"")</f>
        <v/>
      </c>
      <c r="F186" s="30"/>
      <c r="G186" s="34" t="str">
        <f>IFERROR(__xludf.DUMMYFUNCTION("""COMPUTED_VALUE"""),"")</f>
        <v/>
      </c>
      <c r="H186" s="34" t="str">
        <f>IFERROR(__xludf.DUMMYFUNCTION("""COMPUTED_VALUE"""),"")</f>
        <v/>
      </c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</row>
    <row r="187">
      <c r="A187" s="30"/>
      <c r="B187" s="30" t="str">
        <f>IFERROR(__xludf.DUMMYFUNCTION("""COMPUTED_VALUE"""),"")</f>
        <v/>
      </c>
      <c r="C187" s="30" t="str">
        <f>IFERROR(__xludf.DUMMYFUNCTION("""COMPUTED_VALUE"""),"")</f>
        <v/>
      </c>
      <c r="D187" s="30"/>
      <c r="E187" s="34" t="str">
        <f>IFERROR(__xludf.DUMMYFUNCTION("""COMPUTED_VALUE"""),"")</f>
        <v/>
      </c>
      <c r="F187" s="30"/>
      <c r="G187" s="34" t="str">
        <f>IFERROR(__xludf.DUMMYFUNCTION("""COMPUTED_VALUE"""),"")</f>
        <v/>
      </c>
      <c r="H187" s="34" t="str">
        <f>IFERROR(__xludf.DUMMYFUNCTION("""COMPUTED_VALUE"""),"")</f>
        <v/>
      </c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</row>
    <row r="188">
      <c r="A188" s="30"/>
      <c r="B188" s="30" t="str">
        <f>IFERROR(__xludf.DUMMYFUNCTION("""COMPUTED_VALUE"""),"")</f>
        <v/>
      </c>
      <c r="C188" s="30" t="str">
        <f>IFERROR(__xludf.DUMMYFUNCTION("""COMPUTED_VALUE"""),"")</f>
        <v/>
      </c>
      <c r="D188" s="30"/>
      <c r="E188" s="34" t="str">
        <f>IFERROR(__xludf.DUMMYFUNCTION("""COMPUTED_VALUE"""),"")</f>
        <v/>
      </c>
      <c r="F188" s="30"/>
      <c r="G188" s="34" t="str">
        <f>IFERROR(__xludf.DUMMYFUNCTION("""COMPUTED_VALUE"""),"")</f>
        <v/>
      </c>
      <c r="H188" s="34" t="str">
        <f>IFERROR(__xludf.DUMMYFUNCTION("""COMPUTED_VALUE"""),"")</f>
        <v/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</row>
    <row r="189">
      <c r="A189" s="30"/>
      <c r="B189" s="30" t="str">
        <f>IFERROR(__xludf.DUMMYFUNCTION("""COMPUTED_VALUE"""),"")</f>
        <v/>
      </c>
      <c r="C189" s="30" t="str">
        <f>IFERROR(__xludf.DUMMYFUNCTION("""COMPUTED_VALUE"""),"")</f>
        <v/>
      </c>
      <c r="D189" s="30"/>
      <c r="E189" s="34" t="str">
        <f>IFERROR(__xludf.DUMMYFUNCTION("""COMPUTED_VALUE"""),"")</f>
        <v/>
      </c>
      <c r="F189" s="30"/>
      <c r="G189" s="34" t="str">
        <f>IFERROR(__xludf.DUMMYFUNCTION("""COMPUTED_VALUE"""),"")</f>
        <v/>
      </c>
      <c r="H189" s="34" t="str">
        <f>IFERROR(__xludf.DUMMYFUNCTION("""COMPUTED_VALUE"""),"")</f>
        <v/>
      </c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</row>
    <row r="190">
      <c r="A190" s="30"/>
      <c r="B190" s="30" t="str">
        <f>IFERROR(__xludf.DUMMYFUNCTION("""COMPUTED_VALUE"""),"")</f>
        <v/>
      </c>
      <c r="C190" s="30" t="str">
        <f>IFERROR(__xludf.DUMMYFUNCTION("""COMPUTED_VALUE"""),"")</f>
        <v/>
      </c>
      <c r="D190" s="30"/>
      <c r="E190" s="34" t="str">
        <f>IFERROR(__xludf.DUMMYFUNCTION("""COMPUTED_VALUE"""),"")</f>
        <v/>
      </c>
      <c r="F190" s="30"/>
      <c r="G190" s="34" t="str">
        <f>IFERROR(__xludf.DUMMYFUNCTION("""COMPUTED_VALUE"""),"")</f>
        <v/>
      </c>
      <c r="H190" s="34" t="str">
        <f>IFERROR(__xludf.DUMMYFUNCTION("""COMPUTED_VALUE"""),"")</f>
        <v/>
      </c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</row>
    <row r="191">
      <c r="A191" s="30"/>
      <c r="B191" s="30" t="str">
        <f>IFERROR(__xludf.DUMMYFUNCTION("""COMPUTED_VALUE"""),"")</f>
        <v/>
      </c>
      <c r="C191" s="30" t="str">
        <f>IFERROR(__xludf.DUMMYFUNCTION("""COMPUTED_VALUE"""),"")</f>
        <v/>
      </c>
      <c r="D191" s="30"/>
      <c r="E191" s="34" t="str">
        <f>IFERROR(__xludf.DUMMYFUNCTION("""COMPUTED_VALUE"""),"")</f>
        <v/>
      </c>
      <c r="F191" s="30"/>
      <c r="G191" s="34" t="str">
        <f>IFERROR(__xludf.DUMMYFUNCTION("""COMPUTED_VALUE"""),"")</f>
        <v/>
      </c>
      <c r="H191" s="34" t="str">
        <f>IFERROR(__xludf.DUMMYFUNCTION("""COMPUTED_VALUE"""),"")</f>
        <v/>
      </c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</row>
    <row r="192">
      <c r="A192" s="30"/>
      <c r="B192" s="30" t="str">
        <f>IFERROR(__xludf.DUMMYFUNCTION("""COMPUTED_VALUE"""),"")</f>
        <v/>
      </c>
      <c r="C192" s="30" t="str">
        <f>IFERROR(__xludf.DUMMYFUNCTION("""COMPUTED_VALUE"""),"")</f>
        <v/>
      </c>
      <c r="D192" s="30"/>
      <c r="E192" s="34" t="str">
        <f>IFERROR(__xludf.DUMMYFUNCTION("""COMPUTED_VALUE"""),"")</f>
        <v/>
      </c>
      <c r="F192" s="30"/>
      <c r="G192" s="34" t="str">
        <f>IFERROR(__xludf.DUMMYFUNCTION("""COMPUTED_VALUE"""),"")</f>
        <v/>
      </c>
      <c r="H192" s="34" t="str">
        <f>IFERROR(__xludf.DUMMYFUNCTION("""COMPUTED_VALUE"""),"")</f>
        <v/>
      </c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</row>
    <row r="193">
      <c r="A193" s="30"/>
      <c r="B193" s="30" t="str">
        <f>IFERROR(__xludf.DUMMYFUNCTION("""COMPUTED_VALUE"""),"")</f>
        <v/>
      </c>
      <c r="C193" s="30" t="str">
        <f>IFERROR(__xludf.DUMMYFUNCTION("""COMPUTED_VALUE"""),"")</f>
        <v/>
      </c>
      <c r="D193" s="30"/>
      <c r="E193" s="34" t="str">
        <f>IFERROR(__xludf.DUMMYFUNCTION("""COMPUTED_VALUE"""),"")</f>
        <v/>
      </c>
      <c r="F193" s="30"/>
      <c r="G193" s="34" t="str">
        <f>IFERROR(__xludf.DUMMYFUNCTION("""COMPUTED_VALUE"""),"")</f>
        <v/>
      </c>
      <c r="H193" s="34" t="str">
        <f>IFERROR(__xludf.DUMMYFUNCTION("""COMPUTED_VALUE"""),"")</f>
        <v/>
      </c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</row>
    <row r="194">
      <c r="A194" s="30"/>
      <c r="B194" s="30" t="str">
        <f>IFERROR(__xludf.DUMMYFUNCTION("""COMPUTED_VALUE"""),"")</f>
        <v/>
      </c>
      <c r="C194" s="30" t="str">
        <f>IFERROR(__xludf.DUMMYFUNCTION("""COMPUTED_VALUE"""),"")</f>
        <v/>
      </c>
      <c r="D194" s="30"/>
      <c r="E194" s="34" t="str">
        <f>IFERROR(__xludf.DUMMYFUNCTION("""COMPUTED_VALUE"""),"")</f>
        <v/>
      </c>
      <c r="F194" s="30"/>
      <c r="G194" s="34" t="str">
        <f>IFERROR(__xludf.DUMMYFUNCTION("""COMPUTED_VALUE"""),"")</f>
        <v/>
      </c>
      <c r="H194" s="34" t="str">
        <f>IFERROR(__xludf.DUMMYFUNCTION("""COMPUTED_VALUE"""),"")</f>
        <v/>
      </c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</row>
    <row r="195">
      <c r="A195" s="30"/>
      <c r="B195" s="30" t="str">
        <f>IFERROR(__xludf.DUMMYFUNCTION("""COMPUTED_VALUE"""),"")</f>
        <v/>
      </c>
      <c r="C195" s="30" t="str">
        <f>IFERROR(__xludf.DUMMYFUNCTION("""COMPUTED_VALUE"""),"")</f>
        <v/>
      </c>
      <c r="D195" s="30"/>
      <c r="E195" s="34" t="str">
        <f>IFERROR(__xludf.DUMMYFUNCTION("""COMPUTED_VALUE"""),"")</f>
        <v/>
      </c>
      <c r="F195" s="30"/>
      <c r="G195" s="34" t="str">
        <f>IFERROR(__xludf.DUMMYFUNCTION("""COMPUTED_VALUE"""),"")</f>
        <v/>
      </c>
      <c r="H195" s="34" t="str">
        <f>IFERROR(__xludf.DUMMYFUNCTION("""COMPUTED_VALUE"""),"")</f>
        <v/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</row>
    <row r="196">
      <c r="A196" s="30"/>
      <c r="B196" s="30" t="str">
        <f>IFERROR(__xludf.DUMMYFUNCTION("""COMPUTED_VALUE"""),"")</f>
        <v/>
      </c>
      <c r="C196" s="30" t="str">
        <f>IFERROR(__xludf.DUMMYFUNCTION("""COMPUTED_VALUE"""),"")</f>
        <v/>
      </c>
      <c r="D196" s="30"/>
      <c r="E196" s="34" t="str">
        <f>IFERROR(__xludf.DUMMYFUNCTION("""COMPUTED_VALUE"""),"")</f>
        <v/>
      </c>
      <c r="F196" s="30"/>
      <c r="G196" s="34" t="str">
        <f>IFERROR(__xludf.DUMMYFUNCTION("""COMPUTED_VALUE"""),"")</f>
        <v/>
      </c>
      <c r="H196" s="34" t="str">
        <f>IFERROR(__xludf.DUMMYFUNCTION("""COMPUTED_VALUE"""),"")</f>
        <v/>
      </c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</row>
    <row r="197">
      <c r="A197" s="30"/>
      <c r="B197" s="30" t="str">
        <f>IFERROR(__xludf.DUMMYFUNCTION("""COMPUTED_VALUE"""),"")</f>
        <v/>
      </c>
      <c r="C197" s="30" t="str">
        <f>IFERROR(__xludf.DUMMYFUNCTION("""COMPUTED_VALUE"""),"")</f>
        <v/>
      </c>
      <c r="D197" s="30"/>
      <c r="E197" s="34" t="str">
        <f>IFERROR(__xludf.DUMMYFUNCTION("""COMPUTED_VALUE"""),"")</f>
        <v/>
      </c>
      <c r="F197" s="30"/>
      <c r="G197" s="34" t="str">
        <f>IFERROR(__xludf.DUMMYFUNCTION("""COMPUTED_VALUE"""),"")</f>
        <v/>
      </c>
      <c r="H197" s="34" t="str">
        <f>IFERROR(__xludf.DUMMYFUNCTION("""COMPUTED_VALUE"""),"")</f>
        <v/>
      </c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</row>
    <row r="198">
      <c r="A198" s="30"/>
      <c r="B198" s="30" t="str">
        <f>IFERROR(__xludf.DUMMYFUNCTION("""COMPUTED_VALUE"""),"")</f>
        <v/>
      </c>
      <c r="C198" s="30" t="str">
        <f>IFERROR(__xludf.DUMMYFUNCTION("""COMPUTED_VALUE"""),"")</f>
        <v/>
      </c>
      <c r="D198" s="30"/>
      <c r="E198" s="34" t="str">
        <f>IFERROR(__xludf.DUMMYFUNCTION("""COMPUTED_VALUE"""),"")</f>
        <v/>
      </c>
      <c r="F198" s="30"/>
      <c r="G198" s="34" t="str">
        <f>IFERROR(__xludf.DUMMYFUNCTION("""COMPUTED_VALUE"""),"")</f>
        <v/>
      </c>
      <c r="H198" s="34" t="str">
        <f>IFERROR(__xludf.DUMMYFUNCTION("""COMPUTED_VALUE"""),"")</f>
        <v/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</row>
    <row r="199">
      <c r="A199" s="30"/>
      <c r="B199" s="30" t="str">
        <f>IFERROR(__xludf.DUMMYFUNCTION("""COMPUTED_VALUE"""),"")</f>
        <v/>
      </c>
      <c r="C199" s="30" t="str">
        <f>IFERROR(__xludf.DUMMYFUNCTION("""COMPUTED_VALUE"""),"")</f>
        <v/>
      </c>
      <c r="D199" s="30"/>
      <c r="E199" s="34" t="str">
        <f>IFERROR(__xludf.DUMMYFUNCTION("""COMPUTED_VALUE"""),"")</f>
        <v/>
      </c>
      <c r="F199" s="30"/>
      <c r="G199" s="34" t="str">
        <f>IFERROR(__xludf.DUMMYFUNCTION("""COMPUTED_VALUE"""),"")</f>
        <v/>
      </c>
      <c r="H199" s="34" t="str">
        <f>IFERROR(__xludf.DUMMYFUNCTION("""COMPUTED_VALUE"""),"")</f>
        <v/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</row>
    <row r="200">
      <c r="A200" s="30"/>
      <c r="B200" s="30" t="str">
        <f>IFERROR(__xludf.DUMMYFUNCTION("""COMPUTED_VALUE"""),"")</f>
        <v/>
      </c>
      <c r="C200" s="30" t="str">
        <f>IFERROR(__xludf.DUMMYFUNCTION("""COMPUTED_VALUE"""),"")</f>
        <v/>
      </c>
      <c r="D200" s="30"/>
      <c r="E200" s="34" t="str">
        <f>IFERROR(__xludf.DUMMYFUNCTION("""COMPUTED_VALUE"""),"")</f>
        <v/>
      </c>
      <c r="F200" s="30"/>
      <c r="G200" s="34" t="str">
        <f>IFERROR(__xludf.DUMMYFUNCTION("""COMPUTED_VALUE"""),"")</f>
        <v/>
      </c>
      <c r="H200" s="34" t="str">
        <f>IFERROR(__xludf.DUMMYFUNCTION("""COMPUTED_VALUE"""),"")</f>
        <v/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</row>
    <row r="201">
      <c r="A201" s="30"/>
      <c r="B201" s="30" t="str">
        <f>IFERROR(__xludf.DUMMYFUNCTION("""COMPUTED_VALUE"""),"")</f>
        <v/>
      </c>
      <c r="C201" s="30" t="str">
        <f>IFERROR(__xludf.DUMMYFUNCTION("""COMPUTED_VALUE"""),"")</f>
        <v/>
      </c>
      <c r="D201" s="30"/>
      <c r="E201" s="34" t="str">
        <f>IFERROR(__xludf.DUMMYFUNCTION("""COMPUTED_VALUE"""),"")</f>
        <v/>
      </c>
      <c r="F201" s="30"/>
      <c r="G201" s="34" t="str">
        <f>IFERROR(__xludf.DUMMYFUNCTION("""COMPUTED_VALUE"""),"")</f>
        <v/>
      </c>
      <c r="H201" s="34" t="str">
        <f>IFERROR(__xludf.DUMMYFUNCTION("""COMPUTED_VALUE"""),"")</f>
        <v/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</row>
    <row r="202">
      <c r="A202" s="30"/>
      <c r="B202" s="30" t="str">
        <f>IFERROR(__xludf.DUMMYFUNCTION("""COMPUTED_VALUE"""),"")</f>
        <v/>
      </c>
      <c r="C202" s="30" t="str">
        <f>IFERROR(__xludf.DUMMYFUNCTION("""COMPUTED_VALUE"""),"")</f>
        <v/>
      </c>
      <c r="D202" s="30"/>
      <c r="E202" s="34" t="str">
        <f>IFERROR(__xludf.DUMMYFUNCTION("""COMPUTED_VALUE"""),"")</f>
        <v/>
      </c>
      <c r="F202" s="30"/>
      <c r="G202" s="34" t="str">
        <f>IFERROR(__xludf.DUMMYFUNCTION("""COMPUTED_VALUE"""),"")</f>
        <v/>
      </c>
      <c r="H202" s="34" t="str">
        <f>IFERROR(__xludf.DUMMYFUNCTION("""COMPUTED_VALUE"""),"")</f>
        <v/>
      </c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</row>
    <row r="203">
      <c r="A203" s="30"/>
      <c r="B203" s="30" t="str">
        <f>IFERROR(__xludf.DUMMYFUNCTION("""COMPUTED_VALUE"""),"")</f>
        <v/>
      </c>
      <c r="C203" s="30" t="str">
        <f>IFERROR(__xludf.DUMMYFUNCTION("""COMPUTED_VALUE"""),"")</f>
        <v/>
      </c>
      <c r="D203" s="30"/>
      <c r="E203" s="34" t="str">
        <f>IFERROR(__xludf.DUMMYFUNCTION("""COMPUTED_VALUE"""),"")</f>
        <v/>
      </c>
      <c r="F203" s="30"/>
      <c r="G203" s="34" t="str">
        <f>IFERROR(__xludf.DUMMYFUNCTION("""COMPUTED_VALUE"""),"")</f>
        <v/>
      </c>
      <c r="H203" s="34" t="str">
        <f>IFERROR(__xludf.DUMMYFUNCTION("""COMPUTED_VALUE"""),"")</f>
        <v/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</row>
    <row r="204">
      <c r="A204" s="30"/>
      <c r="B204" s="30" t="str">
        <f>IFERROR(__xludf.DUMMYFUNCTION("""COMPUTED_VALUE"""),"")</f>
        <v/>
      </c>
      <c r="C204" s="30" t="str">
        <f>IFERROR(__xludf.DUMMYFUNCTION("""COMPUTED_VALUE"""),"")</f>
        <v/>
      </c>
      <c r="D204" s="30"/>
      <c r="E204" s="34" t="str">
        <f>IFERROR(__xludf.DUMMYFUNCTION("""COMPUTED_VALUE"""),"")</f>
        <v/>
      </c>
      <c r="F204" s="30"/>
      <c r="G204" s="34" t="str">
        <f>IFERROR(__xludf.DUMMYFUNCTION("""COMPUTED_VALUE"""),"")</f>
        <v/>
      </c>
      <c r="H204" s="34" t="str">
        <f>IFERROR(__xludf.DUMMYFUNCTION("""COMPUTED_VALUE"""),"")</f>
        <v/>
      </c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</row>
    <row r="205">
      <c r="A205" s="30"/>
      <c r="B205" s="30" t="str">
        <f>IFERROR(__xludf.DUMMYFUNCTION("""COMPUTED_VALUE"""),"")</f>
        <v/>
      </c>
      <c r="C205" s="30" t="str">
        <f>IFERROR(__xludf.DUMMYFUNCTION("""COMPUTED_VALUE"""),"")</f>
        <v/>
      </c>
      <c r="D205" s="30"/>
      <c r="E205" s="34" t="str">
        <f>IFERROR(__xludf.DUMMYFUNCTION("""COMPUTED_VALUE"""),"")</f>
        <v/>
      </c>
      <c r="F205" s="30"/>
      <c r="G205" s="34" t="str">
        <f>IFERROR(__xludf.DUMMYFUNCTION("""COMPUTED_VALUE"""),"")</f>
        <v/>
      </c>
      <c r="H205" s="34" t="str">
        <f>IFERROR(__xludf.DUMMYFUNCTION("""COMPUTED_VALUE"""),"")</f>
        <v/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</row>
    <row r="206">
      <c r="A206" s="30"/>
      <c r="B206" s="30" t="str">
        <f>IFERROR(__xludf.DUMMYFUNCTION("""COMPUTED_VALUE"""),"")</f>
        <v/>
      </c>
      <c r="C206" s="30" t="str">
        <f>IFERROR(__xludf.DUMMYFUNCTION("""COMPUTED_VALUE"""),"")</f>
        <v/>
      </c>
      <c r="D206" s="30"/>
      <c r="E206" s="34" t="str">
        <f>IFERROR(__xludf.DUMMYFUNCTION("""COMPUTED_VALUE"""),"")</f>
        <v/>
      </c>
      <c r="F206" s="30"/>
      <c r="G206" s="34" t="str">
        <f>IFERROR(__xludf.DUMMYFUNCTION("""COMPUTED_VALUE"""),"")</f>
        <v/>
      </c>
      <c r="H206" s="34" t="str">
        <f>IFERROR(__xludf.DUMMYFUNCTION("""COMPUTED_VALUE"""),"")</f>
        <v/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</row>
    <row r="207">
      <c r="A207" s="30"/>
      <c r="B207" s="30" t="str">
        <f>IFERROR(__xludf.DUMMYFUNCTION("""COMPUTED_VALUE"""),"")</f>
        <v/>
      </c>
      <c r="C207" s="30" t="str">
        <f>IFERROR(__xludf.DUMMYFUNCTION("""COMPUTED_VALUE"""),"")</f>
        <v/>
      </c>
      <c r="D207" s="30"/>
      <c r="E207" s="34" t="str">
        <f>IFERROR(__xludf.DUMMYFUNCTION("""COMPUTED_VALUE"""),"")</f>
        <v/>
      </c>
      <c r="F207" s="30"/>
      <c r="G207" s="34" t="str">
        <f>IFERROR(__xludf.DUMMYFUNCTION("""COMPUTED_VALUE"""),"")</f>
        <v/>
      </c>
      <c r="H207" s="34" t="str">
        <f>IFERROR(__xludf.DUMMYFUNCTION("""COMPUTED_VALUE"""),"")</f>
        <v/>
      </c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</row>
    <row r="208">
      <c r="A208" s="30"/>
      <c r="B208" s="30" t="str">
        <f>IFERROR(__xludf.DUMMYFUNCTION("""COMPUTED_VALUE"""),"")</f>
        <v/>
      </c>
      <c r="C208" s="30" t="str">
        <f>IFERROR(__xludf.DUMMYFUNCTION("""COMPUTED_VALUE"""),"")</f>
        <v/>
      </c>
      <c r="D208" s="30"/>
      <c r="E208" s="34" t="str">
        <f>IFERROR(__xludf.DUMMYFUNCTION("""COMPUTED_VALUE"""),"")</f>
        <v/>
      </c>
      <c r="F208" s="30"/>
      <c r="G208" s="34" t="str">
        <f>IFERROR(__xludf.DUMMYFUNCTION("""COMPUTED_VALUE"""),"")</f>
        <v/>
      </c>
      <c r="H208" s="34" t="str">
        <f>IFERROR(__xludf.DUMMYFUNCTION("""COMPUTED_VALUE"""),"")</f>
        <v/>
      </c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>
      <c r="A209" s="30"/>
      <c r="B209" s="30" t="str">
        <f>IFERROR(__xludf.DUMMYFUNCTION("""COMPUTED_VALUE"""),"")</f>
        <v/>
      </c>
      <c r="C209" s="30" t="str">
        <f>IFERROR(__xludf.DUMMYFUNCTION("""COMPUTED_VALUE"""),"")</f>
        <v/>
      </c>
      <c r="D209" s="30"/>
      <c r="E209" s="34" t="str">
        <f>IFERROR(__xludf.DUMMYFUNCTION("""COMPUTED_VALUE"""),"")</f>
        <v/>
      </c>
      <c r="F209" s="30"/>
      <c r="G209" s="34" t="str">
        <f>IFERROR(__xludf.DUMMYFUNCTION("""COMPUTED_VALUE"""),"")</f>
        <v/>
      </c>
      <c r="H209" s="34" t="str">
        <f>IFERROR(__xludf.DUMMYFUNCTION("""COMPUTED_VALUE"""),"")</f>
        <v/>
      </c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</row>
    <row r="210">
      <c r="A210" s="30"/>
      <c r="B210" s="30" t="str">
        <f>IFERROR(__xludf.DUMMYFUNCTION("""COMPUTED_VALUE"""),"")</f>
        <v/>
      </c>
      <c r="C210" s="30" t="str">
        <f>IFERROR(__xludf.DUMMYFUNCTION("""COMPUTED_VALUE"""),"")</f>
        <v/>
      </c>
      <c r="D210" s="30"/>
      <c r="E210" s="34" t="str">
        <f>IFERROR(__xludf.DUMMYFUNCTION("""COMPUTED_VALUE"""),"")</f>
        <v/>
      </c>
      <c r="F210" s="30"/>
      <c r="G210" s="34" t="str">
        <f>IFERROR(__xludf.DUMMYFUNCTION("""COMPUTED_VALUE"""),"")</f>
        <v/>
      </c>
      <c r="H210" s="34" t="str">
        <f>IFERROR(__xludf.DUMMYFUNCTION("""COMPUTED_VALUE"""),"")</f>
        <v/>
      </c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</row>
    <row r="211">
      <c r="A211" s="30"/>
      <c r="B211" s="30" t="str">
        <f>IFERROR(__xludf.DUMMYFUNCTION("""COMPUTED_VALUE"""),"")</f>
        <v/>
      </c>
      <c r="C211" s="30" t="str">
        <f>IFERROR(__xludf.DUMMYFUNCTION("""COMPUTED_VALUE"""),"")</f>
        <v/>
      </c>
      <c r="D211" s="30"/>
      <c r="E211" s="34" t="str">
        <f>IFERROR(__xludf.DUMMYFUNCTION("""COMPUTED_VALUE"""),"")</f>
        <v/>
      </c>
      <c r="F211" s="30"/>
      <c r="G211" s="34" t="str">
        <f>IFERROR(__xludf.DUMMYFUNCTION("""COMPUTED_VALUE"""),"")</f>
        <v/>
      </c>
      <c r="H211" s="34" t="str">
        <f>IFERROR(__xludf.DUMMYFUNCTION("""COMPUTED_VALUE"""),"")</f>
        <v/>
      </c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</row>
    <row r="212">
      <c r="A212" s="30"/>
      <c r="B212" s="30" t="str">
        <f>IFERROR(__xludf.DUMMYFUNCTION("""COMPUTED_VALUE"""),"")</f>
        <v/>
      </c>
      <c r="C212" s="30" t="str">
        <f>IFERROR(__xludf.DUMMYFUNCTION("""COMPUTED_VALUE"""),"")</f>
        <v/>
      </c>
      <c r="D212" s="30"/>
      <c r="E212" s="34" t="str">
        <f>IFERROR(__xludf.DUMMYFUNCTION("""COMPUTED_VALUE"""),"")</f>
        <v/>
      </c>
      <c r="F212" s="30"/>
      <c r="G212" s="34" t="str">
        <f>IFERROR(__xludf.DUMMYFUNCTION("""COMPUTED_VALUE"""),"")</f>
        <v/>
      </c>
      <c r="H212" s="34" t="str">
        <f>IFERROR(__xludf.DUMMYFUNCTION("""COMPUTED_VALUE"""),"")</f>
        <v/>
      </c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</row>
    <row r="213">
      <c r="A213" s="30"/>
      <c r="B213" s="30" t="str">
        <f>IFERROR(__xludf.DUMMYFUNCTION("""COMPUTED_VALUE"""),"")</f>
        <v/>
      </c>
      <c r="C213" s="30" t="str">
        <f>IFERROR(__xludf.DUMMYFUNCTION("""COMPUTED_VALUE"""),"")</f>
        <v/>
      </c>
      <c r="D213" s="30"/>
      <c r="E213" s="34" t="str">
        <f>IFERROR(__xludf.DUMMYFUNCTION("""COMPUTED_VALUE"""),"")</f>
        <v/>
      </c>
      <c r="F213" s="30"/>
      <c r="G213" s="34" t="str">
        <f>IFERROR(__xludf.DUMMYFUNCTION("""COMPUTED_VALUE"""),"")</f>
        <v/>
      </c>
      <c r="H213" s="34" t="str">
        <f>IFERROR(__xludf.DUMMYFUNCTION("""COMPUTED_VALUE"""),"")</f>
        <v/>
      </c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</row>
    <row r="214">
      <c r="A214" s="30"/>
      <c r="B214" s="30" t="str">
        <f>IFERROR(__xludf.DUMMYFUNCTION("""COMPUTED_VALUE"""),"")</f>
        <v/>
      </c>
      <c r="C214" s="30" t="str">
        <f>IFERROR(__xludf.DUMMYFUNCTION("""COMPUTED_VALUE"""),"")</f>
        <v/>
      </c>
      <c r="D214" s="30"/>
      <c r="E214" s="34" t="str">
        <f>IFERROR(__xludf.DUMMYFUNCTION("""COMPUTED_VALUE"""),"")</f>
        <v/>
      </c>
      <c r="F214" s="30"/>
      <c r="G214" s="34" t="str">
        <f>IFERROR(__xludf.DUMMYFUNCTION("""COMPUTED_VALUE"""),"")</f>
        <v/>
      </c>
      <c r="H214" s="34" t="str">
        <f>IFERROR(__xludf.DUMMYFUNCTION("""COMPUTED_VALUE"""),"")</f>
        <v/>
      </c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</row>
    <row r="215">
      <c r="A215" s="30"/>
      <c r="B215" s="30" t="str">
        <f>IFERROR(__xludf.DUMMYFUNCTION("""COMPUTED_VALUE"""),"")</f>
        <v/>
      </c>
      <c r="C215" s="30" t="str">
        <f>IFERROR(__xludf.DUMMYFUNCTION("""COMPUTED_VALUE"""),"")</f>
        <v/>
      </c>
      <c r="D215" s="30"/>
      <c r="E215" s="34" t="str">
        <f>IFERROR(__xludf.DUMMYFUNCTION("""COMPUTED_VALUE"""),"")</f>
        <v/>
      </c>
      <c r="F215" s="30"/>
      <c r="G215" s="34" t="str">
        <f>IFERROR(__xludf.DUMMYFUNCTION("""COMPUTED_VALUE"""),"")</f>
        <v/>
      </c>
      <c r="H215" s="34" t="str">
        <f>IFERROR(__xludf.DUMMYFUNCTION("""COMPUTED_VALUE"""),"")</f>
        <v/>
      </c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</row>
    <row r="216">
      <c r="A216" s="30"/>
      <c r="B216" s="30" t="str">
        <f>IFERROR(__xludf.DUMMYFUNCTION("""COMPUTED_VALUE"""),"")</f>
        <v/>
      </c>
      <c r="C216" s="30" t="str">
        <f>IFERROR(__xludf.DUMMYFUNCTION("""COMPUTED_VALUE"""),"")</f>
        <v/>
      </c>
      <c r="D216" s="30"/>
      <c r="E216" s="34" t="str">
        <f>IFERROR(__xludf.DUMMYFUNCTION("""COMPUTED_VALUE"""),"")</f>
        <v/>
      </c>
      <c r="F216" s="30"/>
      <c r="G216" s="34" t="str">
        <f>IFERROR(__xludf.DUMMYFUNCTION("""COMPUTED_VALUE"""),"")</f>
        <v/>
      </c>
      <c r="H216" s="34" t="str">
        <f>IFERROR(__xludf.DUMMYFUNCTION("""COMPUTED_VALUE"""),"")</f>
        <v/>
      </c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</row>
    <row r="217">
      <c r="A217" s="30"/>
      <c r="B217" s="30" t="str">
        <f>IFERROR(__xludf.DUMMYFUNCTION("""COMPUTED_VALUE"""),"")</f>
        <v/>
      </c>
      <c r="C217" s="30" t="str">
        <f>IFERROR(__xludf.DUMMYFUNCTION("""COMPUTED_VALUE"""),"")</f>
        <v/>
      </c>
      <c r="D217" s="30"/>
      <c r="E217" s="34" t="str">
        <f>IFERROR(__xludf.DUMMYFUNCTION("""COMPUTED_VALUE"""),"")</f>
        <v/>
      </c>
      <c r="F217" s="30"/>
      <c r="G217" s="34" t="str">
        <f>IFERROR(__xludf.DUMMYFUNCTION("""COMPUTED_VALUE"""),"")</f>
        <v/>
      </c>
      <c r="H217" s="34" t="str">
        <f>IFERROR(__xludf.DUMMYFUNCTION("""COMPUTED_VALUE"""),"")</f>
        <v/>
      </c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</row>
    <row r="218">
      <c r="A218" s="30"/>
      <c r="B218" s="30" t="str">
        <f>IFERROR(__xludf.DUMMYFUNCTION("""COMPUTED_VALUE"""),"")</f>
        <v/>
      </c>
      <c r="C218" s="30" t="str">
        <f>IFERROR(__xludf.DUMMYFUNCTION("""COMPUTED_VALUE"""),"")</f>
        <v/>
      </c>
      <c r="D218" s="30"/>
      <c r="E218" s="34" t="str">
        <f>IFERROR(__xludf.DUMMYFUNCTION("""COMPUTED_VALUE"""),"")</f>
        <v/>
      </c>
      <c r="F218" s="30"/>
      <c r="G218" s="34" t="str">
        <f>IFERROR(__xludf.DUMMYFUNCTION("""COMPUTED_VALUE"""),"")</f>
        <v/>
      </c>
      <c r="H218" s="34" t="str">
        <f>IFERROR(__xludf.DUMMYFUNCTION("""COMPUTED_VALUE"""),"")</f>
        <v/>
      </c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</row>
    <row r="219">
      <c r="A219" s="30"/>
      <c r="B219" s="30" t="str">
        <f>IFERROR(__xludf.DUMMYFUNCTION("""COMPUTED_VALUE"""),"")</f>
        <v/>
      </c>
      <c r="C219" s="30" t="str">
        <f>IFERROR(__xludf.DUMMYFUNCTION("""COMPUTED_VALUE"""),"")</f>
        <v/>
      </c>
      <c r="D219" s="30"/>
      <c r="E219" s="34" t="str">
        <f>IFERROR(__xludf.DUMMYFUNCTION("""COMPUTED_VALUE"""),"")</f>
        <v/>
      </c>
      <c r="F219" s="30"/>
      <c r="G219" s="34" t="str">
        <f>IFERROR(__xludf.DUMMYFUNCTION("""COMPUTED_VALUE"""),"")</f>
        <v/>
      </c>
      <c r="H219" s="34" t="str">
        <f>IFERROR(__xludf.DUMMYFUNCTION("""COMPUTED_VALUE"""),"")</f>
        <v/>
      </c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</row>
    <row r="220">
      <c r="A220" s="30"/>
      <c r="B220" s="30" t="str">
        <f>IFERROR(__xludf.DUMMYFUNCTION("""COMPUTED_VALUE"""),"")</f>
        <v/>
      </c>
      <c r="C220" s="30" t="str">
        <f>IFERROR(__xludf.DUMMYFUNCTION("""COMPUTED_VALUE"""),"")</f>
        <v/>
      </c>
      <c r="D220" s="30"/>
      <c r="E220" s="34" t="str">
        <f>IFERROR(__xludf.DUMMYFUNCTION("""COMPUTED_VALUE"""),"")</f>
        <v/>
      </c>
      <c r="F220" s="30"/>
      <c r="G220" s="34" t="str">
        <f>IFERROR(__xludf.DUMMYFUNCTION("""COMPUTED_VALUE"""),"")</f>
        <v/>
      </c>
      <c r="H220" s="34" t="str">
        <f>IFERROR(__xludf.DUMMYFUNCTION("""COMPUTED_VALUE"""),"")</f>
        <v/>
      </c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</row>
    <row r="221">
      <c r="A221" s="30"/>
      <c r="B221" s="30" t="str">
        <f>IFERROR(__xludf.DUMMYFUNCTION("""COMPUTED_VALUE"""),"")</f>
        <v/>
      </c>
      <c r="C221" s="30" t="str">
        <f>IFERROR(__xludf.DUMMYFUNCTION("""COMPUTED_VALUE"""),"")</f>
        <v/>
      </c>
      <c r="D221" s="30"/>
      <c r="E221" s="34" t="str">
        <f>IFERROR(__xludf.DUMMYFUNCTION("""COMPUTED_VALUE"""),"")</f>
        <v/>
      </c>
      <c r="F221" s="30"/>
      <c r="G221" s="34" t="str">
        <f>IFERROR(__xludf.DUMMYFUNCTION("""COMPUTED_VALUE"""),"")</f>
        <v/>
      </c>
      <c r="H221" s="34" t="str">
        <f>IFERROR(__xludf.DUMMYFUNCTION("""COMPUTED_VALUE"""),"")</f>
        <v/>
      </c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</row>
    <row r="222">
      <c r="A222" s="30"/>
      <c r="B222" s="30" t="str">
        <f>IFERROR(__xludf.DUMMYFUNCTION("""COMPUTED_VALUE"""),"")</f>
        <v/>
      </c>
      <c r="C222" s="30" t="str">
        <f>IFERROR(__xludf.DUMMYFUNCTION("""COMPUTED_VALUE"""),"")</f>
        <v/>
      </c>
      <c r="D222" s="30"/>
      <c r="E222" s="34" t="str">
        <f>IFERROR(__xludf.DUMMYFUNCTION("""COMPUTED_VALUE"""),"")</f>
        <v/>
      </c>
      <c r="F222" s="30"/>
      <c r="G222" s="34" t="str">
        <f>IFERROR(__xludf.DUMMYFUNCTION("""COMPUTED_VALUE"""),"")</f>
        <v/>
      </c>
      <c r="H222" s="34" t="str">
        <f>IFERROR(__xludf.DUMMYFUNCTION("""COMPUTED_VALUE"""),"")</f>
        <v/>
      </c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</row>
    <row r="223">
      <c r="A223" s="30"/>
      <c r="B223" s="30" t="str">
        <f>IFERROR(__xludf.DUMMYFUNCTION("""COMPUTED_VALUE"""),"")</f>
        <v/>
      </c>
      <c r="C223" s="30" t="str">
        <f>IFERROR(__xludf.DUMMYFUNCTION("""COMPUTED_VALUE"""),"")</f>
        <v/>
      </c>
      <c r="D223" s="30"/>
      <c r="E223" s="34" t="str">
        <f>IFERROR(__xludf.DUMMYFUNCTION("""COMPUTED_VALUE"""),"")</f>
        <v/>
      </c>
      <c r="F223" s="30"/>
      <c r="G223" s="34" t="str">
        <f>IFERROR(__xludf.DUMMYFUNCTION("""COMPUTED_VALUE"""),"")</f>
        <v/>
      </c>
      <c r="H223" s="34" t="str">
        <f>IFERROR(__xludf.DUMMYFUNCTION("""COMPUTED_VALUE"""),"")</f>
        <v/>
      </c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</row>
    <row r="224">
      <c r="A224" s="30"/>
      <c r="B224" s="30" t="str">
        <f>IFERROR(__xludf.DUMMYFUNCTION("""COMPUTED_VALUE"""),"")</f>
        <v/>
      </c>
      <c r="C224" s="30" t="str">
        <f>IFERROR(__xludf.DUMMYFUNCTION("""COMPUTED_VALUE"""),"")</f>
        <v/>
      </c>
      <c r="D224" s="30"/>
      <c r="E224" s="34" t="str">
        <f>IFERROR(__xludf.DUMMYFUNCTION("""COMPUTED_VALUE"""),"")</f>
        <v/>
      </c>
      <c r="F224" s="30"/>
      <c r="G224" s="34" t="str">
        <f>IFERROR(__xludf.DUMMYFUNCTION("""COMPUTED_VALUE"""),"")</f>
        <v/>
      </c>
      <c r="H224" s="34" t="str">
        <f>IFERROR(__xludf.DUMMYFUNCTION("""COMPUTED_VALUE"""),"")</f>
        <v/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</row>
    <row r="225">
      <c r="A225" s="30"/>
      <c r="B225" s="30" t="str">
        <f>IFERROR(__xludf.DUMMYFUNCTION("""COMPUTED_VALUE"""),"")</f>
        <v/>
      </c>
      <c r="C225" s="30" t="str">
        <f>IFERROR(__xludf.DUMMYFUNCTION("""COMPUTED_VALUE"""),"")</f>
        <v/>
      </c>
      <c r="D225" s="30"/>
      <c r="E225" s="34" t="str">
        <f>IFERROR(__xludf.DUMMYFUNCTION("""COMPUTED_VALUE"""),"")</f>
        <v/>
      </c>
      <c r="F225" s="30"/>
      <c r="G225" s="34" t="str">
        <f>IFERROR(__xludf.DUMMYFUNCTION("""COMPUTED_VALUE"""),"")</f>
        <v/>
      </c>
      <c r="H225" s="34" t="str">
        <f>IFERROR(__xludf.DUMMYFUNCTION("""COMPUTED_VALUE"""),"")</f>
        <v/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</row>
    <row r="226">
      <c r="A226" s="30"/>
      <c r="B226" s="30" t="str">
        <f>IFERROR(__xludf.DUMMYFUNCTION("""COMPUTED_VALUE"""),"")</f>
        <v/>
      </c>
      <c r="C226" s="30" t="str">
        <f>IFERROR(__xludf.DUMMYFUNCTION("""COMPUTED_VALUE"""),"")</f>
        <v/>
      </c>
      <c r="D226" s="30"/>
      <c r="E226" s="34" t="str">
        <f>IFERROR(__xludf.DUMMYFUNCTION("""COMPUTED_VALUE"""),"")</f>
        <v/>
      </c>
      <c r="F226" s="30"/>
      <c r="G226" s="34" t="str">
        <f>IFERROR(__xludf.DUMMYFUNCTION("""COMPUTED_VALUE"""),"")</f>
        <v/>
      </c>
      <c r="H226" s="34" t="str">
        <f>IFERROR(__xludf.DUMMYFUNCTION("""COMPUTED_VALUE"""),"")</f>
        <v/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</row>
    <row r="227">
      <c r="A227" s="30"/>
      <c r="B227" s="30" t="str">
        <f>IFERROR(__xludf.DUMMYFUNCTION("""COMPUTED_VALUE"""),"")</f>
        <v/>
      </c>
      <c r="C227" s="30" t="str">
        <f>IFERROR(__xludf.DUMMYFUNCTION("""COMPUTED_VALUE"""),"")</f>
        <v/>
      </c>
      <c r="D227" s="30"/>
      <c r="E227" s="34" t="str">
        <f>IFERROR(__xludf.DUMMYFUNCTION("""COMPUTED_VALUE"""),"")</f>
        <v/>
      </c>
      <c r="F227" s="30"/>
      <c r="G227" s="34" t="str">
        <f>IFERROR(__xludf.DUMMYFUNCTION("""COMPUTED_VALUE"""),"")</f>
        <v/>
      </c>
      <c r="H227" s="34" t="str">
        <f>IFERROR(__xludf.DUMMYFUNCTION("""COMPUTED_VALUE"""),"")</f>
        <v/>
      </c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</row>
    <row r="228">
      <c r="A228" s="30"/>
      <c r="B228" s="30" t="str">
        <f>IFERROR(__xludf.DUMMYFUNCTION("""COMPUTED_VALUE"""),"")</f>
        <v/>
      </c>
      <c r="C228" s="30" t="str">
        <f>IFERROR(__xludf.DUMMYFUNCTION("""COMPUTED_VALUE"""),"")</f>
        <v/>
      </c>
      <c r="D228" s="30"/>
      <c r="E228" s="34" t="str">
        <f>IFERROR(__xludf.DUMMYFUNCTION("""COMPUTED_VALUE"""),"")</f>
        <v/>
      </c>
      <c r="F228" s="30"/>
      <c r="G228" s="34" t="str">
        <f>IFERROR(__xludf.DUMMYFUNCTION("""COMPUTED_VALUE"""),"")</f>
        <v/>
      </c>
      <c r="H228" s="34" t="str">
        <f>IFERROR(__xludf.DUMMYFUNCTION("""COMPUTED_VALUE"""),"")</f>
        <v/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</row>
    <row r="229">
      <c r="A229" s="30"/>
      <c r="B229" s="30" t="str">
        <f>IFERROR(__xludf.DUMMYFUNCTION("""COMPUTED_VALUE"""),"")</f>
        <v/>
      </c>
      <c r="C229" s="30" t="str">
        <f>IFERROR(__xludf.DUMMYFUNCTION("""COMPUTED_VALUE"""),"")</f>
        <v/>
      </c>
      <c r="D229" s="30"/>
      <c r="E229" s="34" t="str">
        <f>IFERROR(__xludf.DUMMYFUNCTION("""COMPUTED_VALUE"""),"")</f>
        <v/>
      </c>
      <c r="F229" s="30"/>
      <c r="G229" s="34" t="str">
        <f>IFERROR(__xludf.DUMMYFUNCTION("""COMPUTED_VALUE"""),"")</f>
        <v/>
      </c>
      <c r="H229" s="34" t="str">
        <f>IFERROR(__xludf.DUMMYFUNCTION("""COMPUTED_VALUE"""),"")</f>
        <v/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</row>
    <row r="230">
      <c r="A230" s="30"/>
      <c r="B230" s="30" t="str">
        <f>IFERROR(__xludf.DUMMYFUNCTION("""COMPUTED_VALUE"""),"")</f>
        <v/>
      </c>
      <c r="C230" s="30" t="str">
        <f>IFERROR(__xludf.DUMMYFUNCTION("""COMPUTED_VALUE"""),"")</f>
        <v/>
      </c>
      <c r="D230" s="30"/>
      <c r="E230" s="34" t="str">
        <f>IFERROR(__xludf.DUMMYFUNCTION("""COMPUTED_VALUE"""),"")</f>
        <v/>
      </c>
      <c r="F230" s="30"/>
      <c r="G230" s="34" t="str">
        <f>IFERROR(__xludf.DUMMYFUNCTION("""COMPUTED_VALUE"""),"")</f>
        <v/>
      </c>
      <c r="H230" s="34" t="str">
        <f>IFERROR(__xludf.DUMMYFUNCTION("""COMPUTED_VALUE"""),"")</f>
        <v/>
      </c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</row>
    <row r="231">
      <c r="A231" s="30"/>
      <c r="B231" s="30" t="str">
        <f>IFERROR(__xludf.DUMMYFUNCTION("""COMPUTED_VALUE"""),"")</f>
        <v/>
      </c>
      <c r="C231" s="30" t="str">
        <f>IFERROR(__xludf.DUMMYFUNCTION("""COMPUTED_VALUE"""),"")</f>
        <v/>
      </c>
      <c r="D231" s="30"/>
      <c r="E231" s="34" t="str">
        <f>IFERROR(__xludf.DUMMYFUNCTION("""COMPUTED_VALUE"""),"")</f>
        <v/>
      </c>
      <c r="F231" s="30"/>
      <c r="G231" s="34" t="str">
        <f>IFERROR(__xludf.DUMMYFUNCTION("""COMPUTED_VALUE"""),"")</f>
        <v/>
      </c>
      <c r="H231" s="34" t="str">
        <f>IFERROR(__xludf.DUMMYFUNCTION("""COMPUTED_VALUE"""),"")</f>
        <v/>
      </c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</row>
    <row r="232">
      <c r="A232" s="30"/>
      <c r="B232" s="30" t="str">
        <f>IFERROR(__xludf.DUMMYFUNCTION("""COMPUTED_VALUE"""),"")</f>
        <v/>
      </c>
      <c r="C232" s="30" t="str">
        <f>IFERROR(__xludf.DUMMYFUNCTION("""COMPUTED_VALUE"""),"")</f>
        <v/>
      </c>
      <c r="D232" s="30"/>
      <c r="E232" s="34" t="str">
        <f>IFERROR(__xludf.DUMMYFUNCTION("""COMPUTED_VALUE"""),"")</f>
        <v/>
      </c>
      <c r="F232" s="30"/>
      <c r="G232" s="34" t="str">
        <f>IFERROR(__xludf.DUMMYFUNCTION("""COMPUTED_VALUE"""),"")</f>
        <v/>
      </c>
      <c r="H232" s="34" t="str">
        <f>IFERROR(__xludf.DUMMYFUNCTION("""COMPUTED_VALUE"""),"")</f>
        <v/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</row>
    <row r="233">
      <c r="A233" s="30"/>
      <c r="B233" s="30" t="str">
        <f>IFERROR(__xludf.DUMMYFUNCTION("""COMPUTED_VALUE"""),"")</f>
        <v/>
      </c>
      <c r="C233" s="30" t="str">
        <f>IFERROR(__xludf.DUMMYFUNCTION("""COMPUTED_VALUE"""),"")</f>
        <v/>
      </c>
      <c r="D233" s="30"/>
      <c r="E233" s="34" t="str">
        <f>IFERROR(__xludf.DUMMYFUNCTION("""COMPUTED_VALUE"""),"")</f>
        <v/>
      </c>
      <c r="F233" s="30"/>
      <c r="G233" s="34" t="str">
        <f>IFERROR(__xludf.DUMMYFUNCTION("""COMPUTED_VALUE"""),"")</f>
        <v/>
      </c>
      <c r="H233" s="34" t="str">
        <f>IFERROR(__xludf.DUMMYFUNCTION("""COMPUTED_VALUE"""),"")</f>
        <v/>
      </c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</row>
    <row r="234">
      <c r="A234" s="30"/>
      <c r="B234" s="30" t="str">
        <f>IFERROR(__xludf.DUMMYFUNCTION("""COMPUTED_VALUE"""),"")</f>
        <v/>
      </c>
      <c r="C234" s="30" t="str">
        <f>IFERROR(__xludf.DUMMYFUNCTION("""COMPUTED_VALUE"""),"")</f>
        <v/>
      </c>
      <c r="D234" s="30"/>
      <c r="E234" s="34" t="str">
        <f>IFERROR(__xludf.DUMMYFUNCTION("""COMPUTED_VALUE"""),"")</f>
        <v/>
      </c>
      <c r="F234" s="30"/>
      <c r="G234" s="34" t="str">
        <f>IFERROR(__xludf.DUMMYFUNCTION("""COMPUTED_VALUE"""),"")</f>
        <v/>
      </c>
      <c r="H234" s="34" t="str">
        <f>IFERROR(__xludf.DUMMYFUNCTION("""COMPUTED_VALUE"""),"")</f>
        <v/>
      </c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</row>
    <row r="235">
      <c r="A235" s="30"/>
      <c r="B235" s="30" t="str">
        <f>IFERROR(__xludf.DUMMYFUNCTION("""COMPUTED_VALUE"""),"")</f>
        <v/>
      </c>
      <c r="C235" s="30" t="str">
        <f>IFERROR(__xludf.DUMMYFUNCTION("""COMPUTED_VALUE"""),"")</f>
        <v/>
      </c>
      <c r="D235" s="30"/>
      <c r="E235" s="34" t="str">
        <f>IFERROR(__xludf.DUMMYFUNCTION("""COMPUTED_VALUE"""),"")</f>
        <v/>
      </c>
      <c r="F235" s="30"/>
      <c r="G235" s="34" t="str">
        <f>IFERROR(__xludf.DUMMYFUNCTION("""COMPUTED_VALUE"""),"")</f>
        <v/>
      </c>
      <c r="H235" s="34" t="str">
        <f>IFERROR(__xludf.DUMMYFUNCTION("""COMPUTED_VALUE"""),"")</f>
        <v/>
      </c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>
      <c r="A236" s="30"/>
      <c r="B236" s="30" t="str">
        <f>IFERROR(__xludf.DUMMYFUNCTION("""COMPUTED_VALUE"""),"")</f>
        <v/>
      </c>
      <c r="C236" s="30" t="str">
        <f>IFERROR(__xludf.DUMMYFUNCTION("""COMPUTED_VALUE"""),"")</f>
        <v/>
      </c>
      <c r="D236" s="30"/>
      <c r="E236" s="34" t="str">
        <f>IFERROR(__xludf.DUMMYFUNCTION("""COMPUTED_VALUE"""),"")</f>
        <v/>
      </c>
      <c r="F236" s="30"/>
      <c r="G236" s="34" t="str">
        <f>IFERROR(__xludf.DUMMYFUNCTION("""COMPUTED_VALUE"""),"")</f>
        <v/>
      </c>
      <c r="H236" s="34" t="str">
        <f>IFERROR(__xludf.DUMMYFUNCTION("""COMPUTED_VALUE"""),"")</f>
        <v/>
      </c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</row>
    <row r="237">
      <c r="A237" s="30"/>
      <c r="B237" s="30" t="str">
        <f>IFERROR(__xludf.DUMMYFUNCTION("""COMPUTED_VALUE"""),"")</f>
        <v/>
      </c>
      <c r="C237" s="30" t="str">
        <f>IFERROR(__xludf.DUMMYFUNCTION("""COMPUTED_VALUE"""),"")</f>
        <v/>
      </c>
      <c r="D237" s="30"/>
      <c r="E237" s="34" t="str">
        <f>IFERROR(__xludf.DUMMYFUNCTION("""COMPUTED_VALUE"""),"")</f>
        <v/>
      </c>
      <c r="F237" s="30"/>
      <c r="G237" s="34" t="str">
        <f>IFERROR(__xludf.DUMMYFUNCTION("""COMPUTED_VALUE"""),"")</f>
        <v/>
      </c>
      <c r="H237" s="34" t="str">
        <f>IFERROR(__xludf.DUMMYFUNCTION("""COMPUTED_VALUE"""),"")</f>
        <v/>
      </c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</row>
    <row r="238">
      <c r="A238" s="30"/>
      <c r="B238" s="30" t="str">
        <f>IFERROR(__xludf.DUMMYFUNCTION("""COMPUTED_VALUE"""),"")</f>
        <v/>
      </c>
      <c r="C238" s="30" t="str">
        <f>IFERROR(__xludf.DUMMYFUNCTION("""COMPUTED_VALUE"""),"")</f>
        <v/>
      </c>
      <c r="D238" s="30"/>
      <c r="E238" s="34" t="str">
        <f>IFERROR(__xludf.DUMMYFUNCTION("""COMPUTED_VALUE"""),"")</f>
        <v/>
      </c>
      <c r="F238" s="30"/>
      <c r="G238" s="34" t="str">
        <f>IFERROR(__xludf.DUMMYFUNCTION("""COMPUTED_VALUE"""),"")</f>
        <v/>
      </c>
      <c r="H238" s="34" t="str">
        <f>IFERROR(__xludf.DUMMYFUNCTION("""COMPUTED_VALUE"""),"")</f>
        <v/>
      </c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</row>
    <row r="239">
      <c r="A239" s="30"/>
      <c r="B239" s="30" t="str">
        <f>IFERROR(__xludf.DUMMYFUNCTION("""COMPUTED_VALUE"""),"")</f>
        <v/>
      </c>
      <c r="C239" s="30" t="str">
        <f>IFERROR(__xludf.DUMMYFUNCTION("""COMPUTED_VALUE"""),"")</f>
        <v/>
      </c>
      <c r="D239" s="30"/>
      <c r="E239" s="34" t="str">
        <f>IFERROR(__xludf.DUMMYFUNCTION("""COMPUTED_VALUE"""),"")</f>
        <v/>
      </c>
      <c r="F239" s="30"/>
      <c r="G239" s="34" t="str">
        <f>IFERROR(__xludf.DUMMYFUNCTION("""COMPUTED_VALUE"""),"")</f>
        <v/>
      </c>
      <c r="H239" s="34" t="str">
        <f>IFERROR(__xludf.DUMMYFUNCTION("""COMPUTED_VALUE"""),"")</f>
        <v/>
      </c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</row>
    <row r="240">
      <c r="A240" s="30"/>
      <c r="B240" s="30" t="str">
        <f>IFERROR(__xludf.DUMMYFUNCTION("""COMPUTED_VALUE"""),"")</f>
        <v/>
      </c>
      <c r="C240" s="30" t="str">
        <f>IFERROR(__xludf.DUMMYFUNCTION("""COMPUTED_VALUE"""),"")</f>
        <v/>
      </c>
      <c r="D240" s="30"/>
      <c r="E240" s="34" t="str">
        <f>IFERROR(__xludf.DUMMYFUNCTION("""COMPUTED_VALUE"""),"")</f>
        <v/>
      </c>
      <c r="F240" s="30"/>
      <c r="G240" s="34" t="str">
        <f>IFERROR(__xludf.DUMMYFUNCTION("""COMPUTED_VALUE"""),"")</f>
        <v/>
      </c>
      <c r="H240" s="34" t="str">
        <f>IFERROR(__xludf.DUMMYFUNCTION("""COMPUTED_VALUE"""),"")</f>
        <v/>
      </c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</row>
    <row r="241">
      <c r="A241" s="30"/>
      <c r="B241" s="30" t="str">
        <f>IFERROR(__xludf.DUMMYFUNCTION("""COMPUTED_VALUE"""),"")</f>
        <v/>
      </c>
      <c r="C241" s="30" t="str">
        <f>IFERROR(__xludf.DUMMYFUNCTION("""COMPUTED_VALUE"""),"")</f>
        <v/>
      </c>
      <c r="D241" s="30"/>
      <c r="E241" s="34" t="str">
        <f>IFERROR(__xludf.DUMMYFUNCTION("""COMPUTED_VALUE"""),"")</f>
        <v/>
      </c>
      <c r="F241" s="30"/>
      <c r="G241" s="34" t="str">
        <f>IFERROR(__xludf.DUMMYFUNCTION("""COMPUTED_VALUE"""),"")</f>
        <v/>
      </c>
      <c r="H241" s="34" t="str">
        <f>IFERROR(__xludf.DUMMYFUNCTION("""COMPUTED_VALUE"""),"")</f>
        <v/>
      </c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</row>
    <row r="242">
      <c r="A242" s="30"/>
      <c r="B242" s="30" t="str">
        <f>IFERROR(__xludf.DUMMYFUNCTION("""COMPUTED_VALUE"""),"")</f>
        <v/>
      </c>
      <c r="C242" s="30" t="str">
        <f>IFERROR(__xludf.DUMMYFUNCTION("""COMPUTED_VALUE"""),"")</f>
        <v/>
      </c>
      <c r="D242" s="30"/>
      <c r="E242" s="34" t="str">
        <f>IFERROR(__xludf.DUMMYFUNCTION("""COMPUTED_VALUE"""),"")</f>
        <v/>
      </c>
      <c r="F242" s="30"/>
      <c r="G242" s="34" t="str">
        <f>IFERROR(__xludf.DUMMYFUNCTION("""COMPUTED_VALUE"""),"")</f>
        <v/>
      </c>
      <c r="H242" s="34" t="str">
        <f>IFERROR(__xludf.DUMMYFUNCTION("""COMPUTED_VALUE"""),"")</f>
        <v/>
      </c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</row>
    <row r="243">
      <c r="A243" s="30"/>
      <c r="B243" s="30" t="str">
        <f>IFERROR(__xludf.DUMMYFUNCTION("""COMPUTED_VALUE"""),"")</f>
        <v/>
      </c>
      <c r="C243" s="30" t="str">
        <f>IFERROR(__xludf.DUMMYFUNCTION("""COMPUTED_VALUE"""),"")</f>
        <v/>
      </c>
      <c r="D243" s="30"/>
      <c r="E243" s="34" t="str">
        <f>IFERROR(__xludf.DUMMYFUNCTION("""COMPUTED_VALUE"""),"")</f>
        <v/>
      </c>
      <c r="F243" s="30"/>
      <c r="G243" s="34" t="str">
        <f>IFERROR(__xludf.DUMMYFUNCTION("""COMPUTED_VALUE"""),"")</f>
        <v/>
      </c>
      <c r="H243" s="34" t="str">
        <f>IFERROR(__xludf.DUMMYFUNCTION("""COMPUTED_VALUE"""),"")</f>
        <v/>
      </c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</row>
    <row r="244">
      <c r="A244" s="30"/>
      <c r="B244" s="30" t="str">
        <f>IFERROR(__xludf.DUMMYFUNCTION("""COMPUTED_VALUE"""),"")</f>
        <v/>
      </c>
      <c r="C244" s="30" t="str">
        <f>IFERROR(__xludf.DUMMYFUNCTION("""COMPUTED_VALUE"""),"")</f>
        <v/>
      </c>
      <c r="D244" s="30"/>
      <c r="E244" s="34" t="str">
        <f>IFERROR(__xludf.DUMMYFUNCTION("""COMPUTED_VALUE"""),"")</f>
        <v/>
      </c>
      <c r="F244" s="30"/>
      <c r="G244" s="34" t="str">
        <f>IFERROR(__xludf.DUMMYFUNCTION("""COMPUTED_VALUE"""),"")</f>
        <v/>
      </c>
      <c r="H244" s="34" t="str">
        <f>IFERROR(__xludf.DUMMYFUNCTION("""COMPUTED_VALUE"""),"")</f>
        <v/>
      </c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</row>
    <row r="245">
      <c r="A245" s="30"/>
      <c r="B245" s="30" t="str">
        <f>IFERROR(__xludf.DUMMYFUNCTION("""COMPUTED_VALUE"""),"")</f>
        <v/>
      </c>
      <c r="C245" s="30" t="str">
        <f>IFERROR(__xludf.DUMMYFUNCTION("""COMPUTED_VALUE"""),"")</f>
        <v/>
      </c>
      <c r="D245" s="30"/>
      <c r="E245" s="34" t="str">
        <f>IFERROR(__xludf.DUMMYFUNCTION("""COMPUTED_VALUE"""),"")</f>
        <v/>
      </c>
      <c r="F245" s="30"/>
      <c r="G245" s="34" t="str">
        <f>IFERROR(__xludf.DUMMYFUNCTION("""COMPUTED_VALUE"""),"")</f>
        <v/>
      </c>
      <c r="H245" s="34" t="str">
        <f>IFERROR(__xludf.DUMMYFUNCTION("""COMPUTED_VALUE"""),"")</f>
        <v/>
      </c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</row>
    <row r="246">
      <c r="A246" s="30"/>
      <c r="B246" s="30" t="str">
        <f>IFERROR(__xludf.DUMMYFUNCTION("""COMPUTED_VALUE"""),"")</f>
        <v/>
      </c>
      <c r="C246" s="30" t="str">
        <f>IFERROR(__xludf.DUMMYFUNCTION("""COMPUTED_VALUE"""),"")</f>
        <v/>
      </c>
      <c r="D246" s="30"/>
      <c r="E246" s="34" t="str">
        <f>IFERROR(__xludf.DUMMYFUNCTION("""COMPUTED_VALUE"""),"")</f>
        <v/>
      </c>
      <c r="F246" s="30"/>
      <c r="G246" s="34" t="str">
        <f>IFERROR(__xludf.DUMMYFUNCTION("""COMPUTED_VALUE"""),"")</f>
        <v/>
      </c>
      <c r="H246" s="34" t="str">
        <f>IFERROR(__xludf.DUMMYFUNCTION("""COMPUTED_VALUE"""),"")</f>
        <v/>
      </c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</row>
    <row r="247">
      <c r="A247" s="30"/>
      <c r="B247" s="30" t="str">
        <f>IFERROR(__xludf.DUMMYFUNCTION("""COMPUTED_VALUE"""),"")</f>
        <v/>
      </c>
      <c r="C247" s="30" t="str">
        <f>IFERROR(__xludf.DUMMYFUNCTION("""COMPUTED_VALUE"""),"")</f>
        <v/>
      </c>
      <c r="D247" s="30"/>
      <c r="E247" s="34" t="str">
        <f>IFERROR(__xludf.DUMMYFUNCTION("""COMPUTED_VALUE"""),"")</f>
        <v/>
      </c>
      <c r="F247" s="30"/>
      <c r="G247" s="34" t="str">
        <f>IFERROR(__xludf.DUMMYFUNCTION("""COMPUTED_VALUE"""),"")</f>
        <v/>
      </c>
      <c r="H247" s="34" t="str">
        <f>IFERROR(__xludf.DUMMYFUNCTION("""COMPUTED_VALUE"""),"")</f>
        <v/>
      </c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</row>
    <row r="248">
      <c r="A248" s="30"/>
      <c r="B248" s="30" t="str">
        <f>IFERROR(__xludf.DUMMYFUNCTION("""COMPUTED_VALUE"""),"")</f>
        <v/>
      </c>
      <c r="C248" s="30" t="str">
        <f>IFERROR(__xludf.DUMMYFUNCTION("""COMPUTED_VALUE"""),"")</f>
        <v/>
      </c>
      <c r="D248" s="30"/>
      <c r="E248" s="34" t="str">
        <f>IFERROR(__xludf.DUMMYFUNCTION("""COMPUTED_VALUE"""),"")</f>
        <v/>
      </c>
      <c r="F248" s="30"/>
      <c r="G248" s="34" t="str">
        <f>IFERROR(__xludf.DUMMYFUNCTION("""COMPUTED_VALUE"""),"")</f>
        <v/>
      </c>
      <c r="H248" s="34" t="str">
        <f>IFERROR(__xludf.DUMMYFUNCTION("""COMPUTED_VALUE"""),"")</f>
        <v/>
      </c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</row>
    <row r="249">
      <c r="A249" s="30"/>
      <c r="B249" s="30" t="str">
        <f>IFERROR(__xludf.DUMMYFUNCTION("""COMPUTED_VALUE"""),"")</f>
        <v/>
      </c>
      <c r="C249" s="30" t="str">
        <f>IFERROR(__xludf.DUMMYFUNCTION("""COMPUTED_VALUE"""),"")</f>
        <v/>
      </c>
      <c r="D249" s="30"/>
      <c r="E249" s="34" t="str">
        <f>IFERROR(__xludf.DUMMYFUNCTION("""COMPUTED_VALUE"""),"")</f>
        <v/>
      </c>
      <c r="F249" s="30"/>
      <c r="G249" s="34" t="str">
        <f>IFERROR(__xludf.DUMMYFUNCTION("""COMPUTED_VALUE"""),"")</f>
        <v/>
      </c>
      <c r="H249" s="34" t="str">
        <f>IFERROR(__xludf.DUMMYFUNCTION("""COMPUTED_VALUE"""),"")</f>
        <v/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</row>
    <row r="250">
      <c r="A250" s="30"/>
      <c r="B250" s="30" t="str">
        <f>IFERROR(__xludf.DUMMYFUNCTION("""COMPUTED_VALUE"""),"")</f>
        <v/>
      </c>
      <c r="C250" s="30" t="str">
        <f>IFERROR(__xludf.DUMMYFUNCTION("""COMPUTED_VALUE"""),"")</f>
        <v/>
      </c>
      <c r="D250" s="30"/>
      <c r="E250" s="34" t="str">
        <f>IFERROR(__xludf.DUMMYFUNCTION("""COMPUTED_VALUE"""),"")</f>
        <v/>
      </c>
      <c r="F250" s="30"/>
      <c r="G250" s="34" t="str">
        <f>IFERROR(__xludf.DUMMYFUNCTION("""COMPUTED_VALUE"""),"")</f>
        <v/>
      </c>
      <c r="H250" s="34" t="str">
        <f>IFERROR(__xludf.DUMMYFUNCTION("""COMPUTED_VALUE"""),"")</f>
        <v/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</row>
    <row r="251">
      <c r="A251" s="30"/>
      <c r="B251" s="30" t="str">
        <f>IFERROR(__xludf.DUMMYFUNCTION("""COMPUTED_VALUE"""),"")</f>
        <v/>
      </c>
      <c r="C251" s="30" t="str">
        <f>IFERROR(__xludf.DUMMYFUNCTION("""COMPUTED_VALUE"""),"")</f>
        <v/>
      </c>
      <c r="D251" s="30"/>
      <c r="E251" s="34" t="str">
        <f>IFERROR(__xludf.DUMMYFUNCTION("""COMPUTED_VALUE"""),"")</f>
        <v/>
      </c>
      <c r="F251" s="30"/>
      <c r="G251" s="34" t="str">
        <f>IFERROR(__xludf.DUMMYFUNCTION("""COMPUTED_VALUE"""),"")</f>
        <v/>
      </c>
      <c r="H251" s="34" t="str">
        <f>IFERROR(__xludf.DUMMYFUNCTION("""COMPUTED_VALUE"""),"")</f>
        <v/>
      </c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</row>
    <row r="252">
      <c r="A252" s="30"/>
      <c r="B252" s="30" t="str">
        <f>IFERROR(__xludf.DUMMYFUNCTION("""COMPUTED_VALUE"""),"")</f>
        <v/>
      </c>
      <c r="C252" s="30" t="str">
        <f>IFERROR(__xludf.DUMMYFUNCTION("""COMPUTED_VALUE"""),"")</f>
        <v/>
      </c>
      <c r="D252" s="30"/>
      <c r="E252" s="34" t="str">
        <f>IFERROR(__xludf.DUMMYFUNCTION("""COMPUTED_VALUE"""),"")</f>
        <v/>
      </c>
      <c r="F252" s="30"/>
      <c r="G252" s="34" t="str">
        <f>IFERROR(__xludf.DUMMYFUNCTION("""COMPUTED_VALUE"""),"")</f>
        <v/>
      </c>
      <c r="H252" s="34" t="str">
        <f>IFERROR(__xludf.DUMMYFUNCTION("""COMPUTED_VALUE"""),"")</f>
        <v/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</row>
    <row r="253">
      <c r="A253" s="30"/>
      <c r="B253" s="30" t="str">
        <f>IFERROR(__xludf.DUMMYFUNCTION("""COMPUTED_VALUE"""),"")</f>
        <v/>
      </c>
      <c r="C253" s="30" t="str">
        <f>IFERROR(__xludf.DUMMYFUNCTION("""COMPUTED_VALUE"""),"")</f>
        <v/>
      </c>
      <c r="D253" s="30"/>
      <c r="E253" s="34" t="str">
        <f>IFERROR(__xludf.DUMMYFUNCTION("""COMPUTED_VALUE"""),"")</f>
        <v/>
      </c>
      <c r="F253" s="30"/>
      <c r="G253" s="34" t="str">
        <f>IFERROR(__xludf.DUMMYFUNCTION("""COMPUTED_VALUE"""),"")</f>
        <v/>
      </c>
      <c r="H253" s="34" t="str">
        <f>IFERROR(__xludf.DUMMYFUNCTION("""COMPUTED_VALUE"""),"")</f>
        <v/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>
      <c r="A254" s="30"/>
      <c r="B254" s="30" t="str">
        <f>IFERROR(__xludf.DUMMYFUNCTION("""COMPUTED_VALUE"""),"")</f>
        <v/>
      </c>
      <c r="C254" s="30" t="str">
        <f>IFERROR(__xludf.DUMMYFUNCTION("""COMPUTED_VALUE"""),"")</f>
        <v/>
      </c>
      <c r="D254" s="30"/>
      <c r="E254" s="34" t="str">
        <f>IFERROR(__xludf.DUMMYFUNCTION("""COMPUTED_VALUE"""),"")</f>
        <v/>
      </c>
      <c r="F254" s="30"/>
      <c r="G254" s="34" t="str">
        <f>IFERROR(__xludf.DUMMYFUNCTION("""COMPUTED_VALUE"""),"")</f>
        <v/>
      </c>
      <c r="H254" s="34" t="str">
        <f>IFERROR(__xludf.DUMMYFUNCTION("""COMPUTED_VALUE"""),"")</f>
        <v/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</row>
    <row r="255">
      <c r="A255" s="30"/>
      <c r="B255" s="30" t="str">
        <f>IFERROR(__xludf.DUMMYFUNCTION("""COMPUTED_VALUE"""),"")</f>
        <v/>
      </c>
      <c r="C255" s="30" t="str">
        <f>IFERROR(__xludf.DUMMYFUNCTION("""COMPUTED_VALUE"""),"")</f>
        <v/>
      </c>
      <c r="D255" s="30"/>
      <c r="E255" s="34" t="str">
        <f>IFERROR(__xludf.DUMMYFUNCTION("""COMPUTED_VALUE"""),"")</f>
        <v/>
      </c>
      <c r="F255" s="30"/>
      <c r="G255" s="34" t="str">
        <f>IFERROR(__xludf.DUMMYFUNCTION("""COMPUTED_VALUE"""),"")</f>
        <v/>
      </c>
      <c r="H255" s="34" t="str">
        <f>IFERROR(__xludf.DUMMYFUNCTION("""COMPUTED_VALUE"""),"")</f>
        <v/>
      </c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</row>
    <row r="256">
      <c r="A256" s="30"/>
      <c r="B256" s="30" t="str">
        <f>IFERROR(__xludf.DUMMYFUNCTION("""COMPUTED_VALUE"""),"")</f>
        <v/>
      </c>
      <c r="C256" s="30" t="str">
        <f>IFERROR(__xludf.DUMMYFUNCTION("""COMPUTED_VALUE"""),"")</f>
        <v/>
      </c>
      <c r="D256" s="30"/>
      <c r="E256" s="34" t="str">
        <f>IFERROR(__xludf.DUMMYFUNCTION("""COMPUTED_VALUE"""),"")</f>
        <v/>
      </c>
      <c r="F256" s="30"/>
      <c r="G256" s="34" t="str">
        <f>IFERROR(__xludf.DUMMYFUNCTION("""COMPUTED_VALUE"""),"")</f>
        <v/>
      </c>
      <c r="H256" s="34" t="str">
        <f>IFERROR(__xludf.DUMMYFUNCTION("""COMPUTED_VALUE"""),"")</f>
        <v/>
      </c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</row>
    <row r="257">
      <c r="A257" s="30"/>
      <c r="B257" s="30" t="str">
        <f>IFERROR(__xludf.DUMMYFUNCTION("""COMPUTED_VALUE"""),"")</f>
        <v/>
      </c>
      <c r="C257" s="30" t="str">
        <f>IFERROR(__xludf.DUMMYFUNCTION("""COMPUTED_VALUE"""),"")</f>
        <v/>
      </c>
      <c r="D257" s="30"/>
      <c r="E257" s="34" t="str">
        <f>IFERROR(__xludf.DUMMYFUNCTION("""COMPUTED_VALUE"""),"")</f>
        <v/>
      </c>
      <c r="F257" s="30"/>
      <c r="G257" s="34" t="str">
        <f>IFERROR(__xludf.DUMMYFUNCTION("""COMPUTED_VALUE"""),"")</f>
        <v/>
      </c>
      <c r="H257" s="34" t="str">
        <f>IFERROR(__xludf.DUMMYFUNCTION("""COMPUTED_VALUE"""),"")</f>
        <v/>
      </c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</row>
    <row r="258">
      <c r="A258" s="30"/>
      <c r="B258" s="30" t="str">
        <f>IFERROR(__xludf.DUMMYFUNCTION("""COMPUTED_VALUE"""),"")</f>
        <v/>
      </c>
      <c r="C258" s="30" t="str">
        <f>IFERROR(__xludf.DUMMYFUNCTION("""COMPUTED_VALUE"""),"")</f>
        <v/>
      </c>
      <c r="D258" s="30"/>
      <c r="E258" s="34" t="str">
        <f>IFERROR(__xludf.DUMMYFUNCTION("""COMPUTED_VALUE"""),"")</f>
        <v/>
      </c>
      <c r="F258" s="30"/>
      <c r="G258" s="34" t="str">
        <f>IFERROR(__xludf.DUMMYFUNCTION("""COMPUTED_VALUE"""),"")</f>
        <v/>
      </c>
      <c r="H258" s="34" t="str">
        <f>IFERROR(__xludf.DUMMYFUNCTION("""COMPUTED_VALUE"""),"")</f>
        <v/>
      </c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</row>
    <row r="259">
      <c r="A259" s="30"/>
      <c r="B259" s="30" t="str">
        <f>IFERROR(__xludf.DUMMYFUNCTION("""COMPUTED_VALUE"""),"")</f>
        <v/>
      </c>
      <c r="C259" s="30" t="str">
        <f>IFERROR(__xludf.DUMMYFUNCTION("""COMPUTED_VALUE"""),"")</f>
        <v/>
      </c>
      <c r="D259" s="30"/>
      <c r="E259" s="34" t="str">
        <f>IFERROR(__xludf.DUMMYFUNCTION("""COMPUTED_VALUE"""),"")</f>
        <v/>
      </c>
      <c r="F259" s="30"/>
      <c r="G259" s="34" t="str">
        <f>IFERROR(__xludf.DUMMYFUNCTION("""COMPUTED_VALUE"""),"")</f>
        <v/>
      </c>
      <c r="H259" s="34" t="str">
        <f>IFERROR(__xludf.DUMMYFUNCTION("""COMPUTED_VALUE"""),"")</f>
        <v/>
      </c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</row>
    <row r="260">
      <c r="A260" s="30"/>
      <c r="B260" s="30" t="str">
        <f>IFERROR(__xludf.DUMMYFUNCTION("""COMPUTED_VALUE"""),"")</f>
        <v/>
      </c>
      <c r="C260" s="30" t="str">
        <f>IFERROR(__xludf.DUMMYFUNCTION("""COMPUTED_VALUE"""),"")</f>
        <v/>
      </c>
      <c r="D260" s="30"/>
      <c r="E260" s="34" t="str">
        <f>IFERROR(__xludf.DUMMYFUNCTION("""COMPUTED_VALUE"""),"")</f>
        <v/>
      </c>
      <c r="F260" s="30"/>
      <c r="G260" s="34" t="str">
        <f>IFERROR(__xludf.DUMMYFUNCTION("""COMPUTED_VALUE"""),"")</f>
        <v/>
      </c>
      <c r="H260" s="34" t="str">
        <f>IFERROR(__xludf.DUMMYFUNCTION("""COMPUTED_VALUE"""),"")</f>
        <v/>
      </c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</row>
    <row r="261">
      <c r="A261" s="30"/>
      <c r="B261" s="30" t="str">
        <f>IFERROR(__xludf.DUMMYFUNCTION("""COMPUTED_VALUE"""),"")</f>
        <v/>
      </c>
      <c r="C261" s="30" t="str">
        <f>IFERROR(__xludf.DUMMYFUNCTION("""COMPUTED_VALUE"""),"")</f>
        <v/>
      </c>
      <c r="D261" s="30"/>
      <c r="E261" s="34" t="str">
        <f>IFERROR(__xludf.DUMMYFUNCTION("""COMPUTED_VALUE"""),"")</f>
        <v/>
      </c>
      <c r="F261" s="30"/>
      <c r="G261" s="34" t="str">
        <f>IFERROR(__xludf.DUMMYFUNCTION("""COMPUTED_VALUE"""),"")</f>
        <v/>
      </c>
      <c r="H261" s="34" t="str">
        <f>IFERROR(__xludf.DUMMYFUNCTION("""COMPUTED_VALUE"""),"")</f>
        <v/>
      </c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</row>
    <row r="262">
      <c r="A262" s="30"/>
      <c r="B262" s="30" t="str">
        <f>IFERROR(__xludf.DUMMYFUNCTION("""COMPUTED_VALUE"""),"")</f>
        <v/>
      </c>
      <c r="C262" s="30" t="str">
        <f>IFERROR(__xludf.DUMMYFUNCTION("""COMPUTED_VALUE"""),"")</f>
        <v/>
      </c>
      <c r="D262" s="30"/>
      <c r="E262" s="34" t="str">
        <f>IFERROR(__xludf.DUMMYFUNCTION("""COMPUTED_VALUE"""),"")</f>
        <v/>
      </c>
      <c r="F262" s="30"/>
      <c r="G262" s="34" t="str">
        <f>IFERROR(__xludf.DUMMYFUNCTION("""COMPUTED_VALUE"""),"")</f>
        <v/>
      </c>
      <c r="H262" s="34" t="str">
        <f>IFERROR(__xludf.DUMMYFUNCTION("""COMPUTED_VALUE"""),"")</f>
        <v/>
      </c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</row>
    <row r="263">
      <c r="A263" s="30"/>
      <c r="B263" s="30" t="str">
        <f>IFERROR(__xludf.DUMMYFUNCTION("""COMPUTED_VALUE"""),"")</f>
        <v/>
      </c>
      <c r="C263" s="30" t="str">
        <f>IFERROR(__xludf.DUMMYFUNCTION("""COMPUTED_VALUE"""),"")</f>
        <v/>
      </c>
      <c r="D263" s="30"/>
      <c r="E263" s="34" t="str">
        <f>IFERROR(__xludf.DUMMYFUNCTION("""COMPUTED_VALUE"""),"")</f>
        <v/>
      </c>
      <c r="F263" s="30"/>
      <c r="G263" s="34" t="str">
        <f>IFERROR(__xludf.DUMMYFUNCTION("""COMPUTED_VALUE"""),"")</f>
        <v/>
      </c>
      <c r="H263" s="34" t="str">
        <f>IFERROR(__xludf.DUMMYFUNCTION("""COMPUTED_VALUE"""),"")</f>
        <v/>
      </c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</row>
    <row r="264">
      <c r="A264" s="30"/>
      <c r="B264" s="30" t="str">
        <f>IFERROR(__xludf.DUMMYFUNCTION("""COMPUTED_VALUE"""),"")</f>
        <v/>
      </c>
      <c r="C264" s="30" t="str">
        <f>IFERROR(__xludf.DUMMYFUNCTION("""COMPUTED_VALUE"""),"")</f>
        <v/>
      </c>
      <c r="D264" s="30"/>
      <c r="E264" s="34" t="str">
        <f>IFERROR(__xludf.DUMMYFUNCTION("""COMPUTED_VALUE"""),"")</f>
        <v/>
      </c>
      <c r="F264" s="30"/>
      <c r="G264" s="34" t="str">
        <f>IFERROR(__xludf.DUMMYFUNCTION("""COMPUTED_VALUE"""),"")</f>
        <v/>
      </c>
      <c r="H264" s="34" t="str">
        <f>IFERROR(__xludf.DUMMYFUNCTION("""COMPUTED_VALUE"""),"")</f>
        <v/>
      </c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</row>
    <row r="265">
      <c r="A265" s="30"/>
      <c r="B265" s="30" t="str">
        <f>IFERROR(__xludf.DUMMYFUNCTION("""COMPUTED_VALUE"""),"")</f>
        <v/>
      </c>
      <c r="C265" s="30" t="str">
        <f>IFERROR(__xludf.DUMMYFUNCTION("""COMPUTED_VALUE"""),"")</f>
        <v/>
      </c>
      <c r="D265" s="30"/>
      <c r="E265" s="34" t="str">
        <f>IFERROR(__xludf.DUMMYFUNCTION("""COMPUTED_VALUE"""),"")</f>
        <v/>
      </c>
      <c r="F265" s="30"/>
      <c r="G265" s="34" t="str">
        <f>IFERROR(__xludf.DUMMYFUNCTION("""COMPUTED_VALUE"""),"")</f>
        <v/>
      </c>
      <c r="H265" s="34" t="str">
        <f>IFERROR(__xludf.DUMMYFUNCTION("""COMPUTED_VALUE"""),"")</f>
        <v/>
      </c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</row>
    <row r="266">
      <c r="A266" s="30"/>
      <c r="B266" s="30" t="str">
        <f>IFERROR(__xludf.DUMMYFUNCTION("""COMPUTED_VALUE"""),"")</f>
        <v/>
      </c>
      <c r="C266" s="30" t="str">
        <f>IFERROR(__xludf.DUMMYFUNCTION("""COMPUTED_VALUE"""),"")</f>
        <v/>
      </c>
      <c r="D266" s="30"/>
      <c r="E266" s="34" t="str">
        <f>IFERROR(__xludf.DUMMYFUNCTION("""COMPUTED_VALUE"""),"")</f>
        <v/>
      </c>
      <c r="F266" s="30"/>
      <c r="G266" s="34" t="str">
        <f>IFERROR(__xludf.DUMMYFUNCTION("""COMPUTED_VALUE"""),"")</f>
        <v/>
      </c>
      <c r="H266" s="34" t="str">
        <f>IFERROR(__xludf.DUMMYFUNCTION("""COMPUTED_VALUE"""),"")</f>
        <v/>
      </c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7">
      <c r="A267" s="30"/>
      <c r="B267" s="30" t="str">
        <f>IFERROR(__xludf.DUMMYFUNCTION("""COMPUTED_VALUE"""),"")</f>
        <v/>
      </c>
      <c r="C267" s="30" t="str">
        <f>IFERROR(__xludf.DUMMYFUNCTION("""COMPUTED_VALUE"""),"")</f>
        <v/>
      </c>
      <c r="D267" s="30"/>
      <c r="E267" s="34" t="str">
        <f>IFERROR(__xludf.DUMMYFUNCTION("""COMPUTED_VALUE"""),"")</f>
        <v/>
      </c>
      <c r="F267" s="30"/>
      <c r="G267" s="34" t="str">
        <f>IFERROR(__xludf.DUMMYFUNCTION("""COMPUTED_VALUE"""),"")</f>
        <v/>
      </c>
      <c r="H267" s="34" t="str">
        <f>IFERROR(__xludf.DUMMYFUNCTION("""COMPUTED_VALUE"""),"")</f>
        <v/>
      </c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</row>
    <row r="268">
      <c r="A268" s="30"/>
      <c r="B268" s="30" t="str">
        <f>IFERROR(__xludf.DUMMYFUNCTION("""COMPUTED_VALUE"""),"")</f>
        <v/>
      </c>
      <c r="C268" s="30" t="str">
        <f>IFERROR(__xludf.DUMMYFUNCTION("""COMPUTED_VALUE"""),"")</f>
        <v/>
      </c>
      <c r="D268" s="30"/>
      <c r="E268" s="34" t="str">
        <f>IFERROR(__xludf.DUMMYFUNCTION("""COMPUTED_VALUE"""),"")</f>
        <v/>
      </c>
      <c r="F268" s="30"/>
      <c r="G268" s="34" t="str">
        <f>IFERROR(__xludf.DUMMYFUNCTION("""COMPUTED_VALUE"""),"")</f>
        <v/>
      </c>
      <c r="H268" s="34" t="str">
        <f>IFERROR(__xludf.DUMMYFUNCTION("""COMPUTED_VALUE"""),"")</f>
        <v/>
      </c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>
      <c r="A269" s="30"/>
      <c r="B269" s="30" t="str">
        <f>IFERROR(__xludf.DUMMYFUNCTION("""COMPUTED_VALUE"""),"")</f>
        <v/>
      </c>
      <c r="C269" s="30" t="str">
        <f>IFERROR(__xludf.DUMMYFUNCTION("""COMPUTED_VALUE"""),"")</f>
        <v/>
      </c>
      <c r="D269" s="30"/>
      <c r="E269" s="34" t="str">
        <f>IFERROR(__xludf.DUMMYFUNCTION("""COMPUTED_VALUE"""),"")</f>
        <v/>
      </c>
      <c r="F269" s="30"/>
      <c r="G269" s="34" t="str">
        <f>IFERROR(__xludf.DUMMYFUNCTION("""COMPUTED_VALUE"""),"")</f>
        <v/>
      </c>
      <c r="H269" s="34" t="str">
        <f>IFERROR(__xludf.DUMMYFUNCTION("""COMPUTED_VALUE"""),"")</f>
        <v/>
      </c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</row>
    <row r="270">
      <c r="A270" s="30"/>
      <c r="B270" s="30" t="str">
        <f>IFERROR(__xludf.DUMMYFUNCTION("""COMPUTED_VALUE"""),"")</f>
        <v/>
      </c>
      <c r="C270" s="30" t="str">
        <f>IFERROR(__xludf.DUMMYFUNCTION("""COMPUTED_VALUE"""),"")</f>
        <v/>
      </c>
      <c r="D270" s="30"/>
      <c r="E270" s="34" t="str">
        <f>IFERROR(__xludf.DUMMYFUNCTION("""COMPUTED_VALUE"""),"")</f>
        <v/>
      </c>
      <c r="F270" s="30"/>
      <c r="G270" s="34" t="str">
        <f>IFERROR(__xludf.DUMMYFUNCTION("""COMPUTED_VALUE"""),"")</f>
        <v/>
      </c>
      <c r="H270" s="34" t="str">
        <f>IFERROR(__xludf.DUMMYFUNCTION("""COMPUTED_VALUE"""),"")</f>
        <v/>
      </c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</row>
    <row r="271">
      <c r="A271" s="30"/>
      <c r="B271" s="30" t="str">
        <f>IFERROR(__xludf.DUMMYFUNCTION("""COMPUTED_VALUE"""),"")</f>
        <v/>
      </c>
      <c r="C271" s="30" t="str">
        <f>IFERROR(__xludf.DUMMYFUNCTION("""COMPUTED_VALUE"""),"")</f>
        <v/>
      </c>
      <c r="D271" s="30"/>
      <c r="E271" s="34" t="str">
        <f>IFERROR(__xludf.DUMMYFUNCTION("""COMPUTED_VALUE"""),"")</f>
        <v/>
      </c>
      <c r="F271" s="30"/>
      <c r="G271" s="34" t="str">
        <f>IFERROR(__xludf.DUMMYFUNCTION("""COMPUTED_VALUE"""),"")</f>
        <v/>
      </c>
      <c r="H271" s="34" t="str">
        <f>IFERROR(__xludf.DUMMYFUNCTION("""COMPUTED_VALUE"""),"")</f>
        <v/>
      </c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</row>
    <row r="272">
      <c r="A272" s="30"/>
      <c r="B272" s="30" t="str">
        <f>IFERROR(__xludf.DUMMYFUNCTION("""COMPUTED_VALUE"""),"")</f>
        <v/>
      </c>
      <c r="C272" s="30" t="str">
        <f>IFERROR(__xludf.DUMMYFUNCTION("""COMPUTED_VALUE"""),"")</f>
        <v/>
      </c>
      <c r="D272" s="30"/>
      <c r="E272" s="34" t="str">
        <f>IFERROR(__xludf.DUMMYFUNCTION("""COMPUTED_VALUE"""),"")</f>
        <v/>
      </c>
      <c r="F272" s="30"/>
      <c r="G272" s="34" t="str">
        <f>IFERROR(__xludf.DUMMYFUNCTION("""COMPUTED_VALUE"""),"")</f>
        <v/>
      </c>
      <c r="H272" s="34" t="str">
        <f>IFERROR(__xludf.DUMMYFUNCTION("""COMPUTED_VALUE"""),"")</f>
        <v/>
      </c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</row>
    <row r="273">
      <c r="A273" s="30"/>
      <c r="B273" s="30" t="str">
        <f>IFERROR(__xludf.DUMMYFUNCTION("""COMPUTED_VALUE"""),"")</f>
        <v/>
      </c>
      <c r="C273" s="30" t="str">
        <f>IFERROR(__xludf.DUMMYFUNCTION("""COMPUTED_VALUE"""),"")</f>
        <v/>
      </c>
      <c r="D273" s="30"/>
      <c r="E273" s="34" t="str">
        <f>IFERROR(__xludf.DUMMYFUNCTION("""COMPUTED_VALUE"""),"")</f>
        <v/>
      </c>
      <c r="F273" s="30"/>
      <c r="G273" s="34" t="str">
        <f>IFERROR(__xludf.DUMMYFUNCTION("""COMPUTED_VALUE"""),"")</f>
        <v/>
      </c>
      <c r="H273" s="34" t="str">
        <f>IFERROR(__xludf.DUMMYFUNCTION("""COMPUTED_VALUE"""),"")</f>
        <v/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</row>
    <row r="274">
      <c r="A274" s="30"/>
      <c r="B274" s="30" t="str">
        <f>IFERROR(__xludf.DUMMYFUNCTION("""COMPUTED_VALUE"""),"")</f>
        <v/>
      </c>
      <c r="C274" s="30" t="str">
        <f>IFERROR(__xludf.DUMMYFUNCTION("""COMPUTED_VALUE"""),"")</f>
        <v/>
      </c>
      <c r="D274" s="30"/>
      <c r="E274" s="34" t="str">
        <f>IFERROR(__xludf.DUMMYFUNCTION("""COMPUTED_VALUE"""),"")</f>
        <v/>
      </c>
      <c r="F274" s="30"/>
      <c r="G274" s="34" t="str">
        <f>IFERROR(__xludf.DUMMYFUNCTION("""COMPUTED_VALUE"""),"")</f>
        <v/>
      </c>
      <c r="H274" s="34" t="str">
        <f>IFERROR(__xludf.DUMMYFUNCTION("""COMPUTED_VALUE"""),"")</f>
        <v/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</row>
    <row r="275">
      <c r="A275" s="30"/>
      <c r="B275" s="30" t="str">
        <f>IFERROR(__xludf.DUMMYFUNCTION("""COMPUTED_VALUE"""),"")</f>
        <v/>
      </c>
      <c r="C275" s="30" t="str">
        <f>IFERROR(__xludf.DUMMYFUNCTION("""COMPUTED_VALUE"""),"")</f>
        <v/>
      </c>
      <c r="D275" s="30"/>
      <c r="E275" s="34" t="str">
        <f>IFERROR(__xludf.DUMMYFUNCTION("""COMPUTED_VALUE"""),"")</f>
        <v/>
      </c>
      <c r="F275" s="30"/>
      <c r="G275" s="34" t="str">
        <f>IFERROR(__xludf.DUMMYFUNCTION("""COMPUTED_VALUE"""),"")</f>
        <v/>
      </c>
      <c r="H275" s="34" t="str">
        <f>IFERROR(__xludf.DUMMYFUNCTION("""COMPUTED_VALUE"""),"")</f>
        <v/>
      </c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>
      <c r="A276" s="30"/>
      <c r="B276" s="30" t="str">
        <f>IFERROR(__xludf.DUMMYFUNCTION("""COMPUTED_VALUE"""),"")</f>
        <v/>
      </c>
      <c r="C276" s="30" t="str">
        <f>IFERROR(__xludf.DUMMYFUNCTION("""COMPUTED_VALUE"""),"")</f>
        <v/>
      </c>
      <c r="D276" s="30"/>
      <c r="E276" s="34" t="str">
        <f>IFERROR(__xludf.DUMMYFUNCTION("""COMPUTED_VALUE"""),"")</f>
        <v/>
      </c>
      <c r="F276" s="30"/>
      <c r="G276" s="34" t="str">
        <f>IFERROR(__xludf.DUMMYFUNCTION("""COMPUTED_VALUE"""),"")</f>
        <v/>
      </c>
      <c r="H276" s="34" t="str">
        <f>IFERROR(__xludf.DUMMYFUNCTION("""COMPUTED_VALUE"""),"")</f>
        <v/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</row>
    <row r="277">
      <c r="A277" s="30"/>
      <c r="B277" s="30" t="str">
        <f>IFERROR(__xludf.DUMMYFUNCTION("""COMPUTED_VALUE"""),"")</f>
        <v/>
      </c>
      <c r="C277" s="30" t="str">
        <f>IFERROR(__xludf.DUMMYFUNCTION("""COMPUTED_VALUE"""),"")</f>
        <v/>
      </c>
      <c r="D277" s="30"/>
      <c r="E277" s="34" t="str">
        <f>IFERROR(__xludf.DUMMYFUNCTION("""COMPUTED_VALUE"""),"")</f>
        <v/>
      </c>
      <c r="F277" s="30"/>
      <c r="G277" s="34" t="str">
        <f>IFERROR(__xludf.DUMMYFUNCTION("""COMPUTED_VALUE"""),"")</f>
        <v/>
      </c>
      <c r="H277" s="34" t="str">
        <f>IFERROR(__xludf.DUMMYFUNCTION("""COMPUTED_VALUE"""),"")</f>
        <v/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</row>
    <row r="278">
      <c r="A278" s="30"/>
      <c r="B278" s="30" t="str">
        <f>IFERROR(__xludf.DUMMYFUNCTION("""COMPUTED_VALUE"""),"")</f>
        <v/>
      </c>
      <c r="C278" s="30" t="str">
        <f>IFERROR(__xludf.DUMMYFUNCTION("""COMPUTED_VALUE"""),"")</f>
        <v/>
      </c>
      <c r="D278" s="30"/>
      <c r="E278" s="34" t="str">
        <f>IFERROR(__xludf.DUMMYFUNCTION("""COMPUTED_VALUE"""),"")</f>
        <v/>
      </c>
      <c r="F278" s="30"/>
      <c r="G278" s="34" t="str">
        <f>IFERROR(__xludf.DUMMYFUNCTION("""COMPUTED_VALUE"""),"")</f>
        <v/>
      </c>
      <c r="H278" s="34" t="str">
        <f>IFERROR(__xludf.DUMMYFUNCTION("""COMPUTED_VALUE"""),"")</f>
        <v/>
      </c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</row>
    <row r="279">
      <c r="A279" s="30"/>
      <c r="B279" s="30" t="str">
        <f>IFERROR(__xludf.DUMMYFUNCTION("""COMPUTED_VALUE"""),"")</f>
        <v/>
      </c>
      <c r="C279" s="30" t="str">
        <f>IFERROR(__xludf.DUMMYFUNCTION("""COMPUTED_VALUE"""),"")</f>
        <v/>
      </c>
      <c r="D279" s="30"/>
      <c r="E279" s="34" t="str">
        <f>IFERROR(__xludf.DUMMYFUNCTION("""COMPUTED_VALUE"""),"")</f>
        <v/>
      </c>
      <c r="F279" s="30"/>
      <c r="G279" s="34" t="str">
        <f>IFERROR(__xludf.DUMMYFUNCTION("""COMPUTED_VALUE"""),"")</f>
        <v/>
      </c>
      <c r="H279" s="34" t="str">
        <f>IFERROR(__xludf.DUMMYFUNCTION("""COMPUTED_VALUE"""),"")</f>
        <v/>
      </c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</row>
    <row r="280">
      <c r="A280" s="30"/>
      <c r="B280" s="30" t="str">
        <f>IFERROR(__xludf.DUMMYFUNCTION("""COMPUTED_VALUE"""),"")</f>
        <v/>
      </c>
      <c r="C280" s="30" t="str">
        <f>IFERROR(__xludf.DUMMYFUNCTION("""COMPUTED_VALUE"""),"")</f>
        <v/>
      </c>
      <c r="D280" s="30"/>
      <c r="E280" s="34" t="str">
        <f>IFERROR(__xludf.DUMMYFUNCTION("""COMPUTED_VALUE"""),"")</f>
        <v/>
      </c>
      <c r="F280" s="30"/>
      <c r="G280" s="34" t="str">
        <f>IFERROR(__xludf.DUMMYFUNCTION("""COMPUTED_VALUE"""),"")</f>
        <v/>
      </c>
      <c r="H280" s="34" t="str">
        <f>IFERROR(__xludf.DUMMYFUNCTION("""COMPUTED_VALUE"""),"")</f>
        <v/>
      </c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</row>
    <row r="281">
      <c r="A281" s="30"/>
      <c r="B281" s="30" t="str">
        <f>IFERROR(__xludf.DUMMYFUNCTION("""COMPUTED_VALUE"""),"")</f>
        <v/>
      </c>
      <c r="C281" s="30" t="str">
        <f>IFERROR(__xludf.DUMMYFUNCTION("""COMPUTED_VALUE"""),"")</f>
        <v/>
      </c>
      <c r="D281" s="30"/>
      <c r="E281" s="34" t="str">
        <f>IFERROR(__xludf.DUMMYFUNCTION("""COMPUTED_VALUE"""),"")</f>
        <v/>
      </c>
      <c r="F281" s="30"/>
      <c r="G281" s="34" t="str">
        <f>IFERROR(__xludf.DUMMYFUNCTION("""COMPUTED_VALUE"""),"")</f>
        <v/>
      </c>
      <c r="H281" s="34" t="str">
        <f>IFERROR(__xludf.DUMMYFUNCTION("""COMPUTED_VALUE"""),"")</f>
        <v/>
      </c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</row>
    <row r="282">
      <c r="A282" s="30"/>
      <c r="B282" s="30" t="str">
        <f>IFERROR(__xludf.DUMMYFUNCTION("""COMPUTED_VALUE"""),"")</f>
        <v/>
      </c>
      <c r="C282" s="30" t="str">
        <f>IFERROR(__xludf.DUMMYFUNCTION("""COMPUTED_VALUE"""),"")</f>
        <v/>
      </c>
      <c r="D282" s="30"/>
      <c r="E282" s="34" t="str">
        <f>IFERROR(__xludf.DUMMYFUNCTION("""COMPUTED_VALUE"""),"")</f>
        <v/>
      </c>
      <c r="F282" s="30"/>
      <c r="G282" s="34" t="str">
        <f>IFERROR(__xludf.DUMMYFUNCTION("""COMPUTED_VALUE"""),"")</f>
        <v/>
      </c>
      <c r="H282" s="34" t="str">
        <f>IFERROR(__xludf.DUMMYFUNCTION("""COMPUTED_VALUE"""),"")</f>
        <v/>
      </c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</row>
    <row r="283">
      <c r="A283" s="30"/>
      <c r="B283" s="30" t="str">
        <f>IFERROR(__xludf.DUMMYFUNCTION("""COMPUTED_VALUE"""),"")</f>
        <v/>
      </c>
      <c r="C283" s="30" t="str">
        <f>IFERROR(__xludf.DUMMYFUNCTION("""COMPUTED_VALUE"""),"")</f>
        <v/>
      </c>
      <c r="D283" s="30"/>
      <c r="E283" s="34" t="str">
        <f>IFERROR(__xludf.DUMMYFUNCTION("""COMPUTED_VALUE"""),"")</f>
        <v/>
      </c>
      <c r="F283" s="30"/>
      <c r="G283" s="34" t="str">
        <f>IFERROR(__xludf.DUMMYFUNCTION("""COMPUTED_VALUE"""),"")</f>
        <v/>
      </c>
      <c r="H283" s="34" t="str">
        <f>IFERROR(__xludf.DUMMYFUNCTION("""COMPUTED_VALUE"""),"")</f>
        <v/>
      </c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>
      <c r="A284" s="30"/>
      <c r="B284" s="30" t="str">
        <f>IFERROR(__xludf.DUMMYFUNCTION("""COMPUTED_VALUE"""),"")</f>
        <v/>
      </c>
      <c r="C284" s="30" t="str">
        <f>IFERROR(__xludf.DUMMYFUNCTION("""COMPUTED_VALUE"""),"")</f>
        <v/>
      </c>
      <c r="D284" s="30"/>
      <c r="E284" s="34" t="str">
        <f>IFERROR(__xludf.DUMMYFUNCTION("""COMPUTED_VALUE"""),"")</f>
        <v/>
      </c>
      <c r="F284" s="30"/>
      <c r="G284" s="34" t="str">
        <f>IFERROR(__xludf.DUMMYFUNCTION("""COMPUTED_VALUE"""),"")</f>
        <v/>
      </c>
      <c r="H284" s="34" t="str">
        <f>IFERROR(__xludf.DUMMYFUNCTION("""COMPUTED_VALUE"""),"")</f>
        <v/>
      </c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</row>
    <row r="285">
      <c r="A285" s="30"/>
      <c r="B285" s="30" t="str">
        <f>IFERROR(__xludf.DUMMYFUNCTION("""COMPUTED_VALUE"""),"")</f>
        <v/>
      </c>
      <c r="C285" s="30" t="str">
        <f>IFERROR(__xludf.DUMMYFUNCTION("""COMPUTED_VALUE"""),"")</f>
        <v/>
      </c>
      <c r="D285" s="30"/>
      <c r="E285" s="34" t="str">
        <f>IFERROR(__xludf.DUMMYFUNCTION("""COMPUTED_VALUE"""),"")</f>
        <v/>
      </c>
      <c r="F285" s="30"/>
      <c r="G285" s="34" t="str">
        <f>IFERROR(__xludf.DUMMYFUNCTION("""COMPUTED_VALUE"""),"")</f>
        <v/>
      </c>
      <c r="H285" s="34" t="str">
        <f>IFERROR(__xludf.DUMMYFUNCTION("""COMPUTED_VALUE"""),"")</f>
        <v/>
      </c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</row>
    <row r="286">
      <c r="A286" s="30"/>
      <c r="B286" s="30" t="str">
        <f>IFERROR(__xludf.DUMMYFUNCTION("""COMPUTED_VALUE"""),"")</f>
        <v/>
      </c>
      <c r="C286" s="30" t="str">
        <f>IFERROR(__xludf.DUMMYFUNCTION("""COMPUTED_VALUE"""),"")</f>
        <v/>
      </c>
      <c r="D286" s="30"/>
      <c r="E286" s="34" t="str">
        <f>IFERROR(__xludf.DUMMYFUNCTION("""COMPUTED_VALUE"""),"")</f>
        <v/>
      </c>
      <c r="F286" s="30"/>
      <c r="G286" s="34" t="str">
        <f>IFERROR(__xludf.DUMMYFUNCTION("""COMPUTED_VALUE"""),"")</f>
        <v/>
      </c>
      <c r="H286" s="34" t="str">
        <f>IFERROR(__xludf.DUMMYFUNCTION("""COMPUTED_VALUE"""),"")</f>
        <v/>
      </c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>
      <c r="A287" s="30"/>
      <c r="B287" s="30" t="str">
        <f>IFERROR(__xludf.DUMMYFUNCTION("""COMPUTED_VALUE"""),"")</f>
        <v/>
      </c>
      <c r="C287" s="30" t="str">
        <f>IFERROR(__xludf.DUMMYFUNCTION("""COMPUTED_VALUE"""),"")</f>
        <v/>
      </c>
      <c r="D287" s="30"/>
      <c r="E287" s="34" t="str">
        <f>IFERROR(__xludf.DUMMYFUNCTION("""COMPUTED_VALUE"""),"")</f>
        <v/>
      </c>
      <c r="F287" s="30"/>
      <c r="G287" s="34" t="str">
        <f>IFERROR(__xludf.DUMMYFUNCTION("""COMPUTED_VALUE"""),"")</f>
        <v/>
      </c>
      <c r="H287" s="34" t="str">
        <f>IFERROR(__xludf.DUMMYFUNCTION("""COMPUTED_VALUE"""),"")</f>
        <v/>
      </c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</row>
    <row r="288">
      <c r="A288" s="30"/>
      <c r="B288" s="30" t="str">
        <f>IFERROR(__xludf.DUMMYFUNCTION("""COMPUTED_VALUE"""),"")</f>
        <v/>
      </c>
      <c r="C288" s="30" t="str">
        <f>IFERROR(__xludf.DUMMYFUNCTION("""COMPUTED_VALUE"""),"")</f>
        <v/>
      </c>
      <c r="D288" s="30"/>
      <c r="E288" s="34" t="str">
        <f>IFERROR(__xludf.DUMMYFUNCTION("""COMPUTED_VALUE"""),"")</f>
        <v/>
      </c>
      <c r="F288" s="30"/>
      <c r="G288" s="34" t="str">
        <f>IFERROR(__xludf.DUMMYFUNCTION("""COMPUTED_VALUE"""),"")</f>
        <v/>
      </c>
      <c r="H288" s="34" t="str">
        <f>IFERROR(__xludf.DUMMYFUNCTION("""COMPUTED_VALUE"""),"")</f>
        <v/>
      </c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</row>
    <row r="289">
      <c r="A289" s="30"/>
      <c r="B289" s="30" t="str">
        <f>IFERROR(__xludf.DUMMYFUNCTION("""COMPUTED_VALUE"""),"")</f>
        <v/>
      </c>
      <c r="C289" s="30" t="str">
        <f>IFERROR(__xludf.DUMMYFUNCTION("""COMPUTED_VALUE"""),"")</f>
        <v/>
      </c>
      <c r="D289" s="30"/>
      <c r="E289" s="34" t="str">
        <f>IFERROR(__xludf.DUMMYFUNCTION("""COMPUTED_VALUE"""),"")</f>
        <v/>
      </c>
      <c r="F289" s="30"/>
      <c r="G289" s="34" t="str">
        <f>IFERROR(__xludf.DUMMYFUNCTION("""COMPUTED_VALUE"""),"")</f>
        <v/>
      </c>
      <c r="H289" s="34" t="str">
        <f>IFERROR(__xludf.DUMMYFUNCTION("""COMPUTED_VALUE"""),"")</f>
        <v/>
      </c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</row>
    <row r="290">
      <c r="A290" s="30"/>
      <c r="B290" s="30" t="str">
        <f>IFERROR(__xludf.DUMMYFUNCTION("""COMPUTED_VALUE"""),"")</f>
        <v/>
      </c>
      <c r="C290" s="30" t="str">
        <f>IFERROR(__xludf.DUMMYFUNCTION("""COMPUTED_VALUE"""),"")</f>
        <v/>
      </c>
      <c r="D290" s="30"/>
      <c r="E290" s="34" t="str">
        <f>IFERROR(__xludf.DUMMYFUNCTION("""COMPUTED_VALUE"""),"")</f>
        <v/>
      </c>
      <c r="F290" s="30"/>
      <c r="G290" s="34" t="str">
        <f>IFERROR(__xludf.DUMMYFUNCTION("""COMPUTED_VALUE"""),"")</f>
        <v/>
      </c>
      <c r="H290" s="34" t="str">
        <f>IFERROR(__xludf.DUMMYFUNCTION("""COMPUTED_VALUE"""),"")</f>
        <v/>
      </c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</row>
    <row r="291">
      <c r="A291" s="30"/>
      <c r="B291" s="30" t="str">
        <f>IFERROR(__xludf.DUMMYFUNCTION("""COMPUTED_VALUE"""),"")</f>
        <v/>
      </c>
      <c r="C291" s="30" t="str">
        <f>IFERROR(__xludf.DUMMYFUNCTION("""COMPUTED_VALUE"""),"")</f>
        <v/>
      </c>
      <c r="D291" s="30"/>
      <c r="E291" s="34" t="str">
        <f>IFERROR(__xludf.DUMMYFUNCTION("""COMPUTED_VALUE"""),"")</f>
        <v/>
      </c>
      <c r="F291" s="30"/>
      <c r="G291" s="34" t="str">
        <f>IFERROR(__xludf.DUMMYFUNCTION("""COMPUTED_VALUE"""),"")</f>
        <v/>
      </c>
      <c r="H291" s="34" t="str">
        <f>IFERROR(__xludf.DUMMYFUNCTION("""COMPUTED_VALUE"""),"")</f>
        <v/>
      </c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>
      <c r="A292" s="30"/>
      <c r="B292" s="30" t="str">
        <f>IFERROR(__xludf.DUMMYFUNCTION("""COMPUTED_VALUE"""),"")</f>
        <v/>
      </c>
      <c r="C292" s="30" t="str">
        <f>IFERROR(__xludf.DUMMYFUNCTION("""COMPUTED_VALUE"""),"")</f>
        <v/>
      </c>
      <c r="D292" s="30"/>
      <c r="E292" s="34" t="str">
        <f>IFERROR(__xludf.DUMMYFUNCTION("""COMPUTED_VALUE"""),"")</f>
        <v/>
      </c>
      <c r="F292" s="30"/>
      <c r="G292" s="34" t="str">
        <f>IFERROR(__xludf.DUMMYFUNCTION("""COMPUTED_VALUE"""),"")</f>
        <v/>
      </c>
      <c r="H292" s="34" t="str">
        <f>IFERROR(__xludf.DUMMYFUNCTION("""COMPUTED_VALUE"""),"")</f>
        <v/>
      </c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</row>
    <row r="293">
      <c r="A293" s="30"/>
      <c r="B293" s="30" t="str">
        <f>IFERROR(__xludf.DUMMYFUNCTION("""COMPUTED_VALUE"""),"")</f>
        <v/>
      </c>
      <c r="C293" s="30" t="str">
        <f>IFERROR(__xludf.DUMMYFUNCTION("""COMPUTED_VALUE"""),"")</f>
        <v/>
      </c>
      <c r="D293" s="30"/>
      <c r="E293" s="34" t="str">
        <f>IFERROR(__xludf.DUMMYFUNCTION("""COMPUTED_VALUE"""),"")</f>
        <v/>
      </c>
      <c r="F293" s="30"/>
      <c r="G293" s="34" t="str">
        <f>IFERROR(__xludf.DUMMYFUNCTION("""COMPUTED_VALUE"""),"")</f>
        <v/>
      </c>
      <c r="H293" s="34" t="str">
        <f>IFERROR(__xludf.DUMMYFUNCTION("""COMPUTED_VALUE"""),"")</f>
        <v/>
      </c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</row>
    <row r="294">
      <c r="A294" s="30"/>
      <c r="B294" s="30" t="str">
        <f>IFERROR(__xludf.DUMMYFUNCTION("""COMPUTED_VALUE"""),"")</f>
        <v/>
      </c>
      <c r="C294" s="30" t="str">
        <f>IFERROR(__xludf.DUMMYFUNCTION("""COMPUTED_VALUE"""),"")</f>
        <v/>
      </c>
      <c r="D294" s="30"/>
      <c r="E294" s="34" t="str">
        <f>IFERROR(__xludf.DUMMYFUNCTION("""COMPUTED_VALUE"""),"")</f>
        <v/>
      </c>
      <c r="F294" s="30"/>
      <c r="G294" s="34" t="str">
        <f>IFERROR(__xludf.DUMMYFUNCTION("""COMPUTED_VALUE"""),"")</f>
        <v/>
      </c>
      <c r="H294" s="34" t="str">
        <f>IFERROR(__xludf.DUMMYFUNCTION("""COMPUTED_VALUE"""),"")</f>
        <v/>
      </c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</row>
    <row r="295">
      <c r="A295" s="30"/>
      <c r="B295" s="30" t="str">
        <f>IFERROR(__xludf.DUMMYFUNCTION("""COMPUTED_VALUE"""),"")</f>
        <v/>
      </c>
      <c r="C295" s="30" t="str">
        <f>IFERROR(__xludf.DUMMYFUNCTION("""COMPUTED_VALUE"""),"")</f>
        <v/>
      </c>
      <c r="D295" s="30"/>
      <c r="E295" s="34" t="str">
        <f>IFERROR(__xludf.DUMMYFUNCTION("""COMPUTED_VALUE"""),"")</f>
        <v/>
      </c>
      <c r="F295" s="30"/>
      <c r="G295" s="34" t="str">
        <f>IFERROR(__xludf.DUMMYFUNCTION("""COMPUTED_VALUE"""),"")</f>
        <v/>
      </c>
      <c r="H295" s="34" t="str">
        <f>IFERROR(__xludf.DUMMYFUNCTION("""COMPUTED_VALUE"""),"")</f>
        <v/>
      </c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</row>
    <row r="296">
      <c r="A296" s="30"/>
      <c r="B296" s="30" t="str">
        <f>IFERROR(__xludf.DUMMYFUNCTION("""COMPUTED_VALUE"""),"")</f>
        <v/>
      </c>
      <c r="C296" s="30" t="str">
        <f>IFERROR(__xludf.DUMMYFUNCTION("""COMPUTED_VALUE"""),"")</f>
        <v/>
      </c>
      <c r="D296" s="30"/>
      <c r="E296" s="34" t="str">
        <f>IFERROR(__xludf.DUMMYFUNCTION("""COMPUTED_VALUE"""),"")</f>
        <v/>
      </c>
      <c r="F296" s="30"/>
      <c r="G296" s="34" t="str">
        <f>IFERROR(__xludf.DUMMYFUNCTION("""COMPUTED_VALUE"""),"")</f>
        <v/>
      </c>
      <c r="H296" s="34" t="str">
        <f>IFERROR(__xludf.DUMMYFUNCTION("""COMPUTED_VALUE"""),"")</f>
        <v/>
      </c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</row>
    <row r="297">
      <c r="A297" s="30"/>
      <c r="B297" s="30" t="str">
        <f>IFERROR(__xludf.DUMMYFUNCTION("""COMPUTED_VALUE"""),"")</f>
        <v/>
      </c>
      <c r="C297" s="30" t="str">
        <f>IFERROR(__xludf.DUMMYFUNCTION("""COMPUTED_VALUE"""),"")</f>
        <v/>
      </c>
      <c r="D297" s="30"/>
      <c r="E297" s="34" t="str">
        <f>IFERROR(__xludf.DUMMYFUNCTION("""COMPUTED_VALUE"""),"")</f>
        <v/>
      </c>
      <c r="F297" s="30"/>
      <c r="G297" s="34" t="str">
        <f>IFERROR(__xludf.DUMMYFUNCTION("""COMPUTED_VALUE"""),"")</f>
        <v/>
      </c>
      <c r="H297" s="34" t="str">
        <f>IFERROR(__xludf.DUMMYFUNCTION("""COMPUTED_VALUE"""),"")</f>
        <v/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</row>
    <row r="298">
      <c r="A298" s="30"/>
      <c r="B298" s="30" t="str">
        <f>IFERROR(__xludf.DUMMYFUNCTION("""COMPUTED_VALUE"""),"")</f>
        <v/>
      </c>
      <c r="C298" s="30" t="str">
        <f>IFERROR(__xludf.DUMMYFUNCTION("""COMPUTED_VALUE"""),"")</f>
        <v/>
      </c>
      <c r="D298" s="30"/>
      <c r="E298" s="34" t="str">
        <f>IFERROR(__xludf.DUMMYFUNCTION("""COMPUTED_VALUE"""),"")</f>
        <v/>
      </c>
      <c r="F298" s="30"/>
      <c r="G298" s="34" t="str">
        <f>IFERROR(__xludf.DUMMYFUNCTION("""COMPUTED_VALUE"""),"")</f>
        <v/>
      </c>
      <c r="H298" s="34" t="str">
        <f>IFERROR(__xludf.DUMMYFUNCTION("""COMPUTED_VALUE"""),"")</f>
        <v/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</row>
    <row r="299">
      <c r="A299" s="30"/>
      <c r="B299" s="30" t="str">
        <f>IFERROR(__xludf.DUMMYFUNCTION("""COMPUTED_VALUE"""),"")</f>
        <v/>
      </c>
      <c r="C299" s="30" t="str">
        <f>IFERROR(__xludf.DUMMYFUNCTION("""COMPUTED_VALUE"""),"")</f>
        <v/>
      </c>
      <c r="D299" s="30"/>
      <c r="E299" s="34" t="str">
        <f>IFERROR(__xludf.DUMMYFUNCTION("""COMPUTED_VALUE"""),"")</f>
        <v/>
      </c>
      <c r="F299" s="30"/>
      <c r="G299" s="34" t="str">
        <f>IFERROR(__xludf.DUMMYFUNCTION("""COMPUTED_VALUE"""),"")</f>
        <v/>
      </c>
      <c r="H299" s="34" t="str">
        <f>IFERROR(__xludf.DUMMYFUNCTION("""COMPUTED_VALUE"""),"")</f>
        <v/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</row>
    <row r="300">
      <c r="A300" s="30"/>
      <c r="B300" s="30" t="str">
        <f>IFERROR(__xludf.DUMMYFUNCTION("""COMPUTED_VALUE"""),"")</f>
        <v/>
      </c>
      <c r="C300" s="30" t="str">
        <f>IFERROR(__xludf.DUMMYFUNCTION("""COMPUTED_VALUE"""),"")</f>
        <v/>
      </c>
      <c r="D300" s="30"/>
      <c r="E300" s="34" t="str">
        <f>IFERROR(__xludf.DUMMYFUNCTION("""COMPUTED_VALUE"""),"")</f>
        <v/>
      </c>
      <c r="F300" s="30"/>
      <c r="G300" s="34" t="str">
        <f>IFERROR(__xludf.DUMMYFUNCTION("""COMPUTED_VALUE"""),"")</f>
        <v/>
      </c>
      <c r="H300" s="34" t="str">
        <f>IFERROR(__xludf.DUMMYFUNCTION("""COMPUTED_VALUE"""),"")</f>
        <v/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</row>
    <row r="301">
      <c r="A301" s="30"/>
      <c r="B301" s="30" t="str">
        <f>IFERROR(__xludf.DUMMYFUNCTION("""COMPUTED_VALUE"""),"")</f>
        <v/>
      </c>
      <c r="C301" s="30" t="str">
        <f>IFERROR(__xludf.DUMMYFUNCTION("""COMPUTED_VALUE"""),"")</f>
        <v/>
      </c>
      <c r="D301" s="30"/>
      <c r="E301" s="34" t="str">
        <f>IFERROR(__xludf.DUMMYFUNCTION("""COMPUTED_VALUE"""),"")</f>
        <v/>
      </c>
      <c r="F301" s="30"/>
      <c r="G301" s="34" t="str">
        <f>IFERROR(__xludf.DUMMYFUNCTION("""COMPUTED_VALUE"""),"")</f>
        <v/>
      </c>
      <c r="H301" s="34" t="str">
        <f>IFERROR(__xludf.DUMMYFUNCTION("""COMPUTED_VALUE"""),"")</f>
        <v/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</row>
    <row r="302">
      <c r="A302" s="30"/>
      <c r="B302" s="30" t="str">
        <f>IFERROR(__xludf.DUMMYFUNCTION("""COMPUTED_VALUE"""),"")</f>
        <v/>
      </c>
      <c r="C302" s="30" t="str">
        <f>IFERROR(__xludf.DUMMYFUNCTION("""COMPUTED_VALUE"""),"")</f>
        <v/>
      </c>
      <c r="D302" s="30"/>
      <c r="E302" s="34" t="str">
        <f>IFERROR(__xludf.DUMMYFUNCTION("""COMPUTED_VALUE"""),"")</f>
        <v/>
      </c>
      <c r="F302" s="30"/>
      <c r="G302" s="34" t="str">
        <f>IFERROR(__xludf.DUMMYFUNCTION("""COMPUTED_VALUE"""),"")</f>
        <v/>
      </c>
      <c r="H302" s="34" t="str">
        <f>IFERROR(__xludf.DUMMYFUNCTION("""COMPUTED_VALUE"""),"")</f>
        <v/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</row>
    <row r="303">
      <c r="A303" s="30"/>
      <c r="B303" s="30" t="str">
        <f>IFERROR(__xludf.DUMMYFUNCTION("""COMPUTED_VALUE"""),"")</f>
        <v/>
      </c>
      <c r="C303" s="30" t="str">
        <f>IFERROR(__xludf.DUMMYFUNCTION("""COMPUTED_VALUE"""),"")</f>
        <v/>
      </c>
      <c r="D303" s="30"/>
      <c r="E303" s="34" t="str">
        <f>IFERROR(__xludf.DUMMYFUNCTION("""COMPUTED_VALUE"""),"")</f>
        <v/>
      </c>
      <c r="F303" s="30"/>
      <c r="G303" s="34" t="str">
        <f>IFERROR(__xludf.DUMMYFUNCTION("""COMPUTED_VALUE"""),"")</f>
        <v/>
      </c>
      <c r="H303" s="34" t="str">
        <f>IFERROR(__xludf.DUMMYFUNCTION("""COMPUTED_VALUE"""),"")</f>
        <v/>
      </c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</row>
    <row r="304">
      <c r="A304" s="30"/>
      <c r="B304" s="30" t="str">
        <f>IFERROR(__xludf.DUMMYFUNCTION("""COMPUTED_VALUE"""),"")</f>
        <v/>
      </c>
      <c r="C304" s="30" t="str">
        <f>IFERROR(__xludf.DUMMYFUNCTION("""COMPUTED_VALUE"""),"")</f>
        <v/>
      </c>
      <c r="D304" s="30"/>
      <c r="E304" s="34" t="str">
        <f>IFERROR(__xludf.DUMMYFUNCTION("""COMPUTED_VALUE"""),"")</f>
        <v/>
      </c>
      <c r="F304" s="30"/>
      <c r="G304" s="34" t="str">
        <f>IFERROR(__xludf.DUMMYFUNCTION("""COMPUTED_VALUE"""),"")</f>
        <v/>
      </c>
      <c r="H304" s="34" t="str">
        <f>IFERROR(__xludf.DUMMYFUNCTION("""COMPUTED_VALUE"""),"")</f>
        <v/>
      </c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</row>
    <row r="305">
      <c r="A305" s="30"/>
      <c r="B305" s="30" t="str">
        <f>IFERROR(__xludf.DUMMYFUNCTION("""COMPUTED_VALUE"""),"")</f>
        <v/>
      </c>
      <c r="C305" s="30" t="str">
        <f>IFERROR(__xludf.DUMMYFUNCTION("""COMPUTED_VALUE"""),"")</f>
        <v/>
      </c>
      <c r="D305" s="30"/>
      <c r="E305" s="34" t="str">
        <f>IFERROR(__xludf.DUMMYFUNCTION("""COMPUTED_VALUE"""),"")</f>
        <v/>
      </c>
      <c r="F305" s="30"/>
      <c r="G305" s="34" t="str">
        <f>IFERROR(__xludf.DUMMYFUNCTION("""COMPUTED_VALUE"""),"")</f>
        <v/>
      </c>
      <c r="H305" s="34" t="str">
        <f>IFERROR(__xludf.DUMMYFUNCTION("""COMPUTED_VALUE"""),"")</f>
        <v/>
      </c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</row>
    <row r="306">
      <c r="A306" s="30"/>
      <c r="B306" s="30" t="str">
        <f>IFERROR(__xludf.DUMMYFUNCTION("""COMPUTED_VALUE"""),"")</f>
        <v/>
      </c>
      <c r="C306" s="30" t="str">
        <f>IFERROR(__xludf.DUMMYFUNCTION("""COMPUTED_VALUE"""),"")</f>
        <v/>
      </c>
      <c r="D306" s="30"/>
      <c r="E306" s="34" t="str">
        <f>IFERROR(__xludf.DUMMYFUNCTION("""COMPUTED_VALUE"""),"")</f>
        <v/>
      </c>
      <c r="F306" s="30"/>
      <c r="G306" s="34" t="str">
        <f>IFERROR(__xludf.DUMMYFUNCTION("""COMPUTED_VALUE"""),"")</f>
        <v/>
      </c>
      <c r="H306" s="34" t="str">
        <f>IFERROR(__xludf.DUMMYFUNCTION("""COMPUTED_VALUE"""),"")</f>
        <v/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</row>
    <row r="307">
      <c r="A307" s="30"/>
      <c r="B307" s="30" t="str">
        <f>IFERROR(__xludf.DUMMYFUNCTION("""COMPUTED_VALUE"""),"")</f>
        <v/>
      </c>
      <c r="C307" s="30" t="str">
        <f>IFERROR(__xludf.DUMMYFUNCTION("""COMPUTED_VALUE"""),"")</f>
        <v/>
      </c>
      <c r="D307" s="30"/>
      <c r="E307" s="34" t="str">
        <f>IFERROR(__xludf.DUMMYFUNCTION("""COMPUTED_VALUE"""),"")</f>
        <v/>
      </c>
      <c r="F307" s="30"/>
      <c r="G307" s="34" t="str">
        <f>IFERROR(__xludf.DUMMYFUNCTION("""COMPUTED_VALUE"""),"")</f>
        <v/>
      </c>
      <c r="H307" s="34" t="str">
        <f>IFERROR(__xludf.DUMMYFUNCTION("""COMPUTED_VALUE"""),"")</f>
        <v/>
      </c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</row>
    <row r="308">
      <c r="A308" s="30"/>
      <c r="B308" s="30" t="str">
        <f>IFERROR(__xludf.DUMMYFUNCTION("""COMPUTED_VALUE"""),"")</f>
        <v/>
      </c>
      <c r="C308" s="30" t="str">
        <f>IFERROR(__xludf.DUMMYFUNCTION("""COMPUTED_VALUE"""),"")</f>
        <v/>
      </c>
      <c r="D308" s="30"/>
      <c r="E308" s="34" t="str">
        <f>IFERROR(__xludf.DUMMYFUNCTION("""COMPUTED_VALUE"""),"")</f>
        <v/>
      </c>
      <c r="F308" s="30"/>
      <c r="G308" s="34" t="str">
        <f>IFERROR(__xludf.DUMMYFUNCTION("""COMPUTED_VALUE"""),"")</f>
        <v/>
      </c>
      <c r="H308" s="34" t="str">
        <f>IFERROR(__xludf.DUMMYFUNCTION("""COMPUTED_VALUE"""),"")</f>
        <v/>
      </c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</row>
    <row r="309">
      <c r="A309" s="30"/>
      <c r="B309" s="30" t="str">
        <f>IFERROR(__xludf.DUMMYFUNCTION("""COMPUTED_VALUE"""),"")</f>
        <v/>
      </c>
      <c r="C309" s="30" t="str">
        <f>IFERROR(__xludf.DUMMYFUNCTION("""COMPUTED_VALUE"""),"")</f>
        <v/>
      </c>
      <c r="D309" s="30"/>
      <c r="E309" s="34" t="str">
        <f>IFERROR(__xludf.DUMMYFUNCTION("""COMPUTED_VALUE"""),"")</f>
        <v/>
      </c>
      <c r="F309" s="30"/>
      <c r="G309" s="34" t="str">
        <f>IFERROR(__xludf.DUMMYFUNCTION("""COMPUTED_VALUE"""),"")</f>
        <v/>
      </c>
      <c r="H309" s="34" t="str">
        <f>IFERROR(__xludf.DUMMYFUNCTION("""COMPUTED_VALUE"""),"")</f>
        <v/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</row>
    <row r="310">
      <c r="A310" s="30"/>
      <c r="B310" s="30" t="str">
        <f>IFERROR(__xludf.DUMMYFUNCTION("""COMPUTED_VALUE"""),"")</f>
        <v/>
      </c>
      <c r="C310" s="30" t="str">
        <f>IFERROR(__xludf.DUMMYFUNCTION("""COMPUTED_VALUE"""),"")</f>
        <v/>
      </c>
      <c r="D310" s="30"/>
      <c r="E310" s="34" t="str">
        <f>IFERROR(__xludf.DUMMYFUNCTION("""COMPUTED_VALUE"""),"")</f>
        <v/>
      </c>
      <c r="F310" s="30"/>
      <c r="G310" s="34" t="str">
        <f>IFERROR(__xludf.DUMMYFUNCTION("""COMPUTED_VALUE"""),"")</f>
        <v/>
      </c>
      <c r="H310" s="34" t="str">
        <f>IFERROR(__xludf.DUMMYFUNCTION("""COMPUTED_VALUE"""),"")</f>
        <v/>
      </c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</row>
    <row r="311">
      <c r="A311" s="30"/>
      <c r="B311" s="30" t="str">
        <f>IFERROR(__xludf.DUMMYFUNCTION("""COMPUTED_VALUE"""),"")</f>
        <v/>
      </c>
      <c r="C311" s="30" t="str">
        <f>IFERROR(__xludf.DUMMYFUNCTION("""COMPUTED_VALUE"""),"")</f>
        <v/>
      </c>
      <c r="D311" s="30"/>
      <c r="E311" s="34" t="str">
        <f>IFERROR(__xludf.DUMMYFUNCTION("""COMPUTED_VALUE"""),"")</f>
        <v/>
      </c>
      <c r="F311" s="30"/>
      <c r="G311" s="34" t="str">
        <f>IFERROR(__xludf.DUMMYFUNCTION("""COMPUTED_VALUE"""),"")</f>
        <v/>
      </c>
      <c r="H311" s="34" t="str">
        <f>IFERROR(__xludf.DUMMYFUNCTION("""COMPUTED_VALUE"""),"")</f>
        <v/>
      </c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</row>
    <row r="312">
      <c r="A312" s="30"/>
      <c r="B312" s="30" t="str">
        <f>IFERROR(__xludf.DUMMYFUNCTION("""COMPUTED_VALUE"""),"")</f>
        <v/>
      </c>
      <c r="C312" s="30" t="str">
        <f>IFERROR(__xludf.DUMMYFUNCTION("""COMPUTED_VALUE"""),"")</f>
        <v/>
      </c>
      <c r="D312" s="30"/>
      <c r="E312" s="34" t="str">
        <f>IFERROR(__xludf.DUMMYFUNCTION("""COMPUTED_VALUE"""),"")</f>
        <v/>
      </c>
      <c r="F312" s="30"/>
      <c r="G312" s="34" t="str">
        <f>IFERROR(__xludf.DUMMYFUNCTION("""COMPUTED_VALUE"""),"")</f>
        <v/>
      </c>
      <c r="H312" s="34" t="str">
        <f>IFERROR(__xludf.DUMMYFUNCTION("""COMPUTED_VALUE"""),"")</f>
        <v/>
      </c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</row>
    <row r="313">
      <c r="A313" s="30"/>
      <c r="B313" s="30" t="str">
        <f>IFERROR(__xludf.DUMMYFUNCTION("""COMPUTED_VALUE"""),"")</f>
        <v/>
      </c>
      <c r="C313" s="30" t="str">
        <f>IFERROR(__xludf.DUMMYFUNCTION("""COMPUTED_VALUE"""),"")</f>
        <v/>
      </c>
      <c r="D313" s="30"/>
      <c r="E313" s="34" t="str">
        <f>IFERROR(__xludf.DUMMYFUNCTION("""COMPUTED_VALUE"""),"")</f>
        <v/>
      </c>
      <c r="F313" s="30"/>
      <c r="G313" s="34" t="str">
        <f>IFERROR(__xludf.DUMMYFUNCTION("""COMPUTED_VALUE"""),"")</f>
        <v/>
      </c>
      <c r="H313" s="34" t="str">
        <f>IFERROR(__xludf.DUMMYFUNCTION("""COMPUTED_VALUE"""),"")</f>
        <v/>
      </c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</row>
    <row r="314">
      <c r="A314" s="30"/>
      <c r="B314" s="30" t="str">
        <f>IFERROR(__xludf.DUMMYFUNCTION("""COMPUTED_VALUE"""),"")</f>
        <v/>
      </c>
      <c r="C314" s="30" t="str">
        <f>IFERROR(__xludf.DUMMYFUNCTION("""COMPUTED_VALUE"""),"")</f>
        <v/>
      </c>
      <c r="D314" s="30"/>
      <c r="E314" s="34" t="str">
        <f>IFERROR(__xludf.DUMMYFUNCTION("""COMPUTED_VALUE"""),"")</f>
        <v/>
      </c>
      <c r="F314" s="30"/>
      <c r="G314" s="34" t="str">
        <f>IFERROR(__xludf.DUMMYFUNCTION("""COMPUTED_VALUE"""),"")</f>
        <v/>
      </c>
      <c r="H314" s="34" t="str">
        <f>IFERROR(__xludf.DUMMYFUNCTION("""COMPUTED_VALUE"""),"")</f>
        <v/>
      </c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</row>
    <row r="315">
      <c r="A315" s="30"/>
      <c r="B315" s="30" t="str">
        <f>IFERROR(__xludf.DUMMYFUNCTION("""COMPUTED_VALUE"""),"")</f>
        <v/>
      </c>
      <c r="C315" s="30" t="str">
        <f>IFERROR(__xludf.DUMMYFUNCTION("""COMPUTED_VALUE"""),"")</f>
        <v/>
      </c>
      <c r="D315" s="30"/>
      <c r="E315" s="34" t="str">
        <f>IFERROR(__xludf.DUMMYFUNCTION("""COMPUTED_VALUE"""),"")</f>
        <v/>
      </c>
      <c r="F315" s="30"/>
      <c r="G315" s="34" t="str">
        <f>IFERROR(__xludf.DUMMYFUNCTION("""COMPUTED_VALUE"""),"")</f>
        <v/>
      </c>
      <c r="H315" s="34" t="str">
        <f>IFERROR(__xludf.DUMMYFUNCTION("""COMPUTED_VALUE"""),"")</f>
        <v/>
      </c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>
      <c r="A316" s="30"/>
      <c r="B316" s="30" t="str">
        <f>IFERROR(__xludf.DUMMYFUNCTION("""COMPUTED_VALUE"""),"")</f>
        <v/>
      </c>
      <c r="C316" s="30" t="str">
        <f>IFERROR(__xludf.DUMMYFUNCTION("""COMPUTED_VALUE"""),"")</f>
        <v/>
      </c>
      <c r="D316" s="30"/>
      <c r="E316" s="34" t="str">
        <f>IFERROR(__xludf.DUMMYFUNCTION("""COMPUTED_VALUE"""),"")</f>
        <v/>
      </c>
      <c r="F316" s="30"/>
      <c r="G316" s="34" t="str">
        <f>IFERROR(__xludf.DUMMYFUNCTION("""COMPUTED_VALUE"""),"")</f>
        <v/>
      </c>
      <c r="H316" s="34" t="str">
        <f>IFERROR(__xludf.DUMMYFUNCTION("""COMPUTED_VALUE"""),"")</f>
        <v/>
      </c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</row>
    <row r="317">
      <c r="A317" s="30"/>
      <c r="B317" s="30" t="str">
        <f>IFERROR(__xludf.DUMMYFUNCTION("""COMPUTED_VALUE"""),"")</f>
        <v/>
      </c>
      <c r="C317" s="30" t="str">
        <f>IFERROR(__xludf.DUMMYFUNCTION("""COMPUTED_VALUE"""),"")</f>
        <v/>
      </c>
      <c r="D317" s="30"/>
      <c r="E317" s="34" t="str">
        <f>IFERROR(__xludf.DUMMYFUNCTION("""COMPUTED_VALUE"""),"")</f>
        <v/>
      </c>
      <c r="F317" s="30"/>
      <c r="G317" s="34" t="str">
        <f>IFERROR(__xludf.DUMMYFUNCTION("""COMPUTED_VALUE"""),"")</f>
        <v/>
      </c>
      <c r="H317" s="34" t="str">
        <f>IFERROR(__xludf.DUMMYFUNCTION("""COMPUTED_VALUE"""),"")</f>
        <v/>
      </c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</row>
    <row r="318">
      <c r="A318" s="30"/>
      <c r="B318" s="30" t="str">
        <f>IFERROR(__xludf.DUMMYFUNCTION("""COMPUTED_VALUE"""),"")</f>
        <v/>
      </c>
      <c r="C318" s="30" t="str">
        <f>IFERROR(__xludf.DUMMYFUNCTION("""COMPUTED_VALUE"""),"")</f>
        <v/>
      </c>
      <c r="D318" s="30"/>
      <c r="E318" s="34" t="str">
        <f>IFERROR(__xludf.DUMMYFUNCTION("""COMPUTED_VALUE"""),"")</f>
        <v/>
      </c>
      <c r="F318" s="30"/>
      <c r="G318" s="34" t="str">
        <f>IFERROR(__xludf.DUMMYFUNCTION("""COMPUTED_VALUE"""),"")</f>
        <v/>
      </c>
      <c r="H318" s="34" t="str">
        <f>IFERROR(__xludf.DUMMYFUNCTION("""COMPUTED_VALUE"""),"")</f>
        <v/>
      </c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</row>
    <row r="319">
      <c r="A319" s="30"/>
      <c r="B319" s="30" t="str">
        <f>IFERROR(__xludf.DUMMYFUNCTION("""COMPUTED_VALUE"""),"")</f>
        <v/>
      </c>
      <c r="C319" s="30" t="str">
        <f>IFERROR(__xludf.DUMMYFUNCTION("""COMPUTED_VALUE"""),"")</f>
        <v/>
      </c>
      <c r="D319" s="30"/>
      <c r="E319" s="34" t="str">
        <f>IFERROR(__xludf.DUMMYFUNCTION("""COMPUTED_VALUE"""),"")</f>
        <v/>
      </c>
      <c r="F319" s="30"/>
      <c r="G319" s="34" t="str">
        <f>IFERROR(__xludf.DUMMYFUNCTION("""COMPUTED_VALUE"""),"")</f>
        <v/>
      </c>
      <c r="H319" s="34" t="str">
        <f>IFERROR(__xludf.DUMMYFUNCTION("""COMPUTED_VALUE"""),"")</f>
        <v/>
      </c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</row>
    <row r="320">
      <c r="A320" s="30"/>
      <c r="B320" s="30" t="str">
        <f>IFERROR(__xludf.DUMMYFUNCTION("""COMPUTED_VALUE"""),"")</f>
        <v/>
      </c>
      <c r="C320" s="30" t="str">
        <f>IFERROR(__xludf.DUMMYFUNCTION("""COMPUTED_VALUE"""),"")</f>
        <v/>
      </c>
      <c r="D320" s="30"/>
      <c r="E320" s="34" t="str">
        <f>IFERROR(__xludf.DUMMYFUNCTION("""COMPUTED_VALUE"""),"")</f>
        <v/>
      </c>
      <c r="F320" s="30"/>
      <c r="G320" s="34" t="str">
        <f>IFERROR(__xludf.DUMMYFUNCTION("""COMPUTED_VALUE"""),"")</f>
        <v/>
      </c>
      <c r="H320" s="34" t="str">
        <f>IFERROR(__xludf.DUMMYFUNCTION("""COMPUTED_VALUE"""),"")</f>
        <v/>
      </c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</row>
    <row r="321">
      <c r="A321" s="30"/>
      <c r="B321" s="30" t="str">
        <f>IFERROR(__xludf.DUMMYFUNCTION("""COMPUTED_VALUE"""),"")</f>
        <v/>
      </c>
      <c r="C321" s="30" t="str">
        <f>IFERROR(__xludf.DUMMYFUNCTION("""COMPUTED_VALUE"""),"")</f>
        <v/>
      </c>
      <c r="D321" s="30"/>
      <c r="E321" s="34" t="str">
        <f>IFERROR(__xludf.DUMMYFUNCTION("""COMPUTED_VALUE"""),"")</f>
        <v/>
      </c>
      <c r="F321" s="30"/>
      <c r="G321" s="34" t="str">
        <f>IFERROR(__xludf.DUMMYFUNCTION("""COMPUTED_VALUE"""),"")</f>
        <v/>
      </c>
      <c r="H321" s="34" t="str">
        <f>IFERROR(__xludf.DUMMYFUNCTION("""COMPUTED_VALUE"""),"")</f>
        <v/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</row>
    <row r="322">
      <c r="A322" s="30"/>
      <c r="B322" s="30" t="str">
        <f>IFERROR(__xludf.DUMMYFUNCTION("""COMPUTED_VALUE"""),"")</f>
        <v/>
      </c>
      <c r="C322" s="30" t="str">
        <f>IFERROR(__xludf.DUMMYFUNCTION("""COMPUTED_VALUE"""),"")</f>
        <v/>
      </c>
      <c r="D322" s="30"/>
      <c r="E322" s="34" t="str">
        <f>IFERROR(__xludf.DUMMYFUNCTION("""COMPUTED_VALUE"""),"")</f>
        <v/>
      </c>
      <c r="F322" s="30"/>
      <c r="G322" s="34" t="str">
        <f>IFERROR(__xludf.DUMMYFUNCTION("""COMPUTED_VALUE"""),"")</f>
        <v/>
      </c>
      <c r="H322" s="34" t="str">
        <f>IFERROR(__xludf.DUMMYFUNCTION("""COMPUTED_VALUE"""),"")</f>
        <v/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</row>
    <row r="323">
      <c r="A323" s="30"/>
      <c r="B323" s="30" t="str">
        <f>IFERROR(__xludf.DUMMYFUNCTION("""COMPUTED_VALUE"""),"")</f>
        <v/>
      </c>
      <c r="C323" s="30" t="str">
        <f>IFERROR(__xludf.DUMMYFUNCTION("""COMPUTED_VALUE"""),"")</f>
        <v/>
      </c>
      <c r="D323" s="30"/>
      <c r="E323" s="34" t="str">
        <f>IFERROR(__xludf.DUMMYFUNCTION("""COMPUTED_VALUE"""),"")</f>
        <v/>
      </c>
      <c r="F323" s="30"/>
      <c r="G323" s="34" t="str">
        <f>IFERROR(__xludf.DUMMYFUNCTION("""COMPUTED_VALUE"""),"")</f>
        <v/>
      </c>
      <c r="H323" s="34" t="str">
        <f>IFERROR(__xludf.DUMMYFUNCTION("""COMPUTED_VALUE"""),"")</f>
        <v/>
      </c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</row>
    <row r="324">
      <c r="A324" s="30"/>
      <c r="B324" s="30" t="str">
        <f>IFERROR(__xludf.DUMMYFUNCTION("""COMPUTED_VALUE"""),"")</f>
        <v/>
      </c>
      <c r="C324" s="30" t="str">
        <f>IFERROR(__xludf.DUMMYFUNCTION("""COMPUTED_VALUE"""),"")</f>
        <v/>
      </c>
      <c r="D324" s="30"/>
      <c r="E324" s="34" t="str">
        <f>IFERROR(__xludf.DUMMYFUNCTION("""COMPUTED_VALUE"""),"")</f>
        <v/>
      </c>
      <c r="F324" s="30"/>
      <c r="G324" s="34" t="str">
        <f>IFERROR(__xludf.DUMMYFUNCTION("""COMPUTED_VALUE"""),"")</f>
        <v/>
      </c>
      <c r="H324" s="34" t="str">
        <f>IFERROR(__xludf.DUMMYFUNCTION("""COMPUTED_VALUE"""),"")</f>
        <v/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</row>
    <row r="325">
      <c r="A325" s="30"/>
      <c r="B325" s="30" t="str">
        <f>IFERROR(__xludf.DUMMYFUNCTION("""COMPUTED_VALUE"""),"")</f>
        <v/>
      </c>
      <c r="C325" s="30" t="str">
        <f>IFERROR(__xludf.DUMMYFUNCTION("""COMPUTED_VALUE"""),"")</f>
        <v/>
      </c>
      <c r="D325" s="30"/>
      <c r="E325" s="34" t="str">
        <f>IFERROR(__xludf.DUMMYFUNCTION("""COMPUTED_VALUE"""),"")</f>
        <v/>
      </c>
      <c r="F325" s="30"/>
      <c r="G325" s="34" t="str">
        <f>IFERROR(__xludf.DUMMYFUNCTION("""COMPUTED_VALUE"""),"")</f>
        <v/>
      </c>
      <c r="H325" s="34" t="str">
        <f>IFERROR(__xludf.DUMMYFUNCTION("""COMPUTED_VALUE"""),"")</f>
        <v/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</row>
    <row r="326">
      <c r="A326" s="30"/>
      <c r="B326" s="30" t="str">
        <f>IFERROR(__xludf.DUMMYFUNCTION("""COMPUTED_VALUE"""),"")</f>
        <v/>
      </c>
      <c r="C326" s="30" t="str">
        <f>IFERROR(__xludf.DUMMYFUNCTION("""COMPUTED_VALUE"""),"")</f>
        <v/>
      </c>
      <c r="D326" s="30"/>
      <c r="E326" s="34" t="str">
        <f>IFERROR(__xludf.DUMMYFUNCTION("""COMPUTED_VALUE"""),"")</f>
        <v/>
      </c>
      <c r="F326" s="30"/>
      <c r="G326" s="34" t="str">
        <f>IFERROR(__xludf.DUMMYFUNCTION("""COMPUTED_VALUE"""),"")</f>
        <v/>
      </c>
      <c r="H326" s="34" t="str">
        <f>IFERROR(__xludf.DUMMYFUNCTION("""COMPUTED_VALUE"""),"")</f>
        <v/>
      </c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>
      <c r="A327" s="30"/>
      <c r="B327" s="30" t="str">
        <f>IFERROR(__xludf.DUMMYFUNCTION("""COMPUTED_VALUE"""),"")</f>
        <v/>
      </c>
      <c r="C327" s="30" t="str">
        <f>IFERROR(__xludf.DUMMYFUNCTION("""COMPUTED_VALUE"""),"")</f>
        <v/>
      </c>
      <c r="D327" s="30"/>
      <c r="E327" s="34" t="str">
        <f>IFERROR(__xludf.DUMMYFUNCTION("""COMPUTED_VALUE"""),"")</f>
        <v/>
      </c>
      <c r="F327" s="30"/>
      <c r="G327" s="34" t="str">
        <f>IFERROR(__xludf.DUMMYFUNCTION("""COMPUTED_VALUE"""),"")</f>
        <v/>
      </c>
      <c r="H327" s="34" t="str">
        <f>IFERROR(__xludf.DUMMYFUNCTION("""COMPUTED_VALUE"""),"")</f>
        <v/>
      </c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</row>
    <row r="328">
      <c r="A328" s="30"/>
      <c r="B328" s="30" t="str">
        <f>IFERROR(__xludf.DUMMYFUNCTION("""COMPUTED_VALUE"""),"")</f>
        <v/>
      </c>
      <c r="C328" s="30" t="str">
        <f>IFERROR(__xludf.DUMMYFUNCTION("""COMPUTED_VALUE"""),"")</f>
        <v/>
      </c>
      <c r="D328" s="30"/>
      <c r="E328" s="34" t="str">
        <f>IFERROR(__xludf.DUMMYFUNCTION("""COMPUTED_VALUE"""),"")</f>
        <v/>
      </c>
      <c r="F328" s="30"/>
      <c r="G328" s="34" t="str">
        <f>IFERROR(__xludf.DUMMYFUNCTION("""COMPUTED_VALUE"""),"")</f>
        <v/>
      </c>
      <c r="H328" s="34" t="str">
        <f>IFERROR(__xludf.DUMMYFUNCTION("""COMPUTED_VALUE"""),"")</f>
        <v/>
      </c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</row>
    <row r="329">
      <c r="A329" s="30"/>
      <c r="B329" s="30" t="str">
        <f>IFERROR(__xludf.DUMMYFUNCTION("""COMPUTED_VALUE"""),"")</f>
        <v/>
      </c>
      <c r="C329" s="30" t="str">
        <f>IFERROR(__xludf.DUMMYFUNCTION("""COMPUTED_VALUE"""),"")</f>
        <v/>
      </c>
      <c r="D329" s="30"/>
      <c r="E329" s="34" t="str">
        <f>IFERROR(__xludf.DUMMYFUNCTION("""COMPUTED_VALUE"""),"")</f>
        <v/>
      </c>
      <c r="F329" s="30"/>
      <c r="G329" s="34" t="str">
        <f>IFERROR(__xludf.DUMMYFUNCTION("""COMPUTED_VALUE"""),"")</f>
        <v/>
      </c>
      <c r="H329" s="34" t="str">
        <f>IFERROR(__xludf.DUMMYFUNCTION("""COMPUTED_VALUE"""),"")</f>
        <v/>
      </c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</row>
    <row r="330">
      <c r="A330" s="30"/>
      <c r="B330" s="30" t="str">
        <f>IFERROR(__xludf.DUMMYFUNCTION("""COMPUTED_VALUE"""),"")</f>
        <v/>
      </c>
      <c r="C330" s="30" t="str">
        <f>IFERROR(__xludf.DUMMYFUNCTION("""COMPUTED_VALUE"""),"")</f>
        <v/>
      </c>
      <c r="D330" s="30"/>
      <c r="E330" s="34" t="str">
        <f>IFERROR(__xludf.DUMMYFUNCTION("""COMPUTED_VALUE"""),"")</f>
        <v/>
      </c>
      <c r="F330" s="30"/>
      <c r="G330" s="34" t="str">
        <f>IFERROR(__xludf.DUMMYFUNCTION("""COMPUTED_VALUE"""),"")</f>
        <v/>
      </c>
      <c r="H330" s="34" t="str">
        <f>IFERROR(__xludf.DUMMYFUNCTION("""COMPUTED_VALUE"""),"")</f>
        <v/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</row>
    <row r="331">
      <c r="A331" s="30"/>
      <c r="B331" s="30" t="str">
        <f>IFERROR(__xludf.DUMMYFUNCTION("""COMPUTED_VALUE"""),"")</f>
        <v/>
      </c>
      <c r="C331" s="30" t="str">
        <f>IFERROR(__xludf.DUMMYFUNCTION("""COMPUTED_VALUE"""),"")</f>
        <v/>
      </c>
      <c r="D331" s="30"/>
      <c r="E331" s="34" t="str">
        <f>IFERROR(__xludf.DUMMYFUNCTION("""COMPUTED_VALUE"""),"")</f>
        <v/>
      </c>
      <c r="F331" s="30"/>
      <c r="G331" s="34" t="str">
        <f>IFERROR(__xludf.DUMMYFUNCTION("""COMPUTED_VALUE"""),"")</f>
        <v/>
      </c>
      <c r="H331" s="34" t="str">
        <f>IFERROR(__xludf.DUMMYFUNCTION("""COMPUTED_VALUE"""),"")</f>
        <v/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</row>
    <row r="332">
      <c r="A332" s="30"/>
      <c r="B332" s="30" t="str">
        <f>IFERROR(__xludf.DUMMYFUNCTION("""COMPUTED_VALUE"""),"")</f>
        <v/>
      </c>
      <c r="C332" s="30" t="str">
        <f>IFERROR(__xludf.DUMMYFUNCTION("""COMPUTED_VALUE"""),"")</f>
        <v/>
      </c>
      <c r="D332" s="30"/>
      <c r="E332" s="34" t="str">
        <f>IFERROR(__xludf.DUMMYFUNCTION("""COMPUTED_VALUE"""),"")</f>
        <v/>
      </c>
      <c r="F332" s="30"/>
      <c r="G332" s="34" t="str">
        <f>IFERROR(__xludf.DUMMYFUNCTION("""COMPUTED_VALUE"""),"")</f>
        <v/>
      </c>
      <c r="H332" s="34" t="str">
        <f>IFERROR(__xludf.DUMMYFUNCTION("""COMPUTED_VALUE"""),"")</f>
        <v/>
      </c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</row>
    <row r="333">
      <c r="A333" s="30"/>
      <c r="B333" s="30" t="str">
        <f>IFERROR(__xludf.DUMMYFUNCTION("""COMPUTED_VALUE"""),"")</f>
        <v/>
      </c>
      <c r="C333" s="30" t="str">
        <f>IFERROR(__xludf.DUMMYFUNCTION("""COMPUTED_VALUE"""),"")</f>
        <v/>
      </c>
      <c r="D333" s="30"/>
      <c r="E333" s="34" t="str">
        <f>IFERROR(__xludf.DUMMYFUNCTION("""COMPUTED_VALUE"""),"")</f>
        <v/>
      </c>
      <c r="F333" s="30"/>
      <c r="G333" s="34" t="str">
        <f>IFERROR(__xludf.DUMMYFUNCTION("""COMPUTED_VALUE"""),"")</f>
        <v/>
      </c>
      <c r="H333" s="34" t="str">
        <f>IFERROR(__xludf.DUMMYFUNCTION("""COMPUTED_VALUE"""),"")</f>
        <v/>
      </c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</row>
    <row r="334">
      <c r="A334" s="30"/>
      <c r="B334" s="30" t="str">
        <f>IFERROR(__xludf.DUMMYFUNCTION("""COMPUTED_VALUE"""),"")</f>
        <v/>
      </c>
      <c r="C334" s="30" t="str">
        <f>IFERROR(__xludf.DUMMYFUNCTION("""COMPUTED_VALUE"""),"")</f>
        <v/>
      </c>
      <c r="D334" s="30"/>
      <c r="E334" s="34" t="str">
        <f>IFERROR(__xludf.DUMMYFUNCTION("""COMPUTED_VALUE"""),"")</f>
        <v/>
      </c>
      <c r="F334" s="30"/>
      <c r="G334" s="34" t="str">
        <f>IFERROR(__xludf.DUMMYFUNCTION("""COMPUTED_VALUE"""),"")</f>
        <v/>
      </c>
      <c r="H334" s="34" t="str">
        <f>IFERROR(__xludf.DUMMYFUNCTION("""COMPUTED_VALUE"""),"")</f>
        <v/>
      </c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</row>
    <row r="335">
      <c r="A335" s="30"/>
      <c r="B335" s="30" t="str">
        <f>IFERROR(__xludf.DUMMYFUNCTION("""COMPUTED_VALUE"""),"")</f>
        <v/>
      </c>
      <c r="C335" s="30" t="str">
        <f>IFERROR(__xludf.DUMMYFUNCTION("""COMPUTED_VALUE"""),"")</f>
        <v/>
      </c>
      <c r="D335" s="30"/>
      <c r="E335" s="34" t="str">
        <f>IFERROR(__xludf.DUMMYFUNCTION("""COMPUTED_VALUE"""),"")</f>
        <v/>
      </c>
      <c r="F335" s="30"/>
      <c r="G335" s="34" t="str">
        <f>IFERROR(__xludf.DUMMYFUNCTION("""COMPUTED_VALUE"""),"")</f>
        <v/>
      </c>
      <c r="H335" s="34" t="str">
        <f>IFERROR(__xludf.DUMMYFUNCTION("""COMPUTED_VALUE"""),"")</f>
        <v/>
      </c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</row>
    <row r="336">
      <c r="A336" s="30"/>
      <c r="B336" s="30" t="str">
        <f>IFERROR(__xludf.DUMMYFUNCTION("""COMPUTED_VALUE"""),"")</f>
        <v/>
      </c>
      <c r="C336" s="30" t="str">
        <f>IFERROR(__xludf.DUMMYFUNCTION("""COMPUTED_VALUE"""),"")</f>
        <v/>
      </c>
      <c r="D336" s="30"/>
      <c r="E336" s="34" t="str">
        <f>IFERROR(__xludf.DUMMYFUNCTION("""COMPUTED_VALUE"""),"")</f>
        <v/>
      </c>
      <c r="F336" s="30"/>
      <c r="G336" s="34" t="str">
        <f>IFERROR(__xludf.DUMMYFUNCTION("""COMPUTED_VALUE"""),"")</f>
        <v/>
      </c>
      <c r="H336" s="34" t="str">
        <f>IFERROR(__xludf.DUMMYFUNCTION("""COMPUTED_VALUE"""),"")</f>
        <v/>
      </c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</row>
    <row r="337">
      <c r="A337" s="30"/>
      <c r="B337" s="30" t="str">
        <f>IFERROR(__xludf.DUMMYFUNCTION("""COMPUTED_VALUE"""),"")</f>
        <v/>
      </c>
      <c r="C337" s="30" t="str">
        <f>IFERROR(__xludf.DUMMYFUNCTION("""COMPUTED_VALUE"""),"")</f>
        <v/>
      </c>
      <c r="D337" s="30"/>
      <c r="E337" s="34" t="str">
        <f>IFERROR(__xludf.DUMMYFUNCTION("""COMPUTED_VALUE"""),"")</f>
        <v/>
      </c>
      <c r="F337" s="30"/>
      <c r="G337" s="34" t="str">
        <f>IFERROR(__xludf.DUMMYFUNCTION("""COMPUTED_VALUE"""),"")</f>
        <v/>
      </c>
      <c r="H337" s="34" t="str">
        <f>IFERROR(__xludf.DUMMYFUNCTION("""COMPUTED_VALUE"""),"")</f>
        <v/>
      </c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</row>
    <row r="338">
      <c r="A338" s="30"/>
      <c r="B338" s="30" t="str">
        <f>IFERROR(__xludf.DUMMYFUNCTION("""COMPUTED_VALUE"""),"")</f>
        <v/>
      </c>
      <c r="C338" s="30" t="str">
        <f>IFERROR(__xludf.DUMMYFUNCTION("""COMPUTED_VALUE"""),"")</f>
        <v/>
      </c>
      <c r="D338" s="30"/>
      <c r="E338" s="34" t="str">
        <f>IFERROR(__xludf.DUMMYFUNCTION("""COMPUTED_VALUE"""),"")</f>
        <v/>
      </c>
      <c r="F338" s="30"/>
      <c r="G338" s="34" t="str">
        <f>IFERROR(__xludf.DUMMYFUNCTION("""COMPUTED_VALUE"""),"")</f>
        <v/>
      </c>
      <c r="H338" s="34" t="str">
        <f>IFERROR(__xludf.DUMMYFUNCTION("""COMPUTED_VALUE"""),"")</f>
        <v/>
      </c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</row>
    <row r="339">
      <c r="A339" s="30"/>
      <c r="B339" s="30" t="str">
        <f>IFERROR(__xludf.DUMMYFUNCTION("""COMPUTED_VALUE"""),"")</f>
        <v/>
      </c>
      <c r="C339" s="30" t="str">
        <f>IFERROR(__xludf.DUMMYFUNCTION("""COMPUTED_VALUE"""),"")</f>
        <v/>
      </c>
      <c r="D339" s="30"/>
      <c r="E339" s="34" t="str">
        <f>IFERROR(__xludf.DUMMYFUNCTION("""COMPUTED_VALUE"""),"")</f>
        <v/>
      </c>
      <c r="F339" s="30"/>
      <c r="G339" s="34" t="str">
        <f>IFERROR(__xludf.DUMMYFUNCTION("""COMPUTED_VALUE"""),"")</f>
        <v/>
      </c>
      <c r="H339" s="34" t="str">
        <f>IFERROR(__xludf.DUMMYFUNCTION("""COMPUTED_VALUE"""),"")</f>
        <v/>
      </c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</row>
    <row r="340">
      <c r="A340" s="30"/>
      <c r="B340" s="30" t="str">
        <f>IFERROR(__xludf.DUMMYFUNCTION("""COMPUTED_VALUE"""),"")</f>
        <v/>
      </c>
      <c r="C340" s="30" t="str">
        <f>IFERROR(__xludf.DUMMYFUNCTION("""COMPUTED_VALUE"""),"")</f>
        <v/>
      </c>
      <c r="D340" s="30"/>
      <c r="E340" s="34" t="str">
        <f>IFERROR(__xludf.DUMMYFUNCTION("""COMPUTED_VALUE"""),"")</f>
        <v/>
      </c>
      <c r="F340" s="30"/>
      <c r="G340" s="34" t="str">
        <f>IFERROR(__xludf.DUMMYFUNCTION("""COMPUTED_VALUE"""),"")</f>
        <v/>
      </c>
      <c r="H340" s="34" t="str">
        <f>IFERROR(__xludf.DUMMYFUNCTION("""COMPUTED_VALUE"""),"")</f>
        <v/>
      </c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</row>
    <row r="341">
      <c r="A341" s="30"/>
      <c r="B341" s="30" t="str">
        <f>IFERROR(__xludf.DUMMYFUNCTION("""COMPUTED_VALUE"""),"")</f>
        <v/>
      </c>
      <c r="C341" s="30" t="str">
        <f>IFERROR(__xludf.DUMMYFUNCTION("""COMPUTED_VALUE"""),"")</f>
        <v/>
      </c>
      <c r="D341" s="30"/>
      <c r="E341" s="34" t="str">
        <f>IFERROR(__xludf.DUMMYFUNCTION("""COMPUTED_VALUE"""),"")</f>
        <v/>
      </c>
      <c r="F341" s="30"/>
      <c r="G341" s="34" t="str">
        <f>IFERROR(__xludf.DUMMYFUNCTION("""COMPUTED_VALUE"""),"")</f>
        <v/>
      </c>
      <c r="H341" s="34" t="str">
        <f>IFERROR(__xludf.DUMMYFUNCTION("""COMPUTED_VALUE"""),"")</f>
        <v/>
      </c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</row>
    <row r="342">
      <c r="A342" s="30"/>
      <c r="B342" s="30" t="str">
        <f>IFERROR(__xludf.DUMMYFUNCTION("""COMPUTED_VALUE"""),"")</f>
        <v/>
      </c>
      <c r="C342" s="30" t="str">
        <f>IFERROR(__xludf.DUMMYFUNCTION("""COMPUTED_VALUE"""),"")</f>
        <v/>
      </c>
      <c r="D342" s="30"/>
      <c r="E342" s="34" t="str">
        <f>IFERROR(__xludf.DUMMYFUNCTION("""COMPUTED_VALUE"""),"")</f>
        <v/>
      </c>
      <c r="F342" s="30"/>
      <c r="G342" s="34" t="str">
        <f>IFERROR(__xludf.DUMMYFUNCTION("""COMPUTED_VALUE"""),"")</f>
        <v/>
      </c>
      <c r="H342" s="34" t="str">
        <f>IFERROR(__xludf.DUMMYFUNCTION("""COMPUTED_VALUE"""),"")</f>
        <v/>
      </c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</row>
    <row r="343">
      <c r="A343" s="30"/>
      <c r="B343" s="30" t="str">
        <f>IFERROR(__xludf.DUMMYFUNCTION("""COMPUTED_VALUE"""),"")</f>
        <v/>
      </c>
      <c r="C343" s="30" t="str">
        <f>IFERROR(__xludf.DUMMYFUNCTION("""COMPUTED_VALUE"""),"")</f>
        <v/>
      </c>
      <c r="D343" s="30"/>
      <c r="E343" s="34" t="str">
        <f>IFERROR(__xludf.DUMMYFUNCTION("""COMPUTED_VALUE"""),"")</f>
        <v/>
      </c>
      <c r="F343" s="30"/>
      <c r="G343" s="34" t="str">
        <f>IFERROR(__xludf.DUMMYFUNCTION("""COMPUTED_VALUE"""),"")</f>
        <v/>
      </c>
      <c r="H343" s="34" t="str">
        <f>IFERROR(__xludf.DUMMYFUNCTION("""COMPUTED_VALUE"""),"")</f>
        <v/>
      </c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</row>
    <row r="344">
      <c r="A344" s="30"/>
      <c r="B344" s="30" t="str">
        <f>IFERROR(__xludf.DUMMYFUNCTION("""COMPUTED_VALUE"""),"")</f>
        <v/>
      </c>
      <c r="C344" s="30" t="str">
        <f>IFERROR(__xludf.DUMMYFUNCTION("""COMPUTED_VALUE"""),"")</f>
        <v/>
      </c>
      <c r="D344" s="30"/>
      <c r="E344" s="34" t="str">
        <f>IFERROR(__xludf.DUMMYFUNCTION("""COMPUTED_VALUE"""),"")</f>
        <v/>
      </c>
      <c r="F344" s="30"/>
      <c r="G344" s="34" t="str">
        <f>IFERROR(__xludf.DUMMYFUNCTION("""COMPUTED_VALUE"""),"")</f>
        <v/>
      </c>
      <c r="H344" s="34" t="str">
        <f>IFERROR(__xludf.DUMMYFUNCTION("""COMPUTED_VALUE"""),"")</f>
        <v/>
      </c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</row>
    <row r="345">
      <c r="A345" s="30"/>
      <c r="B345" s="30" t="str">
        <f>IFERROR(__xludf.DUMMYFUNCTION("""COMPUTED_VALUE"""),"")</f>
        <v/>
      </c>
      <c r="C345" s="30" t="str">
        <f>IFERROR(__xludf.DUMMYFUNCTION("""COMPUTED_VALUE"""),"")</f>
        <v/>
      </c>
      <c r="D345" s="30"/>
      <c r="E345" s="34" t="str">
        <f>IFERROR(__xludf.DUMMYFUNCTION("""COMPUTED_VALUE"""),"")</f>
        <v/>
      </c>
      <c r="F345" s="30"/>
      <c r="G345" s="34" t="str">
        <f>IFERROR(__xludf.DUMMYFUNCTION("""COMPUTED_VALUE"""),"")</f>
        <v/>
      </c>
      <c r="H345" s="34" t="str">
        <f>IFERROR(__xludf.DUMMYFUNCTION("""COMPUTED_VALUE"""),"")</f>
        <v/>
      </c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</row>
    <row r="346">
      <c r="A346" s="30"/>
      <c r="B346" s="30" t="str">
        <f>IFERROR(__xludf.DUMMYFUNCTION("""COMPUTED_VALUE"""),"")</f>
        <v/>
      </c>
      <c r="C346" s="30" t="str">
        <f>IFERROR(__xludf.DUMMYFUNCTION("""COMPUTED_VALUE"""),"")</f>
        <v/>
      </c>
      <c r="D346" s="30"/>
      <c r="E346" s="34" t="str">
        <f>IFERROR(__xludf.DUMMYFUNCTION("""COMPUTED_VALUE"""),"")</f>
        <v/>
      </c>
      <c r="F346" s="30"/>
      <c r="G346" s="34" t="str">
        <f>IFERROR(__xludf.DUMMYFUNCTION("""COMPUTED_VALUE"""),"")</f>
        <v/>
      </c>
      <c r="H346" s="34" t="str">
        <f>IFERROR(__xludf.DUMMYFUNCTION("""COMPUTED_VALUE"""),"")</f>
        <v/>
      </c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</row>
    <row r="347">
      <c r="A347" s="30"/>
      <c r="B347" s="30" t="str">
        <f>IFERROR(__xludf.DUMMYFUNCTION("""COMPUTED_VALUE"""),"")</f>
        <v/>
      </c>
      <c r="C347" s="30" t="str">
        <f>IFERROR(__xludf.DUMMYFUNCTION("""COMPUTED_VALUE"""),"")</f>
        <v/>
      </c>
      <c r="D347" s="30"/>
      <c r="E347" s="34" t="str">
        <f>IFERROR(__xludf.DUMMYFUNCTION("""COMPUTED_VALUE"""),"")</f>
        <v/>
      </c>
      <c r="F347" s="30"/>
      <c r="G347" s="34" t="str">
        <f>IFERROR(__xludf.DUMMYFUNCTION("""COMPUTED_VALUE"""),"")</f>
        <v/>
      </c>
      <c r="H347" s="34" t="str">
        <f>IFERROR(__xludf.DUMMYFUNCTION("""COMPUTED_VALUE"""),"")</f>
        <v/>
      </c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</row>
    <row r="348">
      <c r="A348" s="30"/>
      <c r="B348" s="30" t="str">
        <f>IFERROR(__xludf.DUMMYFUNCTION("""COMPUTED_VALUE"""),"")</f>
        <v/>
      </c>
      <c r="C348" s="30" t="str">
        <f>IFERROR(__xludf.DUMMYFUNCTION("""COMPUTED_VALUE"""),"")</f>
        <v/>
      </c>
      <c r="D348" s="30"/>
      <c r="E348" s="34" t="str">
        <f>IFERROR(__xludf.DUMMYFUNCTION("""COMPUTED_VALUE"""),"")</f>
        <v/>
      </c>
      <c r="F348" s="30"/>
      <c r="G348" s="34" t="str">
        <f>IFERROR(__xludf.DUMMYFUNCTION("""COMPUTED_VALUE"""),"")</f>
        <v/>
      </c>
      <c r="H348" s="34" t="str">
        <f>IFERROR(__xludf.DUMMYFUNCTION("""COMPUTED_VALUE"""),"")</f>
        <v/>
      </c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</row>
    <row r="349">
      <c r="A349" s="30"/>
      <c r="B349" s="30" t="str">
        <f>IFERROR(__xludf.DUMMYFUNCTION("""COMPUTED_VALUE"""),"")</f>
        <v/>
      </c>
      <c r="C349" s="30" t="str">
        <f>IFERROR(__xludf.DUMMYFUNCTION("""COMPUTED_VALUE"""),"")</f>
        <v/>
      </c>
      <c r="D349" s="30"/>
      <c r="E349" s="34" t="str">
        <f>IFERROR(__xludf.DUMMYFUNCTION("""COMPUTED_VALUE"""),"")</f>
        <v/>
      </c>
      <c r="F349" s="30"/>
      <c r="G349" s="34" t="str">
        <f>IFERROR(__xludf.DUMMYFUNCTION("""COMPUTED_VALUE"""),"")</f>
        <v/>
      </c>
      <c r="H349" s="34" t="str">
        <f>IFERROR(__xludf.DUMMYFUNCTION("""COMPUTED_VALUE"""),"")</f>
        <v/>
      </c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</row>
    <row r="350">
      <c r="A350" s="30"/>
      <c r="B350" s="30" t="str">
        <f>IFERROR(__xludf.DUMMYFUNCTION("""COMPUTED_VALUE"""),"")</f>
        <v/>
      </c>
      <c r="C350" s="30" t="str">
        <f>IFERROR(__xludf.DUMMYFUNCTION("""COMPUTED_VALUE"""),"")</f>
        <v/>
      </c>
      <c r="D350" s="30"/>
      <c r="E350" s="34" t="str">
        <f>IFERROR(__xludf.DUMMYFUNCTION("""COMPUTED_VALUE"""),"")</f>
        <v/>
      </c>
      <c r="F350" s="30"/>
      <c r="G350" s="34" t="str">
        <f>IFERROR(__xludf.DUMMYFUNCTION("""COMPUTED_VALUE"""),"")</f>
        <v/>
      </c>
      <c r="H350" s="34" t="str">
        <f>IFERROR(__xludf.DUMMYFUNCTION("""COMPUTED_VALUE"""),"")</f>
        <v/>
      </c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</row>
    <row r="351">
      <c r="A351" s="30"/>
      <c r="B351" s="30" t="str">
        <f>IFERROR(__xludf.DUMMYFUNCTION("""COMPUTED_VALUE"""),"")</f>
        <v/>
      </c>
      <c r="C351" s="30" t="str">
        <f>IFERROR(__xludf.DUMMYFUNCTION("""COMPUTED_VALUE"""),"")</f>
        <v/>
      </c>
      <c r="D351" s="30"/>
      <c r="E351" s="34" t="str">
        <f>IFERROR(__xludf.DUMMYFUNCTION("""COMPUTED_VALUE"""),"")</f>
        <v/>
      </c>
      <c r="F351" s="30"/>
      <c r="G351" s="34" t="str">
        <f>IFERROR(__xludf.DUMMYFUNCTION("""COMPUTED_VALUE"""),"")</f>
        <v/>
      </c>
      <c r="H351" s="34" t="str">
        <f>IFERROR(__xludf.DUMMYFUNCTION("""COMPUTED_VALUE"""),"")</f>
        <v/>
      </c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</row>
    <row r="352">
      <c r="A352" s="30"/>
      <c r="B352" s="30" t="str">
        <f>IFERROR(__xludf.DUMMYFUNCTION("""COMPUTED_VALUE"""),"")</f>
        <v/>
      </c>
      <c r="C352" s="30" t="str">
        <f>IFERROR(__xludf.DUMMYFUNCTION("""COMPUTED_VALUE"""),"")</f>
        <v/>
      </c>
      <c r="D352" s="30"/>
      <c r="E352" s="34" t="str">
        <f>IFERROR(__xludf.DUMMYFUNCTION("""COMPUTED_VALUE"""),"")</f>
        <v/>
      </c>
      <c r="F352" s="30"/>
      <c r="G352" s="34" t="str">
        <f>IFERROR(__xludf.DUMMYFUNCTION("""COMPUTED_VALUE"""),"")</f>
        <v/>
      </c>
      <c r="H352" s="34" t="str">
        <f>IFERROR(__xludf.DUMMYFUNCTION("""COMPUTED_VALUE"""),"")</f>
        <v/>
      </c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</row>
    <row r="353">
      <c r="A353" s="30"/>
      <c r="B353" s="30" t="str">
        <f>IFERROR(__xludf.DUMMYFUNCTION("""COMPUTED_VALUE"""),"")</f>
        <v/>
      </c>
      <c r="C353" s="30" t="str">
        <f>IFERROR(__xludf.DUMMYFUNCTION("""COMPUTED_VALUE"""),"")</f>
        <v/>
      </c>
      <c r="D353" s="30"/>
      <c r="E353" s="34" t="str">
        <f>IFERROR(__xludf.DUMMYFUNCTION("""COMPUTED_VALUE"""),"")</f>
        <v/>
      </c>
      <c r="F353" s="30"/>
      <c r="G353" s="34" t="str">
        <f>IFERROR(__xludf.DUMMYFUNCTION("""COMPUTED_VALUE"""),"")</f>
        <v/>
      </c>
      <c r="H353" s="34" t="str">
        <f>IFERROR(__xludf.DUMMYFUNCTION("""COMPUTED_VALUE"""),"")</f>
        <v/>
      </c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>
      <c r="A354" s="30"/>
      <c r="B354" s="30" t="str">
        <f>IFERROR(__xludf.DUMMYFUNCTION("""COMPUTED_VALUE"""),"")</f>
        <v/>
      </c>
      <c r="C354" s="30" t="str">
        <f>IFERROR(__xludf.DUMMYFUNCTION("""COMPUTED_VALUE"""),"")</f>
        <v/>
      </c>
      <c r="D354" s="30"/>
      <c r="E354" s="34" t="str">
        <f>IFERROR(__xludf.DUMMYFUNCTION("""COMPUTED_VALUE"""),"")</f>
        <v/>
      </c>
      <c r="F354" s="30"/>
      <c r="G354" s="34" t="str">
        <f>IFERROR(__xludf.DUMMYFUNCTION("""COMPUTED_VALUE"""),"")</f>
        <v/>
      </c>
      <c r="H354" s="34" t="str">
        <f>IFERROR(__xludf.DUMMYFUNCTION("""COMPUTED_VALUE"""),"")</f>
        <v/>
      </c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>
      <c r="A355" s="30"/>
      <c r="B355" s="30" t="str">
        <f>IFERROR(__xludf.DUMMYFUNCTION("""COMPUTED_VALUE"""),"")</f>
        <v/>
      </c>
      <c r="C355" s="30" t="str">
        <f>IFERROR(__xludf.DUMMYFUNCTION("""COMPUTED_VALUE"""),"")</f>
        <v/>
      </c>
      <c r="D355" s="30"/>
      <c r="E355" s="34" t="str">
        <f>IFERROR(__xludf.DUMMYFUNCTION("""COMPUTED_VALUE"""),"")</f>
        <v/>
      </c>
      <c r="F355" s="30"/>
      <c r="G355" s="34" t="str">
        <f>IFERROR(__xludf.DUMMYFUNCTION("""COMPUTED_VALUE"""),"")</f>
        <v/>
      </c>
      <c r="H355" s="34" t="str">
        <f>IFERROR(__xludf.DUMMYFUNCTION("""COMPUTED_VALUE"""),"")</f>
        <v/>
      </c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</row>
    <row r="356">
      <c r="A356" s="30"/>
      <c r="B356" s="30" t="str">
        <f>IFERROR(__xludf.DUMMYFUNCTION("""COMPUTED_VALUE"""),"")</f>
        <v/>
      </c>
      <c r="C356" s="30" t="str">
        <f>IFERROR(__xludf.DUMMYFUNCTION("""COMPUTED_VALUE"""),"")</f>
        <v/>
      </c>
      <c r="D356" s="30"/>
      <c r="E356" s="34" t="str">
        <f>IFERROR(__xludf.DUMMYFUNCTION("""COMPUTED_VALUE"""),"")</f>
        <v/>
      </c>
      <c r="F356" s="30"/>
      <c r="G356" s="34" t="str">
        <f>IFERROR(__xludf.DUMMYFUNCTION("""COMPUTED_VALUE"""),"")</f>
        <v/>
      </c>
      <c r="H356" s="34" t="str">
        <f>IFERROR(__xludf.DUMMYFUNCTION("""COMPUTED_VALUE"""),"")</f>
        <v/>
      </c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</row>
    <row r="357">
      <c r="A357" s="30"/>
      <c r="B357" s="30" t="str">
        <f>IFERROR(__xludf.DUMMYFUNCTION("""COMPUTED_VALUE"""),"")</f>
        <v/>
      </c>
      <c r="C357" s="30" t="str">
        <f>IFERROR(__xludf.DUMMYFUNCTION("""COMPUTED_VALUE"""),"")</f>
        <v/>
      </c>
      <c r="D357" s="30"/>
      <c r="E357" s="34" t="str">
        <f>IFERROR(__xludf.DUMMYFUNCTION("""COMPUTED_VALUE"""),"")</f>
        <v/>
      </c>
      <c r="F357" s="30"/>
      <c r="G357" s="34" t="str">
        <f>IFERROR(__xludf.DUMMYFUNCTION("""COMPUTED_VALUE"""),"")</f>
        <v/>
      </c>
      <c r="H357" s="34" t="str">
        <f>IFERROR(__xludf.DUMMYFUNCTION("""COMPUTED_VALUE"""),"")</f>
        <v/>
      </c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</row>
    <row r="358">
      <c r="A358" s="30"/>
      <c r="B358" s="30" t="str">
        <f>IFERROR(__xludf.DUMMYFUNCTION("""COMPUTED_VALUE"""),"")</f>
        <v/>
      </c>
      <c r="C358" s="30" t="str">
        <f>IFERROR(__xludf.DUMMYFUNCTION("""COMPUTED_VALUE"""),"")</f>
        <v/>
      </c>
      <c r="D358" s="30"/>
      <c r="E358" s="34" t="str">
        <f>IFERROR(__xludf.DUMMYFUNCTION("""COMPUTED_VALUE"""),"")</f>
        <v/>
      </c>
      <c r="F358" s="30"/>
      <c r="G358" s="34" t="str">
        <f>IFERROR(__xludf.DUMMYFUNCTION("""COMPUTED_VALUE"""),"")</f>
        <v/>
      </c>
      <c r="H358" s="34" t="str">
        <f>IFERROR(__xludf.DUMMYFUNCTION("""COMPUTED_VALUE"""),"")</f>
        <v/>
      </c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</row>
    <row r="359">
      <c r="A359" s="30"/>
      <c r="B359" s="30" t="str">
        <f>IFERROR(__xludf.DUMMYFUNCTION("""COMPUTED_VALUE"""),"")</f>
        <v/>
      </c>
      <c r="C359" s="30" t="str">
        <f>IFERROR(__xludf.DUMMYFUNCTION("""COMPUTED_VALUE"""),"")</f>
        <v/>
      </c>
      <c r="D359" s="30"/>
      <c r="E359" s="34" t="str">
        <f>IFERROR(__xludf.DUMMYFUNCTION("""COMPUTED_VALUE"""),"")</f>
        <v/>
      </c>
      <c r="F359" s="30"/>
      <c r="G359" s="34" t="str">
        <f>IFERROR(__xludf.DUMMYFUNCTION("""COMPUTED_VALUE"""),"")</f>
        <v/>
      </c>
      <c r="H359" s="34" t="str">
        <f>IFERROR(__xludf.DUMMYFUNCTION("""COMPUTED_VALUE"""),"")</f>
        <v/>
      </c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</row>
    <row r="360">
      <c r="A360" s="30"/>
      <c r="B360" s="30" t="str">
        <f>IFERROR(__xludf.DUMMYFUNCTION("""COMPUTED_VALUE"""),"")</f>
        <v/>
      </c>
      <c r="C360" s="30" t="str">
        <f>IFERROR(__xludf.DUMMYFUNCTION("""COMPUTED_VALUE"""),"")</f>
        <v/>
      </c>
      <c r="D360" s="30"/>
      <c r="E360" s="34" t="str">
        <f>IFERROR(__xludf.DUMMYFUNCTION("""COMPUTED_VALUE"""),"")</f>
        <v/>
      </c>
      <c r="F360" s="30"/>
      <c r="G360" s="34" t="str">
        <f>IFERROR(__xludf.DUMMYFUNCTION("""COMPUTED_VALUE"""),"")</f>
        <v/>
      </c>
      <c r="H360" s="34" t="str">
        <f>IFERROR(__xludf.DUMMYFUNCTION("""COMPUTED_VALUE"""),"")</f>
        <v/>
      </c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</row>
    <row r="361">
      <c r="A361" s="30"/>
      <c r="B361" s="30" t="str">
        <f>IFERROR(__xludf.DUMMYFUNCTION("""COMPUTED_VALUE"""),"")</f>
        <v/>
      </c>
      <c r="C361" s="30" t="str">
        <f>IFERROR(__xludf.DUMMYFUNCTION("""COMPUTED_VALUE"""),"")</f>
        <v/>
      </c>
      <c r="D361" s="30"/>
      <c r="E361" s="34" t="str">
        <f>IFERROR(__xludf.DUMMYFUNCTION("""COMPUTED_VALUE"""),"")</f>
        <v/>
      </c>
      <c r="F361" s="30"/>
      <c r="G361" s="34" t="str">
        <f>IFERROR(__xludf.DUMMYFUNCTION("""COMPUTED_VALUE"""),"")</f>
        <v/>
      </c>
      <c r="H361" s="34" t="str">
        <f>IFERROR(__xludf.DUMMYFUNCTION("""COMPUTED_VALUE"""),"")</f>
        <v/>
      </c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</row>
    <row r="362">
      <c r="A362" s="30"/>
      <c r="B362" s="30" t="str">
        <f>IFERROR(__xludf.DUMMYFUNCTION("""COMPUTED_VALUE"""),"")</f>
        <v/>
      </c>
      <c r="C362" s="30" t="str">
        <f>IFERROR(__xludf.DUMMYFUNCTION("""COMPUTED_VALUE"""),"")</f>
        <v/>
      </c>
      <c r="D362" s="30"/>
      <c r="E362" s="34" t="str">
        <f>IFERROR(__xludf.DUMMYFUNCTION("""COMPUTED_VALUE"""),"")</f>
        <v/>
      </c>
      <c r="F362" s="30"/>
      <c r="G362" s="34" t="str">
        <f>IFERROR(__xludf.DUMMYFUNCTION("""COMPUTED_VALUE"""),"")</f>
        <v/>
      </c>
      <c r="H362" s="34" t="str">
        <f>IFERROR(__xludf.DUMMYFUNCTION("""COMPUTED_VALUE"""),"")</f>
        <v/>
      </c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</row>
    <row r="363">
      <c r="A363" s="30"/>
      <c r="B363" s="30" t="str">
        <f>IFERROR(__xludf.DUMMYFUNCTION("""COMPUTED_VALUE"""),"")</f>
        <v/>
      </c>
      <c r="C363" s="30" t="str">
        <f>IFERROR(__xludf.DUMMYFUNCTION("""COMPUTED_VALUE"""),"")</f>
        <v/>
      </c>
      <c r="D363" s="30"/>
      <c r="E363" s="34" t="str">
        <f>IFERROR(__xludf.DUMMYFUNCTION("""COMPUTED_VALUE"""),"")</f>
        <v/>
      </c>
      <c r="F363" s="30"/>
      <c r="G363" s="34" t="str">
        <f>IFERROR(__xludf.DUMMYFUNCTION("""COMPUTED_VALUE"""),"")</f>
        <v/>
      </c>
      <c r="H363" s="34" t="str">
        <f>IFERROR(__xludf.DUMMYFUNCTION("""COMPUTED_VALUE"""),"")</f>
        <v/>
      </c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</row>
    <row r="364">
      <c r="A364" s="30"/>
      <c r="B364" s="30" t="str">
        <f>IFERROR(__xludf.DUMMYFUNCTION("""COMPUTED_VALUE"""),"")</f>
        <v/>
      </c>
      <c r="C364" s="30" t="str">
        <f>IFERROR(__xludf.DUMMYFUNCTION("""COMPUTED_VALUE"""),"")</f>
        <v/>
      </c>
      <c r="D364" s="30"/>
      <c r="E364" s="34" t="str">
        <f>IFERROR(__xludf.DUMMYFUNCTION("""COMPUTED_VALUE"""),"")</f>
        <v/>
      </c>
      <c r="F364" s="30"/>
      <c r="G364" s="34" t="str">
        <f>IFERROR(__xludf.DUMMYFUNCTION("""COMPUTED_VALUE"""),"")</f>
        <v/>
      </c>
      <c r="H364" s="34" t="str">
        <f>IFERROR(__xludf.DUMMYFUNCTION("""COMPUTED_VALUE"""),"")</f>
        <v/>
      </c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</row>
    <row r="365">
      <c r="A365" s="30"/>
      <c r="B365" s="30" t="str">
        <f>IFERROR(__xludf.DUMMYFUNCTION("""COMPUTED_VALUE"""),"")</f>
        <v/>
      </c>
      <c r="C365" s="30" t="str">
        <f>IFERROR(__xludf.DUMMYFUNCTION("""COMPUTED_VALUE"""),"")</f>
        <v/>
      </c>
      <c r="D365" s="30"/>
      <c r="E365" s="34" t="str">
        <f>IFERROR(__xludf.DUMMYFUNCTION("""COMPUTED_VALUE"""),"")</f>
        <v/>
      </c>
      <c r="F365" s="30"/>
      <c r="G365" s="34" t="str">
        <f>IFERROR(__xludf.DUMMYFUNCTION("""COMPUTED_VALUE"""),"")</f>
        <v/>
      </c>
      <c r="H365" s="34" t="str">
        <f>IFERROR(__xludf.DUMMYFUNCTION("""COMPUTED_VALUE"""),"")</f>
        <v/>
      </c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</row>
    <row r="366">
      <c r="A366" s="30"/>
      <c r="B366" s="30" t="str">
        <f>IFERROR(__xludf.DUMMYFUNCTION("""COMPUTED_VALUE"""),"")</f>
        <v/>
      </c>
      <c r="C366" s="30" t="str">
        <f>IFERROR(__xludf.DUMMYFUNCTION("""COMPUTED_VALUE"""),"")</f>
        <v/>
      </c>
      <c r="D366" s="30"/>
      <c r="E366" s="34" t="str">
        <f>IFERROR(__xludf.DUMMYFUNCTION("""COMPUTED_VALUE"""),"")</f>
        <v/>
      </c>
      <c r="F366" s="30"/>
      <c r="G366" s="34" t="str">
        <f>IFERROR(__xludf.DUMMYFUNCTION("""COMPUTED_VALUE"""),"")</f>
        <v/>
      </c>
      <c r="H366" s="34" t="str">
        <f>IFERROR(__xludf.DUMMYFUNCTION("""COMPUTED_VALUE"""),"")</f>
        <v/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</row>
    <row r="367">
      <c r="A367" s="30"/>
      <c r="B367" s="30" t="str">
        <f>IFERROR(__xludf.DUMMYFUNCTION("""COMPUTED_VALUE"""),"")</f>
        <v/>
      </c>
      <c r="C367" s="30" t="str">
        <f>IFERROR(__xludf.DUMMYFUNCTION("""COMPUTED_VALUE"""),"")</f>
        <v/>
      </c>
      <c r="D367" s="30"/>
      <c r="E367" s="34" t="str">
        <f>IFERROR(__xludf.DUMMYFUNCTION("""COMPUTED_VALUE"""),"")</f>
        <v/>
      </c>
      <c r="F367" s="30"/>
      <c r="G367" s="34" t="str">
        <f>IFERROR(__xludf.DUMMYFUNCTION("""COMPUTED_VALUE"""),"")</f>
        <v/>
      </c>
      <c r="H367" s="34" t="str">
        <f>IFERROR(__xludf.DUMMYFUNCTION("""COMPUTED_VALUE"""),"")</f>
        <v/>
      </c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</row>
    <row r="368">
      <c r="A368" s="30"/>
      <c r="B368" s="30" t="str">
        <f>IFERROR(__xludf.DUMMYFUNCTION("""COMPUTED_VALUE"""),"")</f>
        <v/>
      </c>
      <c r="C368" s="30" t="str">
        <f>IFERROR(__xludf.DUMMYFUNCTION("""COMPUTED_VALUE"""),"")</f>
        <v/>
      </c>
      <c r="D368" s="30"/>
      <c r="E368" s="34" t="str">
        <f>IFERROR(__xludf.DUMMYFUNCTION("""COMPUTED_VALUE"""),"")</f>
        <v/>
      </c>
      <c r="F368" s="30"/>
      <c r="G368" s="34" t="str">
        <f>IFERROR(__xludf.DUMMYFUNCTION("""COMPUTED_VALUE"""),"")</f>
        <v/>
      </c>
      <c r="H368" s="34" t="str">
        <f>IFERROR(__xludf.DUMMYFUNCTION("""COMPUTED_VALUE"""),"")</f>
        <v/>
      </c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</row>
    <row r="369">
      <c r="A369" s="30"/>
      <c r="B369" s="30" t="str">
        <f>IFERROR(__xludf.DUMMYFUNCTION("""COMPUTED_VALUE"""),"")</f>
        <v/>
      </c>
      <c r="C369" s="30" t="str">
        <f>IFERROR(__xludf.DUMMYFUNCTION("""COMPUTED_VALUE"""),"")</f>
        <v/>
      </c>
      <c r="D369" s="30"/>
      <c r="E369" s="34" t="str">
        <f>IFERROR(__xludf.DUMMYFUNCTION("""COMPUTED_VALUE"""),"")</f>
        <v/>
      </c>
      <c r="F369" s="30"/>
      <c r="G369" s="34" t="str">
        <f>IFERROR(__xludf.DUMMYFUNCTION("""COMPUTED_VALUE"""),"")</f>
        <v/>
      </c>
      <c r="H369" s="34" t="str">
        <f>IFERROR(__xludf.DUMMYFUNCTION("""COMPUTED_VALUE"""),"")</f>
        <v/>
      </c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</row>
    <row r="370">
      <c r="A370" s="30"/>
      <c r="B370" s="30" t="str">
        <f>IFERROR(__xludf.DUMMYFUNCTION("""COMPUTED_VALUE"""),"")</f>
        <v/>
      </c>
      <c r="C370" s="30" t="str">
        <f>IFERROR(__xludf.DUMMYFUNCTION("""COMPUTED_VALUE"""),"")</f>
        <v/>
      </c>
      <c r="D370" s="30"/>
      <c r="E370" s="34" t="str">
        <f>IFERROR(__xludf.DUMMYFUNCTION("""COMPUTED_VALUE"""),"")</f>
        <v/>
      </c>
      <c r="F370" s="30"/>
      <c r="G370" s="34" t="str">
        <f>IFERROR(__xludf.DUMMYFUNCTION("""COMPUTED_VALUE"""),"")</f>
        <v/>
      </c>
      <c r="H370" s="34" t="str">
        <f>IFERROR(__xludf.DUMMYFUNCTION("""COMPUTED_VALUE"""),"")</f>
        <v/>
      </c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</row>
    <row r="371">
      <c r="A371" s="30"/>
      <c r="B371" s="30" t="str">
        <f>IFERROR(__xludf.DUMMYFUNCTION("""COMPUTED_VALUE"""),"")</f>
        <v/>
      </c>
      <c r="C371" s="30" t="str">
        <f>IFERROR(__xludf.DUMMYFUNCTION("""COMPUTED_VALUE"""),"")</f>
        <v/>
      </c>
      <c r="D371" s="30"/>
      <c r="E371" s="34" t="str">
        <f>IFERROR(__xludf.DUMMYFUNCTION("""COMPUTED_VALUE"""),"")</f>
        <v/>
      </c>
      <c r="F371" s="30"/>
      <c r="G371" s="34" t="str">
        <f>IFERROR(__xludf.DUMMYFUNCTION("""COMPUTED_VALUE"""),"")</f>
        <v/>
      </c>
      <c r="H371" s="34" t="str">
        <f>IFERROR(__xludf.DUMMYFUNCTION("""COMPUTED_VALUE"""),"")</f>
        <v/>
      </c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>
      <c r="A372" s="30"/>
      <c r="B372" s="30" t="str">
        <f>IFERROR(__xludf.DUMMYFUNCTION("""COMPUTED_VALUE"""),"")</f>
        <v/>
      </c>
      <c r="C372" s="30" t="str">
        <f>IFERROR(__xludf.DUMMYFUNCTION("""COMPUTED_VALUE"""),"")</f>
        <v/>
      </c>
      <c r="D372" s="30"/>
      <c r="E372" s="34" t="str">
        <f>IFERROR(__xludf.DUMMYFUNCTION("""COMPUTED_VALUE"""),"")</f>
        <v/>
      </c>
      <c r="F372" s="30"/>
      <c r="G372" s="34" t="str">
        <f>IFERROR(__xludf.DUMMYFUNCTION("""COMPUTED_VALUE"""),"")</f>
        <v/>
      </c>
      <c r="H372" s="34" t="str">
        <f>IFERROR(__xludf.DUMMYFUNCTION("""COMPUTED_VALUE"""),"")</f>
        <v/>
      </c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</row>
    <row r="373">
      <c r="A373" s="30"/>
      <c r="B373" s="30" t="str">
        <f>IFERROR(__xludf.DUMMYFUNCTION("""COMPUTED_VALUE"""),"")</f>
        <v/>
      </c>
      <c r="C373" s="30" t="str">
        <f>IFERROR(__xludf.DUMMYFUNCTION("""COMPUTED_VALUE"""),"")</f>
        <v/>
      </c>
      <c r="D373" s="30"/>
      <c r="E373" s="34" t="str">
        <f>IFERROR(__xludf.DUMMYFUNCTION("""COMPUTED_VALUE"""),"")</f>
        <v/>
      </c>
      <c r="F373" s="30"/>
      <c r="G373" s="34" t="str">
        <f>IFERROR(__xludf.DUMMYFUNCTION("""COMPUTED_VALUE"""),"")</f>
        <v/>
      </c>
      <c r="H373" s="34" t="str">
        <f>IFERROR(__xludf.DUMMYFUNCTION("""COMPUTED_VALUE"""),"")</f>
        <v/>
      </c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</row>
    <row r="374">
      <c r="A374" s="30"/>
      <c r="B374" s="30" t="str">
        <f>IFERROR(__xludf.DUMMYFUNCTION("""COMPUTED_VALUE"""),"")</f>
        <v/>
      </c>
      <c r="C374" s="30" t="str">
        <f>IFERROR(__xludf.DUMMYFUNCTION("""COMPUTED_VALUE"""),"")</f>
        <v/>
      </c>
      <c r="D374" s="30"/>
      <c r="E374" s="34" t="str">
        <f>IFERROR(__xludf.DUMMYFUNCTION("""COMPUTED_VALUE"""),"")</f>
        <v/>
      </c>
      <c r="F374" s="30"/>
      <c r="G374" s="34" t="str">
        <f>IFERROR(__xludf.DUMMYFUNCTION("""COMPUTED_VALUE"""),"")</f>
        <v/>
      </c>
      <c r="H374" s="34" t="str">
        <f>IFERROR(__xludf.DUMMYFUNCTION("""COMPUTED_VALUE"""),"")</f>
        <v/>
      </c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</row>
    <row r="375">
      <c r="A375" s="30"/>
      <c r="B375" s="30" t="str">
        <f>IFERROR(__xludf.DUMMYFUNCTION("""COMPUTED_VALUE"""),"")</f>
        <v/>
      </c>
      <c r="C375" s="30" t="str">
        <f>IFERROR(__xludf.DUMMYFUNCTION("""COMPUTED_VALUE"""),"")</f>
        <v/>
      </c>
      <c r="D375" s="30"/>
      <c r="E375" s="34" t="str">
        <f>IFERROR(__xludf.DUMMYFUNCTION("""COMPUTED_VALUE"""),"")</f>
        <v/>
      </c>
      <c r="F375" s="30"/>
      <c r="G375" s="34" t="str">
        <f>IFERROR(__xludf.DUMMYFUNCTION("""COMPUTED_VALUE"""),"")</f>
        <v/>
      </c>
      <c r="H375" s="34" t="str">
        <f>IFERROR(__xludf.DUMMYFUNCTION("""COMPUTED_VALUE"""),"")</f>
        <v/>
      </c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</row>
    <row r="376">
      <c r="A376" s="30"/>
      <c r="B376" s="30" t="str">
        <f>IFERROR(__xludf.DUMMYFUNCTION("""COMPUTED_VALUE"""),"")</f>
        <v/>
      </c>
      <c r="C376" s="30" t="str">
        <f>IFERROR(__xludf.DUMMYFUNCTION("""COMPUTED_VALUE"""),"")</f>
        <v/>
      </c>
      <c r="D376" s="30"/>
      <c r="E376" s="34" t="str">
        <f>IFERROR(__xludf.DUMMYFUNCTION("""COMPUTED_VALUE"""),"")</f>
        <v/>
      </c>
      <c r="F376" s="30"/>
      <c r="G376" s="34" t="str">
        <f>IFERROR(__xludf.DUMMYFUNCTION("""COMPUTED_VALUE"""),"")</f>
        <v/>
      </c>
      <c r="H376" s="34" t="str">
        <f>IFERROR(__xludf.DUMMYFUNCTION("""COMPUTED_VALUE"""),"")</f>
        <v/>
      </c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</row>
    <row r="377">
      <c r="A377" s="30"/>
      <c r="B377" s="30" t="str">
        <f>IFERROR(__xludf.DUMMYFUNCTION("""COMPUTED_VALUE"""),"")</f>
        <v/>
      </c>
      <c r="C377" s="30" t="str">
        <f>IFERROR(__xludf.DUMMYFUNCTION("""COMPUTED_VALUE"""),"")</f>
        <v/>
      </c>
      <c r="D377" s="30"/>
      <c r="E377" s="34" t="str">
        <f>IFERROR(__xludf.DUMMYFUNCTION("""COMPUTED_VALUE"""),"")</f>
        <v/>
      </c>
      <c r="F377" s="30"/>
      <c r="G377" s="34" t="str">
        <f>IFERROR(__xludf.DUMMYFUNCTION("""COMPUTED_VALUE"""),"")</f>
        <v/>
      </c>
      <c r="H377" s="34" t="str">
        <f>IFERROR(__xludf.DUMMYFUNCTION("""COMPUTED_VALUE"""),"")</f>
        <v/>
      </c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</row>
    <row r="378">
      <c r="A378" s="30"/>
      <c r="B378" s="30" t="str">
        <f>IFERROR(__xludf.DUMMYFUNCTION("""COMPUTED_VALUE"""),"")</f>
        <v/>
      </c>
      <c r="C378" s="30" t="str">
        <f>IFERROR(__xludf.DUMMYFUNCTION("""COMPUTED_VALUE"""),"")</f>
        <v/>
      </c>
      <c r="D378" s="30"/>
      <c r="E378" s="34" t="str">
        <f>IFERROR(__xludf.DUMMYFUNCTION("""COMPUTED_VALUE"""),"")</f>
        <v/>
      </c>
      <c r="F378" s="30"/>
      <c r="G378" s="34" t="str">
        <f>IFERROR(__xludf.DUMMYFUNCTION("""COMPUTED_VALUE"""),"")</f>
        <v/>
      </c>
      <c r="H378" s="34" t="str">
        <f>IFERROR(__xludf.DUMMYFUNCTION("""COMPUTED_VALUE"""),"")</f>
        <v/>
      </c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>
      <c r="A379" s="30"/>
      <c r="B379" s="30" t="str">
        <f>IFERROR(__xludf.DUMMYFUNCTION("""COMPUTED_VALUE"""),"")</f>
        <v/>
      </c>
      <c r="C379" s="30" t="str">
        <f>IFERROR(__xludf.DUMMYFUNCTION("""COMPUTED_VALUE"""),"")</f>
        <v/>
      </c>
      <c r="D379" s="30"/>
      <c r="E379" s="34" t="str">
        <f>IFERROR(__xludf.DUMMYFUNCTION("""COMPUTED_VALUE"""),"")</f>
        <v/>
      </c>
      <c r="F379" s="30"/>
      <c r="G379" s="34" t="str">
        <f>IFERROR(__xludf.DUMMYFUNCTION("""COMPUTED_VALUE"""),"")</f>
        <v/>
      </c>
      <c r="H379" s="34" t="str">
        <f>IFERROR(__xludf.DUMMYFUNCTION("""COMPUTED_VALUE"""),"")</f>
        <v/>
      </c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</row>
    <row r="380">
      <c r="A380" s="30"/>
      <c r="B380" s="30" t="str">
        <f>IFERROR(__xludf.DUMMYFUNCTION("""COMPUTED_VALUE"""),"")</f>
        <v/>
      </c>
      <c r="C380" s="30" t="str">
        <f>IFERROR(__xludf.DUMMYFUNCTION("""COMPUTED_VALUE"""),"")</f>
        <v/>
      </c>
      <c r="D380" s="30"/>
      <c r="E380" s="34" t="str">
        <f>IFERROR(__xludf.DUMMYFUNCTION("""COMPUTED_VALUE"""),"")</f>
        <v/>
      </c>
      <c r="F380" s="30"/>
      <c r="G380" s="34" t="str">
        <f>IFERROR(__xludf.DUMMYFUNCTION("""COMPUTED_VALUE"""),"")</f>
        <v/>
      </c>
      <c r="H380" s="34" t="str">
        <f>IFERROR(__xludf.DUMMYFUNCTION("""COMPUTED_VALUE"""),"")</f>
        <v/>
      </c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>
      <c r="A381" s="30"/>
      <c r="B381" s="30" t="str">
        <f>IFERROR(__xludf.DUMMYFUNCTION("""COMPUTED_VALUE"""),"")</f>
        <v/>
      </c>
      <c r="C381" s="30" t="str">
        <f>IFERROR(__xludf.DUMMYFUNCTION("""COMPUTED_VALUE"""),"")</f>
        <v/>
      </c>
      <c r="D381" s="30"/>
      <c r="E381" s="34" t="str">
        <f>IFERROR(__xludf.DUMMYFUNCTION("""COMPUTED_VALUE"""),"")</f>
        <v/>
      </c>
      <c r="F381" s="30"/>
      <c r="G381" s="34" t="str">
        <f>IFERROR(__xludf.DUMMYFUNCTION("""COMPUTED_VALUE"""),"")</f>
        <v/>
      </c>
      <c r="H381" s="34" t="str">
        <f>IFERROR(__xludf.DUMMYFUNCTION("""COMPUTED_VALUE"""),"")</f>
        <v/>
      </c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</row>
    <row r="382">
      <c r="A382" s="30"/>
      <c r="B382" s="30" t="str">
        <f>IFERROR(__xludf.DUMMYFUNCTION("""COMPUTED_VALUE"""),"")</f>
        <v/>
      </c>
      <c r="C382" s="30" t="str">
        <f>IFERROR(__xludf.DUMMYFUNCTION("""COMPUTED_VALUE"""),"")</f>
        <v/>
      </c>
      <c r="D382" s="30"/>
      <c r="E382" s="34" t="str">
        <f>IFERROR(__xludf.DUMMYFUNCTION("""COMPUTED_VALUE"""),"")</f>
        <v/>
      </c>
      <c r="F382" s="30"/>
      <c r="G382" s="34" t="str">
        <f>IFERROR(__xludf.DUMMYFUNCTION("""COMPUTED_VALUE"""),"")</f>
        <v/>
      </c>
      <c r="H382" s="34" t="str">
        <f>IFERROR(__xludf.DUMMYFUNCTION("""COMPUTED_VALUE"""),"")</f>
        <v/>
      </c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</row>
    <row r="383">
      <c r="A383" s="30"/>
      <c r="B383" s="30" t="str">
        <f>IFERROR(__xludf.DUMMYFUNCTION("""COMPUTED_VALUE"""),"")</f>
        <v/>
      </c>
      <c r="C383" s="30" t="str">
        <f>IFERROR(__xludf.DUMMYFUNCTION("""COMPUTED_VALUE"""),"")</f>
        <v/>
      </c>
      <c r="D383" s="30"/>
      <c r="E383" s="34" t="str">
        <f>IFERROR(__xludf.DUMMYFUNCTION("""COMPUTED_VALUE"""),"")</f>
        <v/>
      </c>
      <c r="F383" s="30"/>
      <c r="G383" s="34" t="str">
        <f>IFERROR(__xludf.DUMMYFUNCTION("""COMPUTED_VALUE"""),"")</f>
        <v/>
      </c>
      <c r="H383" s="34" t="str">
        <f>IFERROR(__xludf.DUMMYFUNCTION("""COMPUTED_VALUE"""),"")</f>
        <v/>
      </c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</row>
    <row r="384">
      <c r="A384" s="30"/>
      <c r="B384" s="30" t="str">
        <f>IFERROR(__xludf.DUMMYFUNCTION("""COMPUTED_VALUE"""),"")</f>
        <v/>
      </c>
      <c r="C384" s="30" t="str">
        <f>IFERROR(__xludf.DUMMYFUNCTION("""COMPUTED_VALUE"""),"")</f>
        <v/>
      </c>
      <c r="D384" s="30"/>
      <c r="E384" s="34" t="str">
        <f>IFERROR(__xludf.DUMMYFUNCTION("""COMPUTED_VALUE"""),"")</f>
        <v/>
      </c>
      <c r="F384" s="30"/>
      <c r="G384" s="34" t="str">
        <f>IFERROR(__xludf.DUMMYFUNCTION("""COMPUTED_VALUE"""),"")</f>
        <v/>
      </c>
      <c r="H384" s="34" t="str">
        <f>IFERROR(__xludf.DUMMYFUNCTION("""COMPUTED_VALUE"""),"")</f>
        <v/>
      </c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</row>
    <row r="385">
      <c r="A385" s="30"/>
      <c r="B385" s="30" t="str">
        <f>IFERROR(__xludf.DUMMYFUNCTION("""COMPUTED_VALUE"""),"")</f>
        <v/>
      </c>
      <c r="C385" s="30" t="str">
        <f>IFERROR(__xludf.DUMMYFUNCTION("""COMPUTED_VALUE"""),"")</f>
        <v/>
      </c>
      <c r="D385" s="30"/>
      <c r="E385" s="34" t="str">
        <f>IFERROR(__xludf.DUMMYFUNCTION("""COMPUTED_VALUE"""),"")</f>
        <v/>
      </c>
      <c r="F385" s="30"/>
      <c r="G385" s="34" t="str">
        <f>IFERROR(__xludf.DUMMYFUNCTION("""COMPUTED_VALUE"""),"")</f>
        <v/>
      </c>
      <c r="H385" s="34" t="str">
        <f>IFERROR(__xludf.DUMMYFUNCTION("""COMPUTED_VALUE"""),"")</f>
        <v/>
      </c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</row>
    <row r="386">
      <c r="A386" s="30"/>
      <c r="B386" s="30" t="str">
        <f>IFERROR(__xludf.DUMMYFUNCTION("""COMPUTED_VALUE"""),"")</f>
        <v/>
      </c>
      <c r="C386" s="30" t="str">
        <f>IFERROR(__xludf.DUMMYFUNCTION("""COMPUTED_VALUE"""),"")</f>
        <v/>
      </c>
      <c r="D386" s="30"/>
      <c r="E386" s="34" t="str">
        <f>IFERROR(__xludf.DUMMYFUNCTION("""COMPUTED_VALUE"""),"")</f>
        <v/>
      </c>
      <c r="F386" s="30"/>
      <c r="G386" s="34" t="str">
        <f>IFERROR(__xludf.DUMMYFUNCTION("""COMPUTED_VALUE"""),"")</f>
        <v/>
      </c>
      <c r="H386" s="34" t="str">
        <f>IFERROR(__xludf.DUMMYFUNCTION("""COMPUTED_VALUE"""),"")</f>
        <v/>
      </c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</row>
    <row r="387">
      <c r="A387" s="30"/>
      <c r="B387" s="30" t="str">
        <f>IFERROR(__xludf.DUMMYFUNCTION("""COMPUTED_VALUE"""),"")</f>
        <v/>
      </c>
      <c r="C387" s="30" t="str">
        <f>IFERROR(__xludf.DUMMYFUNCTION("""COMPUTED_VALUE"""),"")</f>
        <v/>
      </c>
      <c r="D387" s="30"/>
      <c r="E387" s="34" t="str">
        <f>IFERROR(__xludf.DUMMYFUNCTION("""COMPUTED_VALUE"""),"")</f>
        <v/>
      </c>
      <c r="F387" s="30"/>
      <c r="G387" s="34" t="str">
        <f>IFERROR(__xludf.DUMMYFUNCTION("""COMPUTED_VALUE"""),"")</f>
        <v/>
      </c>
      <c r="H387" s="34" t="str">
        <f>IFERROR(__xludf.DUMMYFUNCTION("""COMPUTED_VALUE"""),"")</f>
        <v/>
      </c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</row>
    <row r="388">
      <c r="A388" s="30"/>
      <c r="B388" s="30" t="str">
        <f>IFERROR(__xludf.DUMMYFUNCTION("""COMPUTED_VALUE"""),"")</f>
        <v/>
      </c>
      <c r="C388" s="30" t="str">
        <f>IFERROR(__xludf.DUMMYFUNCTION("""COMPUTED_VALUE"""),"")</f>
        <v/>
      </c>
      <c r="D388" s="30"/>
      <c r="E388" s="34" t="str">
        <f>IFERROR(__xludf.DUMMYFUNCTION("""COMPUTED_VALUE"""),"")</f>
        <v/>
      </c>
      <c r="F388" s="30"/>
      <c r="G388" s="34" t="str">
        <f>IFERROR(__xludf.DUMMYFUNCTION("""COMPUTED_VALUE"""),"")</f>
        <v/>
      </c>
      <c r="H388" s="34" t="str">
        <f>IFERROR(__xludf.DUMMYFUNCTION("""COMPUTED_VALUE"""),"")</f>
        <v/>
      </c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</row>
    <row r="389">
      <c r="A389" s="30"/>
      <c r="B389" s="30" t="str">
        <f>IFERROR(__xludf.DUMMYFUNCTION("""COMPUTED_VALUE"""),"")</f>
        <v/>
      </c>
      <c r="C389" s="30" t="str">
        <f>IFERROR(__xludf.DUMMYFUNCTION("""COMPUTED_VALUE"""),"")</f>
        <v/>
      </c>
      <c r="D389" s="30"/>
      <c r="E389" s="34" t="str">
        <f>IFERROR(__xludf.DUMMYFUNCTION("""COMPUTED_VALUE"""),"")</f>
        <v/>
      </c>
      <c r="F389" s="30"/>
      <c r="G389" s="34" t="str">
        <f>IFERROR(__xludf.DUMMYFUNCTION("""COMPUTED_VALUE"""),"")</f>
        <v/>
      </c>
      <c r="H389" s="34" t="str">
        <f>IFERROR(__xludf.DUMMYFUNCTION("""COMPUTED_VALUE"""),"")</f>
        <v/>
      </c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</row>
    <row r="390">
      <c r="A390" s="30"/>
      <c r="B390" s="30" t="str">
        <f>IFERROR(__xludf.DUMMYFUNCTION("""COMPUTED_VALUE"""),"")</f>
        <v/>
      </c>
      <c r="C390" s="30" t="str">
        <f>IFERROR(__xludf.DUMMYFUNCTION("""COMPUTED_VALUE"""),"")</f>
        <v/>
      </c>
      <c r="D390" s="30"/>
      <c r="E390" s="34" t="str">
        <f>IFERROR(__xludf.DUMMYFUNCTION("""COMPUTED_VALUE"""),"")</f>
        <v/>
      </c>
      <c r="F390" s="30"/>
      <c r="G390" s="34" t="str">
        <f>IFERROR(__xludf.DUMMYFUNCTION("""COMPUTED_VALUE"""),"")</f>
        <v/>
      </c>
      <c r="H390" s="34" t="str">
        <f>IFERROR(__xludf.DUMMYFUNCTION("""COMPUTED_VALUE"""),"")</f>
        <v/>
      </c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</row>
    <row r="391">
      <c r="A391" s="30"/>
      <c r="B391" s="30" t="str">
        <f>IFERROR(__xludf.DUMMYFUNCTION("""COMPUTED_VALUE"""),"")</f>
        <v/>
      </c>
      <c r="C391" s="30" t="str">
        <f>IFERROR(__xludf.DUMMYFUNCTION("""COMPUTED_VALUE"""),"")</f>
        <v/>
      </c>
      <c r="D391" s="30"/>
      <c r="E391" s="34" t="str">
        <f>IFERROR(__xludf.DUMMYFUNCTION("""COMPUTED_VALUE"""),"")</f>
        <v/>
      </c>
      <c r="F391" s="30"/>
      <c r="G391" s="34" t="str">
        <f>IFERROR(__xludf.DUMMYFUNCTION("""COMPUTED_VALUE"""),"")</f>
        <v/>
      </c>
      <c r="H391" s="34" t="str">
        <f>IFERROR(__xludf.DUMMYFUNCTION("""COMPUTED_VALUE"""),"")</f>
        <v/>
      </c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</row>
    <row r="392">
      <c r="A392" s="30"/>
      <c r="B392" s="30" t="str">
        <f>IFERROR(__xludf.DUMMYFUNCTION("""COMPUTED_VALUE"""),"")</f>
        <v/>
      </c>
      <c r="C392" s="30" t="str">
        <f>IFERROR(__xludf.DUMMYFUNCTION("""COMPUTED_VALUE"""),"")</f>
        <v/>
      </c>
      <c r="D392" s="30"/>
      <c r="E392" s="34" t="str">
        <f>IFERROR(__xludf.DUMMYFUNCTION("""COMPUTED_VALUE"""),"")</f>
        <v/>
      </c>
      <c r="F392" s="30"/>
      <c r="G392" s="34" t="str">
        <f>IFERROR(__xludf.DUMMYFUNCTION("""COMPUTED_VALUE"""),"")</f>
        <v/>
      </c>
      <c r="H392" s="34" t="str">
        <f>IFERROR(__xludf.DUMMYFUNCTION("""COMPUTED_VALUE"""),"")</f>
        <v/>
      </c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</row>
    <row r="393">
      <c r="A393" s="30"/>
      <c r="B393" s="30" t="str">
        <f>IFERROR(__xludf.DUMMYFUNCTION("""COMPUTED_VALUE"""),"")</f>
        <v/>
      </c>
      <c r="C393" s="30" t="str">
        <f>IFERROR(__xludf.DUMMYFUNCTION("""COMPUTED_VALUE"""),"")</f>
        <v/>
      </c>
      <c r="D393" s="30"/>
      <c r="E393" s="34" t="str">
        <f>IFERROR(__xludf.DUMMYFUNCTION("""COMPUTED_VALUE"""),"")</f>
        <v/>
      </c>
      <c r="F393" s="30"/>
      <c r="G393" s="34" t="str">
        <f>IFERROR(__xludf.DUMMYFUNCTION("""COMPUTED_VALUE"""),"")</f>
        <v/>
      </c>
      <c r="H393" s="34" t="str">
        <f>IFERROR(__xludf.DUMMYFUNCTION("""COMPUTED_VALUE"""),"")</f>
        <v/>
      </c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</row>
    <row r="394">
      <c r="A394" s="30"/>
      <c r="B394" s="30" t="str">
        <f>IFERROR(__xludf.DUMMYFUNCTION("""COMPUTED_VALUE"""),"")</f>
        <v/>
      </c>
      <c r="C394" s="30" t="str">
        <f>IFERROR(__xludf.DUMMYFUNCTION("""COMPUTED_VALUE"""),"")</f>
        <v/>
      </c>
      <c r="D394" s="30"/>
      <c r="E394" s="34" t="str">
        <f>IFERROR(__xludf.DUMMYFUNCTION("""COMPUTED_VALUE"""),"")</f>
        <v/>
      </c>
      <c r="F394" s="30"/>
      <c r="G394" s="34" t="str">
        <f>IFERROR(__xludf.DUMMYFUNCTION("""COMPUTED_VALUE"""),"")</f>
        <v/>
      </c>
      <c r="H394" s="34" t="str">
        <f>IFERROR(__xludf.DUMMYFUNCTION("""COMPUTED_VALUE"""),"")</f>
        <v/>
      </c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</row>
    <row r="395">
      <c r="A395" s="30"/>
      <c r="B395" s="30" t="str">
        <f>IFERROR(__xludf.DUMMYFUNCTION("""COMPUTED_VALUE"""),"")</f>
        <v/>
      </c>
      <c r="C395" s="30" t="str">
        <f>IFERROR(__xludf.DUMMYFUNCTION("""COMPUTED_VALUE"""),"")</f>
        <v/>
      </c>
      <c r="D395" s="30"/>
      <c r="E395" s="34" t="str">
        <f>IFERROR(__xludf.DUMMYFUNCTION("""COMPUTED_VALUE"""),"")</f>
        <v/>
      </c>
      <c r="F395" s="30"/>
      <c r="G395" s="34" t="str">
        <f>IFERROR(__xludf.DUMMYFUNCTION("""COMPUTED_VALUE"""),"")</f>
        <v/>
      </c>
      <c r="H395" s="34" t="str">
        <f>IFERROR(__xludf.DUMMYFUNCTION("""COMPUTED_VALUE"""),"")</f>
        <v/>
      </c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6">
      <c r="A396" s="30"/>
      <c r="B396" s="30" t="str">
        <f>IFERROR(__xludf.DUMMYFUNCTION("""COMPUTED_VALUE"""),"")</f>
        <v/>
      </c>
      <c r="C396" s="30" t="str">
        <f>IFERROR(__xludf.DUMMYFUNCTION("""COMPUTED_VALUE"""),"")</f>
        <v/>
      </c>
      <c r="D396" s="30"/>
      <c r="E396" s="34" t="str">
        <f>IFERROR(__xludf.DUMMYFUNCTION("""COMPUTED_VALUE"""),"")</f>
        <v/>
      </c>
      <c r="F396" s="30"/>
      <c r="G396" s="34" t="str">
        <f>IFERROR(__xludf.DUMMYFUNCTION("""COMPUTED_VALUE"""),"")</f>
        <v/>
      </c>
      <c r="H396" s="34" t="str">
        <f>IFERROR(__xludf.DUMMYFUNCTION("""COMPUTED_VALUE"""),"")</f>
        <v/>
      </c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</row>
    <row r="397">
      <c r="A397" s="30"/>
      <c r="B397" s="30" t="str">
        <f>IFERROR(__xludf.DUMMYFUNCTION("""COMPUTED_VALUE"""),"")</f>
        <v/>
      </c>
      <c r="C397" s="30" t="str">
        <f>IFERROR(__xludf.DUMMYFUNCTION("""COMPUTED_VALUE"""),"")</f>
        <v/>
      </c>
      <c r="D397" s="30"/>
      <c r="E397" s="34" t="str">
        <f>IFERROR(__xludf.DUMMYFUNCTION("""COMPUTED_VALUE"""),"")</f>
        <v/>
      </c>
      <c r="F397" s="30"/>
      <c r="G397" s="34" t="str">
        <f>IFERROR(__xludf.DUMMYFUNCTION("""COMPUTED_VALUE"""),"")</f>
        <v/>
      </c>
      <c r="H397" s="34" t="str">
        <f>IFERROR(__xludf.DUMMYFUNCTION("""COMPUTED_VALUE"""),"")</f>
        <v/>
      </c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>
      <c r="A398" s="30"/>
      <c r="B398" s="30" t="str">
        <f>IFERROR(__xludf.DUMMYFUNCTION("""COMPUTED_VALUE"""),"")</f>
        <v/>
      </c>
      <c r="C398" s="30" t="str">
        <f>IFERROR(__xludf.DUMMYFUNCTION("""COMPUTED_VALUE"""),"")</f>
        <v/>
      </c>
      <c r="D398" s="30"/>
      <c r="E398" s="34" t="str">
        <f>IFERROR(__xludf.DUMMYFUNCTION("""COMPUTED_VALUE"""),"")</f>
        <v/>
      </c>
      <c r="F398" s="30"/>
      <c r="G398" s="34" t="str">
        <f>IFERROR(__xludf.DUMMYFUNCTION("""COMPUTED_VALUE"""),"")</f>
        <v/>
      </c>
      <c r="H398" s="34" t="str">
        <f>IFERROR(__xludf.DUMMYFUNCTION("""COMPUTED_VALUE"""),"")</f>
        <v/>
      </c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</row>
    <row r="399">
      <c r="A399" s="30"/>
      <c r="B399" s="30" t="str">
        <f>IFERROR(__xludf.DUMMYFUNCTION("""COMPUTED_VALUE"""),"")</f>
        <v/>
      </c>
      <c r="C399" s="30" t="str">
        <f>IFERROR(__xludf.DUMMYFUNCTION("""COMPUTED_VALUE"""),"")</f>
        <v/>
      </c>
      <c r="D399" s="30"/>
      <c r="E399" s="34" t="str">
        <f>IFERROR(__xludf.DUMMYFUNCTION("""COMPUTED_VALUE"""),"")</f>
        <v/>
      </c>
      <c r="F399" s="30"/>
      <c r="G399" s="34" t="str">
        <f>IFERROR(__xludf.DUMMYFUNCTION("""COMPUTED_VALUE"""),"")</f>
        <v/>
      </c>
      <c r="H399" s="34" t="str">
        <f>IFERROR(__xludf.DUMMYFUNCTION("""COMPUTED_VALUE"""),"")</f>
        <v/>
      </c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</row>
    <row r="400">
      <c r="A400" s="30"/>
      <c r="B400" s="30" t="str">
        <f>IFERROR(__xludf.DUMMYFUNCTION("""COMPUTED_VALUE"""),"")</f>
        <v/>
      </c>
      <c r="C400" s="30" t="str">
        <f>IFERROR(__xludf.DUMMYFUNCTION("""COMPUTED_VALUE"""),"")</f>
        <v/>
      </c>
      <c r="D400" s="30"/>
      <c r="E400" s="34" t="str">
        <f>IFERROR(__xludf.DUMMYFUNCTION("""COMPUTED_VALUE"""),"")</f>
        <v/>
      </c>
      <c r="F400" s="30"/>
      <c r="G400" s="34" t="str">
        <f>IFERROR(__xludf.DUMMYFUNCTION("""COMPUTED_VALUE"""),"")</f>
        <v/>
      </c>
      <c r="H400" s="34" t="str">
        <f>IFERROR(__xludf.DUMMYFUNCTION("""COMPUTED_VALUE"""),"")</f>
        <v/>
      </c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</row>
    <row r="401">
      <c r="A401" s="30"/>
      <c r="B401" s="30" t="str">
        <f>IFERROR(__xludf.DUMMYFUNCTION("""COMPUTED_VALUE"""),"")</f>
        <v/>
      </c>
      <c r="C401" s="30" t="str">
        <f>IFERROR(__xludf.DUMMYFUNCTION("""COMPUTED_VALUE"""),"")</f>
        <v/>
      </c>
      <c r="D401" s="30"/>
      <c r="E401" s="34" t="str">
        <f>IFERROR(__xludf.DUMMYFUNCTION("""COMPUTED_VALUE"""),"")</f>
        <v/>
      </c>
      <c r="F401" s="30"/>
      <c r="G401" s="34" t="str">
        <f>IFERROR(__xludf.DUMMYFUNCTION("""COMPUTED_VALUE"""),"")</f>
        <v/>
      </c>
      <c r="H401" s="34" t="str">
        <f>IFERROR(__xludf.DUMMYFUNCTION("""COMPUTED_VALUE"""),"")</f>
        <v/>
      </c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</row>
    <row r="402">
      <c r="A402" s="30"/>
      <c r="B402" s="30" t="str">
        <f>IFERROR(__xludf.DUMMYFUNCTION("""COMPUTED_VALUE"""),"")</f>
        <v/>
      </c>
      <c r="C402" s="30" t="str">
        <f>IFERROR(__xludf.DUMMYFUNCTION("""COMPUTED_VALUE"""),"")</f>
        <v/>
      </c>
      <c r="D402" s="30"/>
      <c r="E402" s="34" t="str">
        <f>IFERROR(__xludf.DUMMYFUNCTION("""COMPUTED_VALUE"""),"")</f>
        <v/>
      </c>
      <c r="F402" s="30"/>
      <c r="G402" s="34" t="str">
        <f>IFERROR(__xludf.DUMMYFUNCTION("""COMPUTED_VALUE"""),"")</f>
        <v/>
      </c>
      <c r="H402" s="34" t="str">
        <f>IFERROR(__xludf.DUMMYFUNCTION("""COMPUTED_VALUE"""),"")</f>
        <v/>
      </c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</row>
    <row r="403">
      <c r="A403" s="30"/>
      <c r="B403" s="30" t="str">
        <f>IFERROR(__xludf.DUMMYFUNCTION("""COMPUTED_VALUE"""),"")</f>
        <v/>
      </c>
      <c r="C403" s="30" t="str">
        <f>IFERROR(__xludf.DUMMYFUNCTION("""COMPUTED_VALUE"""),"")</f>
        <v/>
      </c>
      <c r="D403" s="30"/>
      <c r="E403" s="34" t="str">
        <f>IFERROR(__xludf.DUMMYFUNCTION("""COMPUTED_VALUE"""),"")</f>
        <v/>
      </c>
      <c r="F403" s="30"/>
      <c r="G403" s="34" t="str">
        <f>IFERROR(__xludf.DUMMYFUNCTION("""COMPUTED_VALUE"""),"")</f>
        <v/>
      </c>
      <c r="H403" s="34" t="str">
        <f>IFERROR(__xludf.DUMMYFUNCTION("""COMPUTED_VALUE"""),"")</f>
        <v/>
      </c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</row>
    <row r="404">
      <c r="A404" s="30"/>
      <c r="B404" s="30" t="str">
        <f>IFERROR(__xludf.DUMMYFUNCTION("""COMPUTED_VALUE"""),"")</f>
        <v/>
      </c>
      <c r="C404" s="30" t="str">
        <f>IFERROR(__xludf.DUMMYFUNCTION("""COMPUTED_VALUE"""),"")</f>
        <v/>
      </c>
      <c r="D404" s="30"/>
      <c r="E404" s="34" t="str">
        <f>IFERROR(__xludf.DUMMYFUNCTION("""COMPUTED_VALUE"""),"")</f>
        <v/>
      </c>
      <c r="F404" s="30"/>
      <c r="G404" s="34" t="str">
        <f>IFERROR(__xludf.DUMMYFUNCTION("""COMPUTED_VALUE"""),"")</f>
        <v/>
      </c>
      <c r="H404" s="34" t="str">
        <f>IFERROR(__xludf.DUMMYFUNCTION("""COMPUTED_VALUE"""),"")</f>
        <v/>
      </c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</row>
    <row r="405">
      <c r="A405" s="30"/>
      <c r="B405" s="30" t="str">
        <f>IFERROR(__xludf.DUMMYFUNCTION("""COMPUTED_VALUE"""),"")</f>
        <v/>
      </c>
      <c r="C405" s="30" t="str">
        <f>IFERROR(__xludf.DUMMYFUNCTION("""COMPUTED_VALUE"""),"")</f>
        <v/>
      </c>
      <c r="D405" s="30"/>
      <c r="E405" s="34" t="str">
        <f>IFERROR(__xludf.DUMMYFUNCTION("""COMPUTED_VALUE"""),"")</f>
        <v/>
      </c>
      <c r="F405" s="30"/>
      <c r="G405" s="34" t="str">
        <f>IFERROR(__xludf.DUMMYFUNCTION("""COMPUTED_VALUE"""),"")</f>
        <v/>
      </c>
      <c r="H405" s="34" t="str">
        <f>IFERROR(__xludf.DUMMYFUNCTION("""COMPUTED_VALUE"""),"")</f>
        <v/>
      </c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</row>
    <row r="406">
      <c r="A406" s="30"/>
      <c r="B406" s="30" t="str">
        <f>IFERROR(__xludf.DUMMYFUNCTION("""COMPUTED_VALUE"""),"")</f>
        <v/>
      </c>
      <c r="C406" s="30" t="str">
        <f>IFERROR(__xludf.DUMMYFUNCTION("""COMPUTED_VALUE"""),"")</f>
        <v/>
      </c>
      <c r="D406" s="30"/>
      <c r="E406" s="34" t="str">
        <f>IFERROR(__xludf.DUMMYFUNCTION("""COMPUTED_VALUE"""),"")</f>
        <v/>
      </c>
      <c r="F406" s="30"/>
      <c r="G406" s="34" t="str">
        <f>IFERROR(__xludf.DUMMYFUNCTION("""COMPUTED_VALUE"""),"")</f>
        <v/>
      </c>
      <c r="H406" s="34" t="str">
        <f>IFERROR(__xludf.DUMMYFUNCTION("""COMPUTED_VALUE"""),"")</f>
        <v/>
      </c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</row>
    <row r="407">
      <c r="A407" s="30"/>
      <c r="B407" s="30" t="str">
        <f>IFERROR(__xludf.DUMMYFUNCTION("""COMPUTED_VALUE"""),"")</f>
        <v/>
      </c>
      <c r="C407" s="30" t="str">
        <f>IFERROR(__xludf.DUMMYFUNCTION("""COMPUTED_VALUE"""),"")</f>
        <v/>
      </c>
      <c r="D407" s="30"/>
      <c r="E407" s="34" t="str">
        <f>IFERROR(__xludf.DUMMYFUNCTION("""COMPUTED_VALUE"""),"")</f>
        <v/>
      </c>
      <c r="F407" s="30"/>
      <c r="G407" s="34" t="str">
        <f>IFERROR(__xludf.DUMMYFUNCTION("""COMPUTED_VALUE"""),"")</f>
        <v/>
      </c>
      <c r="H407" s="34" t="str">
        <f>IFERROR(__xludf.DUMMYFUNCTION("""COMPUTED_VALUE"""),"")</f>
        <v/>
      </c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</row>
    <row r="408">
      <c r="A408" s="30"/>
      <c r="B408" s="30" t="str">
        <f>IFERROR(__xludf.DUMMYFUNCTION("""COMPUTED_VALUE"""),"")</f>
        <v/>
      </c>
      <c r="C408" s="30" t="str">
        <f>IFERROR(__xludf.DUMMYFUNCTION("""COMPUTED_VALUE"""),"")</f>
        <v/>
      </c>
      <c r="D408" s="30"/>
      <c r="E408" s="34" t="str">
        <f>IFERROR(__xludf.DUMMYFUNCTION("""COMPUTED_VALUE"""),"")</f>
        <v/>
      </c>
      <c r="F408" s="30"/>
      <c r="G408" s="34" t="str">
        <f>IFERROR(__xludf.DUMMYFUNCTION("""COMPUTED_VALUE"""),"")</f>
        <v/>
      </c>
      <c r="H408" s="34" t="str">
        <f>IFERROR(__xludf.DUMMYFUNCTION("""COMPUTED_VALUE"""),"")</f>
        <v/>
      </c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</row>
    <row r="409">
      <c r="A409" s="30"/>
      <c r="B409" s="30" t="str">
        <f>IFERROR(__xludf.DUMMYFUNCTION("""COMPUTED_VALUE"""),"")</f>
        <v/>
      </c>
      <c r="C409" s="30" t="str">
        <f>IFERROR(__xludf.DUMMYFUNCTION("""COMPUTED_VALUE"""),"")</f>
        <v/>
      </c>
      <c r="D409" s="30"/>
      <c r="E409" s="34" t="str">
        <f>IFERROR(__xludf.DUMMYFUNCTION("""COMPUTED_VALUE"""),"")</f>
        <v/>
      </c>
      <c r="F409" s="30"/>
      <c r="G409" s="34" t="str">
        <f>IFERROR(__xludf.DUMMYFUNCTION("""COMPUTED_VALUE"""),"")</f>
        <v/>
      </c>
      <c r="H409" s="34" t="str">
        <f>IFERROR(__xludf.DUMMYFUNCTION("""COMPUTED_VALUE"""),"")</f>
        <v/>
      </c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</row>
    <row r="410">
      <c r="A410" s="30"/>
      <c r="B410" s="30" t="str">
        <f>IFERROR(__xludf.DUMMYFUNCTION("""COMPUTED_VALUE"""),"")</f>
        <v/>
      </c>
      <c r="C410" s="30" t="str">
        <f>IFERROR(__xludf.DUMMYFUNCTION("""COMPUTED_VALUE"""),"")</f>
        <v/>
      </c>
      <c r="D410" s="30"/>
      <c r="E410" s="34" t="str">
        <f>IFERROR(__xludf.DUMMYFUNCTION("""COMPUTED_VALUE"""),"")</f>
        <v/>
      </c>
      <c r="F410" s="30"/>
      <c r="G410" s="34" t="str">
        <f>IFERROR(__xludf.DUMMYFUNCTION("""COMPUTED_VALUE"""),"")</f>
        <v/>
      </c>
      <c r="H410" s="34" t="str">
        <f>IFERROR(__xludf.DUMMYFUNCTION("""COMPUTED_VALUE"""),"")</f>
        <v/>
      </c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</row>
    <row r="411">
      <c r="A411" s="30"/>
      <c r="B411" s="30" t="str">
        <f>IFERROR(__xludf.DUMMYFUNCTION("""COMPUTED_VALUE"""),"")</f>
        <v/>
      </c>
      <c r="C411" s="30" t="str">
        <f>IFERROR(__xludf.DUMMYFUNCTION("""COMPUTED_VALUE"""),"")</f>
        <v/>
      </c>
      <c r="D411" s="30"/>
      <c r="E411" s="34" t="str">
        <f>IFERROR(__xludf.DUMMYFUNCTION("""COMPUTED_VALUE"""),"")</f>
        <v/>
      </c>
      <c r="F411" s="30"/>
      <c r="G411" s="34" t="str">
        <f>IFERROR(__xludf.DUMMYFUNCTION("""COMPUTED_VALUE"""),"")</f>
        <v/>
      </c>
      <c r="H411" s="34" t="str">
        <f>IFERROR(__xludf.DUMMYFUNCTION("""COMPUTED_VALUE"""),"")</f>
        <v/>
      </c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</row>
    <row r="412">
      <c r="A412" s="30"/>
      <c r="B412" s="30" t="str">
        <f>IFERROR(__xludf.DUMMYFUNCTION("""COMPUTED_VALUE"""),"")</f>
        <v/>
      </c>
      <c r="C412" s="30" t="str">
        <f>IFERROR(__xludf.DUMMYFUNCTION("""COMPUTED_VALUE"""),"")</f>
        <v/>
      </c>
      <c r="D412" s="30"/>
      <c r="E412" s="34" t="str">
        <f>IFERROR(__xludf.DUMMYFUNCTION("""COMPUTED_VALUE"""),"")</f>
        <v/>
      </c>
      <c r="F412" s="30"/>
      <c r="G412" s="34" t="str">
        <f>IFERROR(__xludf.DUMMYFUNCTION("""COMPUTED_VALUE"""),"")</f>
        <v/>
      </c>
      <c r="H412" s="34" t="str">
        <f>IFERROR(__xludf.DUMMYFUNCTION("""COMPUTED_VALUE"""),"")</f>
        <v/>
      </c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</row>
    <row r="413">
      <c r="A413" s="30"/>
      <c r="B413" s="30" t="str">
        <f>IFERROR(__xludf.DUMMYFUNCTION("""COMPUTED_VALUE"""),"")</f>
        <v/>
      </c>
      <c r="C413" s="30" t="str">
        <f>IFERROR(__xludf.DUMMYFUNCTION("""COMPUTED_VALUE"""),"")</f>
        <v/>
      </c>
      <c r="D413" s="30"/>
      <c r="E413" s="34" t="str">
        <f>IFERROR(__xludf.DUMMYFUNCTION("""COMPUTED_VALUE"""),"")</f>
        <v/>
      </c>
      <c r="F413" s="30"/>
      <c r="G413" s="34" t="str">
        <f>IFERROR(__xludf.DUMMYFUNCTION("""COMPUTED_VALUE"""),"")</f>
        <v/>
      </c>
      <c r="H413" s="34" t="str">
        <f>IFERROR(__xludf.DUMMYFUNCTION("""COMPUTED_VALUE"""),"")</f>
        <v/>
      </c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</row>
    <row r="414">
      <c r="A414" s="30"/>
      <c r="B414" s="30" t="str">
        <f>IFERROR(__xludf.DUMMYFUNCTION("""COMPUTED_VALUE"""),"")</f>
        <v/>
      </c>
      <c r="C414" s="30" t="str">
        <f>IFERROR(__xludf.DUMMYFUNCTION("""COMPUTED_VALUE"""),"")</f>
        <v/>
      </c>
      <c r="D414" s="30"/>
      <c r="E414" s="34" t="str">
        <f>IFERROR(__xludf.DUMMYFUNCTION("""COMPUTED_VALUE"""),"")</f>
        <v/>
      </c>
      <c r="F414" s="30"/>
      <c r="G414" s="34" t="str">
        <f>IFERROR(__xludf.DUMMYFUNCTION("""COMPUTED_VALUE"""),"")</f>
        <v/>
      </c>
      <c r="H414" s="34" t="str">
        <f>IFERROR(__xludf.DUMMYFUNCTION("""COMPUTED_VALUE"""),"")</f>
        <v/>
      </c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</row>
    <row r="415">
      <c r="A415" s="30"/>
      <c r="B415" s="30" t="str">
        <f>IFERROR(__xludf.DUMMYFUNCTION("""COMPUTED_VALUE"""),"")</f>
        <v/>
      </c>
      <c r="C415" s="30" t="str">
        <f>IFERROR(__xludf.DUMMYFUNCTION("""COMPUTED_VALUE"""),"")</f>
        <v/>
      </c>
      <c r="D415" s="30"/>
      <c r="E415" s="34" t="str">
        <f>IFERROR(__xludf.DUMMYFUNCTION("""COMPUTED_VALUE"""),"")</f>
        <v/>
      </c>
      <c r="F415" s="30"/>
      <c r="G415" s="34" t="str">
        <f>IFERROR(__xludf.DUMMYFUNCTION("""COMPUTED_VALUE"""),"")</f>
        <v/>
      </c>
      <c r="H415" s="34" t="str">
        <f>IFERROR(__xludf.DUMMYFUNCTION("""COMPUTED_VALUE"""),"")</f>
        <v/>
      </c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</row>
    <row r="416">
      <c r="A416" s="30"/>
      <c r="B416" s="30" t="str">
        <f>IFERROR(__xludf.DUMMYFUNCTION("""COMPUTED_VALUE"""),"")</f>
        <v/>
      </c>
      <c r="C416" s="30" t="str">
        <f>IFERROR(__xludf.DUMMYFUNCTION("""COMPUTED_VALUE"""),"")</f>
        <v/>
      </c>
      <c r="D416" s="30"/>
      <c r="E416" s="34" t="str">
        <f>IFERROR(__xludf.DUMMYFUNCTION("""COMPUTED_VALUE"""),"")</f>
        <v/>
      </c>
      <c r="F416" s="30"/>
      <c r="G416" s="34" t="str">
        <f>IFERROR(__xludf.DUMMYFUNCTION("""COMPUTED_VALUE"""),"")</f>
        <v/>
      </c>
      <c r="H416" s="34" t="str">
        <f>IFERROR(__xludf.DUMMYFUNCTION("""COMPUTED_VALUE"""),"")</f>
        <v/>
      </c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</row>
    <row r="417">
      <c r="A417" s="30"/>
      <c r="B417" s="30" t="str">
        <f>IFERROR(__xludf.DUMMYFUNCTION("""COMPUTED_VALUE"""),"")</f>
        <v/>
      </c>
      <c r="C417" s="30" t="str">
        <f>IFERROR(__xludf.DUMMYFUNCTION("""COMPUTED_VALUE"""),"")</f>
        <v/>
      </c>
      <c r="D417" s="30"/>
      <c r="E417" s="34" t="str">
        <f>IFERROR(__xludf.DUMMYFUNCTION("""COMPUTED_VALUE"""),"")</f>
        <v/>
      </c>
      <c r="F417" s="30"/>
      <c r="G417" s="34" t="str">
        <f>IFERROR(__xludf.DUMMYFUNCTION("""COMPUTED_VALUE"""),"")</f>
        <v/>
      </c>
      <c r="H417" s="34" t="str">
        <f>IFERROR(__xludf.DUMMYFUNCTION("""COMPUTED_VALUE"""),"")</f>
        <v/>
      </c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</row>
    <row r="418">
      <c r="A418" s="30"/>
      <c r="B418" s="30" t="str">
        <f>IFERROR(__xludf.DUMMYFUNCTION("""COMPUTED_VALUE"""),"")</f>
        <v/>
      </c>
      <c r="C418" s="30" t="str">
        <f>IFERROR(__xludf.DUMMYFUNCTION("""COMPUTED_VALUE"""),"")</f>
        <v/>
      </c>
      <c r="D418" s="30"/>
      <c r="E418" s="34" t="str">
        <f>IFERROR(__xludf.DUMMYFUNCTION("""COMPUTED_VALUE"""),"")</f>
        <v/>
      </c>
      <c r="F418" s="30"/>
      <c r="G418" s="34" t="str">
        <f>IFERROR(__xludf.DUMMYFUNCTION("""COMPUTED_VALUE"""),"")</f>
        <v/>
      </c>
      <c r="H418" s="34" t="str">
        <f>IFERROR(__xludf.DUMMYFUNCTION("""COMPUTED_VALUE"""),"")</f>
        <v/>
      </c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>
      <c r="A419" s="30"/>
      <c r="B419" s="30" t="str">
        <f>IFERROR(__xludf.DUMMYFUNCTION("""COMPUTED_VALUE"""),"")</f>
        <v/>
      </c>
      <c r="C419" s="30" t="str">
        <f>IFERROR(__xludf.DUMMYFUNCTION("""COMPUTED_VALUE"""),"")</f>
        <v/>
      </c>
      <c r="D419" s="30"/>
      <c r="E419" s="34" t="str">
        <f>IFERROR(__xludf.DUMMYFUNCTION("""COMPUTED_VALUE"""),"")</f>
        <v/>
      </c>
      <c r="F419" s="30"/>
      <c r="G419" s="34" t="str">
        <f>IFERROR(__xludf.DUMMYFUNCTION("""COMPUTED_VALUE"""),"")</f>
        <v/>
      </c>
      <c r="H419" s="34" t="str">
        <f>IFERROR(__xludf.DUMMYFUNCTION("""COMPUTED_VALUE"""),"")</f>
        <v/>
      </c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</row>
    <row r="420">
      <c r="A420" s="30"/>
      <c r="B420" s="30" t="str">
        <f>IFERROR(__xludf.DUMMYFUNCTION("""COMPUTED_VALUE"""),"")</f>
        <v/>
      </c>
      <c r="C420" s="30" t="str">
        <f>IFERROR(__xludf.DUMMYFUNCTION("""COMPUTED_VALUE"""),"")</f>
        <v/>
      </c>
      <c r="D420" s="30"/>
      <c r="E420" s="34" t="str">
        <f>IFERROR(__xludf.DUMMYFUNCTION("""COMPUTED_VALUE"""),"")</f>
        <v/>
      </c>
      <c r="F420" s="30"/>
      <c r="G420" s="34" t="str">
        <f>IFERROR(__xludf.DUMMYFUNCTION("""COMPUTED_VALUE"""),"")</f>
        <v/>
      </c>
      <c r="H420" s="34" t="str">
        <f>IFERROR(__xludf.DUMMYFUNCTION("""COMPUTED_VALUE"""),"")</f>
        <v/>
      </c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</row>
    <row r="421">
      <c r="A421" s="30"/>
      <c r="B421" s="30" t="str">
        <f>IFERROR(__xludf.DUMMYFUNCTION("""COMPUTED_VALUE"""),"")</f>
        <v/>
      </c>
      <c r="C421" s="30" t="str">
        <f>IFERROR(__xludf.DUMMYFUNCTION("""COMPUTED_VALUE"""),"")</f>
        <v/>
      </c>
      <c r="D421" s="30"/>
      <c r="E421" s="34" t="str">
        <f>IFERROR(__xludf.DUMMYFUNCTION("""COMPUTED_VALUE"""),"")</f>
        <v/>
      </c>
      <c r="F421" s="30"/>
      <c r="G421" s="34" t="str">
        <f>IFERROR(__xludf.DUMMYFUNCTION("""COMPUTED_VALUE"""),"")</f>
        <v/>
      </c>
      <c r="H421" s="34" t="str">
        <f>IFERROR(__xludf.DUMMYFUNCTION("""COMPUTED_VALUE"""),"")</f>
        <v/>
      </c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</row>
    <row r="422">
      <c r="A422" s="30"/>
      <c r="B422" s="30" t="str">
        <f>IFERROR(__xludf.DUMMYFUNCTION("""COMPUTED_VALUE"""),"")</f>
        <v/>
      </c>
      <c r="C422" s="30" t="str">
        <f>IFERROR(__xludf.DUMMYFUNCTION("""COMPUTED_VALUE"""),"")</f>
        <v/>
      </c>
      <c r="D422" s="30"/>
      <c r="E422" s="34" t="str">
        <f>IFERROR(__xludf.DUMMYFUNCTION("""COMPUTED_VALUE"""),"")</f>
        <v/>
      </c>
      <c r="F422" s="30"/>
      <c r="G422" s="34" t="str">
        <f>IFERROR(__xludf.DUMMYFUNCTION("""COMPUTED_VALUE"""),"")</f>
        <v/>
      </c>
      <c r="H422" s="34" t="str">
        <f>IFERROR(__xludf.DUMMYFUNCTION("""COMPUTED_VALUE"""),"")</f>
        <v/>
      </c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</row>
    <row r="423">
      <c r="A423" s="30"/>
      <c r="B423" s="30" t="str">
        <f>IFERROR(__xludf.DUMMYFUNCTION("""COMPUTED_VALUE"""),"")</f>
        <v/>
      </c>
      <c r="C423" s="30" t="str">
        <f>IFERROR(__xludf.DUMMYFUNCTION("""COMPUTED_VALUE"""),"")</f>
        <v/>
      </c>
      <c r="D423" s="30"/>
      <c r="E423" s="34" t="str">
        <f>IFERROR(__xludf.DUMMYFUNCTION("""COMPUTED_VALUE"""),"")</f>
        <v/>
      </c>
      <c r="F423" s="30"/>
      <c r="G423" s="34" t="str">
        <f>IFERROR(__xludf.DUMMYFUNCTION("""COMPUTED_VALUE"""),"")</f>
        <v/>
      </c>
      <c r="H423" s="34" t="str">
        <f>IFERROR(__xludf.DUMMYFUNCTION("""COMPUTED_VALUE"""),"")</f>
        <v/>
      </c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</row>
    <row r="424">
      <c r="A424" s="30"/>
      <c r="B424" s="30" t="str">
        <f>IFERROR(__xludf.DUMMYFUNCTION("""COMPUTED_VALUE"""),"")</f>
        <v/>
      </c>
      <c r="C424" s="30" t="str">
        <f>IFERROR(__xludf.DUMMYFUNCTION("""COMPUTED_VALUE"""),"")</f>
        <v/>
      </c>
      <c r="D424" s="30"/>
      <c r="E424" s="34" t="str">
        <f>IFERROR(__xludf.DUMMYFUNCTION("""COMPUTED_VALUE"""),"")</f>
        <v/>
      </c>
      <c r="F424" s="30"/>
      <c r="G424" s="34" t="str">
        <f>IFERROR(__xludf.DUMMYFUNCTION("""COMPUTED_VALUE"""),"")</f>
        <v/>
      </c>
      <c r="H424" s="34" t="str">
        <f>IFERROR(__xludf.DUMMYFUNCTION("""COMPUTED_VALUE"""),"")</f>
        <v/>
      </c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</row>
    <row r="425">
      <c r="A425" s="30"/>
      <c r="B425" s="30" t="str">
        <f>IFERROR(__xludf.DUMMYFUNCTION("""COMPUTED_VALUE"""),"")</f>
        <v/>
      </c>
      <c r="C425" s="30" t="str">
        <f>IFERROR(__xludf.DUMMYFUNCTION("""COMPUTED_VALUE"""),"")</f>
        <v/>
      </c>
      <c r="D425" s="30"/>
      <c r="E425" s="34" t="str">
        <f>IFERROR(__xludf.DUMMYFUNCTION("""COMPUTED_VALUE"""),"")</f>
        <v/>
      </c>
      <c r="F425" s="30"/>
      <c r="G425" s="34" t="str">
        <f>IFERROR(__xludf.DUMMYFUNCTION("""COMPUTED_VALUE"""),"")</f>
        <v/>
      </c>
      <c r="H425" s="34" t="str">
        <f>IFERROR(__xludf.DUMMYFUNCTION("""COMPUTED_VALUE"""),"")</f>
        <v/>
      </c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</row>
    <row r="426">
      <c r="A426" s="30"/>
      <c r="B426" s="30" t="str">
        <f>IFERROR(__xludf.DUMMYFUNCTION("""COMPUTED_VALUE"""),"")</f>
        <v/>
      </c>
      <c r="C426" s="30" t="str">
        <f>IFERROR(__xludf.DUMMYFUNCTION("""COMPUTED_VALUE"""),"")</f>
        <v/>
      </c>
      <c r="D426" s="30"/>
      <c r="E426" s="34" t="str">
        <f>IFERROR(__xludf.DUMMYFUNCTION("""COMPUTED_VALUE"""),"")</f>
        <v/>
      </c>
      <c r="F426" s="30"/>
      <c r="G426" s="34" t="str">
        <f>IFERROR(__xludf.DUMMYFUNCTION("""COMPUTED_VALUE"""),"")</f>
        <v/>
      </c>
      <c r="H426" s="34" t="str">
        <f>IFERROR(__xludf.DUMMYFUNCTION("""COMPUTED_VALUE"""),"")</f>
        <v/>
      </c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>
      <c r="A427" s="30"/>
      <c r="B427" s="30" t="str">
        <f>IFERROR(__xludf.DUMMYFUNCTION("""COMPUTED_VALUE"""),"")</f>
        <v/>
      </c>
      <c r="C427" s="30" t="str">
        <f>IFERROR(__xludf.DUMMYFUNCTION("""COMPUTED_VALUE"""),"")</f>
        <v/>
      </c>
      <c r="D427" s="30"/>
      <c r="E427" s="34" t="str">
        <f>IFERROR(__xludf.DUMMYFUNCTION("""COMPUTED_VALUE"""),"")</f>
        <v/>
      </c>
      <c r="F427" s="30"/>
      <c r="G427" s="34" t="str">
        <f>IFERROR(__xludf.DUMMYFUNCTION("""COMPUTED_VALUE"""),"")</f>
        <v/>
      </c>
      <c r="H427" s="34" t="str">
        <f>IFERROR(__xludf.DUMMYFUNCTION("""COMPUTED_VALUE"""),"")</f>
        <v/>
      </c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</row>
    <row r="428">
      <c r="A428" s="30"/>
      <c r="B428" s="30" t="str">
        <f>IFERROR(__xludf.DUMMYFUNCTION("""COMPUTED_VALUE"""),"")</f>
        <v/>
      </c>
      <c r="C428" s="30" t="str">
        <f>IFERROR(__xludf.DUMMYFUNCTION("""COMPUTED_VALUE"""),"")</f>
        <v/>
      </c>
      <c r="D428" s="30"/>
      <c r="E428" s="34" t="str">
        <f>IFERROR(__xludf.DUMMYFUNCTION("""COMPUTED_VALUE"""),"")</f>
        <v/>
      </c>
      <c r="F428" s="30"/>
      <c r="G428" s="34" t="str">
        <f>IFERROR(__xludf.DUMMYFUNCTION("""COMPUTED_VALUE"""),"")</f>
        <v/>
      </c>
      <c r="H428" s="34" t="str">
        <f>IFERROR(__xludf.DUMMYFUNCTION("""COMPUTED_VALUE"""),"")</f>
        <v/>
      </c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</row>
    <row r="429">
      <c r="A429" s="30"/>
      <c r="B429" s="30" t="str">
        <f>IFERROR(__xludf.DUMMYFUNCTION("""COMPUTED_VALUE"""),"")</f>
        <v/>
      </c>
      <c r="C429" s="30" t="str">
        <f>IFERROR(__xludf.DUMMYFUNCTION("""COMPUTED_VALUE"""),"")</f>
        <v/>
      </c>
      <c r="D429" s="30"/>
      <c r="E429" s="34" t="str">
        <f>IFERROR(__xludf.DUMMYFUNCTION("""COMPUTED_VALUE"""),"")</f>
        <v/>
      </c>
      <c r="F429" s="30"/>
      <c r="G429" s="34" t="str">
        <f>IFERROR(__xludf.DUMMYFUNCTION("""COMPUTED_VALUE"""),"")</f>
        <v/>
      </c>
      <c r="H429" s="34" t="str">
        <f>IFERROR(__xludf.DUMMYFUNCTION("""COMPUTED_VALUE"""),"")</f>
        <v/>
      </c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</row>
    <row r="430">
      <c r="A430" s="30"/>
      <c r="B430" s="30" t="str">
        <f>IFERROR(__xludf.DUMMYFUNCTION("""COMPUTED_VALUE"""),"")</f>
        <v/>
      </c>
      <c r="C430" s="30" t="str">
        <f>IFERROR(__xludf.DUMMYFUNCTION("""COMPUTED_VALUE"""),"")</f>
        <v/>
      </c>
      <c r="D430" s="30"/>
      <c r="E430" s="34" t="str">
        <f>IFERROR(__xludf.DUMMYFUNCTION("""COMPUTED_VALUE"""),"")</f>
        <v/>
      </c>
      <c r="F430" s="30"/>
      <c r="G430" s="34" t="str">
        <f>IFERROR(__xludf.DUMMYFUNCTION("""COMPUTED_VALUE"""),"")</f>
        <v/>
      </c>
      <c r="H430" s="34" t="str">
        <f>IFERROR(__xludf.DUMMYFUNCTION("""COMPUTED_VALUE"""),"")</f>
        <v/>
      </c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</row>
    <row r="431">
      <c r="A431" s="30"/>
      <c r="B431" s="30" t="str">
        <f>IFERROR(__xludf.DUMMYFUNCTION("""COMPUTED_VALUE"""),"")</f>
        <v/>
      </c>
      <c r="C431" s="30" t="str">
        <f>IFERROR(__xludf.DUMMYFUNCTION("""COMPUTED_VALUE"""),"")</f>
        <v/>
      </c>
      <c r="D431" s="30"/>
      <c r="E431" s="34" t="str">
        <f>IFERROR(__xludf.DUMMYFUNCTION("""COMPUTED_VALUE"""),"")</f>
        <v/>
      </c>
      <c r="F431" s="30"/>
      <c r="G431" s="34" t="str">
        <f>IFERROR(__xludf.DUMMYFUNCTION("""COMPUTED_VALUE"""),"")</f>
        <v/>
      </c>
      <c r="H431" s="34" t="str">
        <f>IFERROR(__xludf.DUMMYFUNCTION("""COMPUTED_VALUE"""),"")</f>
        <v/>
      </c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</row>
    <row r="432">
      <c r="A432" s="30"/>
      <c r="B432" s="30" t="str">
        <f>IFERROR(__xludf.DUMMYFUNCTION("""COMPUTED_VALUE"""),"")</f>
        <v/>
      </c>
      <c r="C432" s="30" t="str">
        <f>IFERROR(__xludf.DUMMYFUNCTION("""COMPUTED_VALUE"""),"")</f>
        <v/>
      </c>
      <c r="D432" s="30"/>
      <c r="E432" s="34" t="str">
        <f>IFERROR(__xludf.DUMMYFUNCTION("""COMPUTED_VALUE"""),"")</f>
        <v/>
      </c>
      <c r="F432" s="30"/>
      <c r="G432" s="34" t="str">
        <f>IFERROR(__xludf.DUMMYFUNCTION("""COMPUTED_VALUE"""),"")</f>
        <v/>
      </c>
      <c r="H432" s="34" t="str">
        <f>IFERROR(__xludf.DUMMYFUNCTION("""COMPUTED_VALUE"""),"")</f>
        <v/>
      </c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</row>
    <row r="433">
      <c r="A433" s="30"/>
      <c r="B433" s="30" t="str">
        <f>IFERROR(__xludf.DUMMYFUNCTION("""COMPUTED_VALUE"""),"")</f>
        <v/>
      </c>
      <c r="C433" s="30" t="str">
        <f>IFERROR(__xludf.DUMMYFUNCTION("""COMPUTED_VALUE"""),"")</f>
        <v/>
      </c>
      <c r="D433" s="30"/>
      <c r="E433" s="34" t="str">
        <f>IFERROR(__xludf.DUMMYFUNCTION("""COMPUTED_VALUE"""),"")</f>
        <v/>
      </c>
      <c r="F433" s="30"/>
      <c r="G433" s="34" t="str">
        <f>IFERROR(__xludf.DUMMYFUNCTION("""COMPUTED_VALUE"""),"")</f>
        <v/>
      </c>
      <c r="H433" s="34" t="str">
        <f>IFERROR(__xludf.DUMMYFUNCTION("""COMPUTED_VALUE"""),"")</f>
        <v/>
      </c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</row>
    <row r="434">
      <c r="A434" s="30"/>
      <c r="B434" s="30" t="str">
        <f>IFERROR(__xludf.DUMMYFUNCTION("""COMPUTED_VALUE"""),"")</f>
        <v/>
      </c>
      <c r="C434" s="30" t="str">
        <f>IFERROR(__xludf.DUMMYFUNCTION("""COMPUTED_VALUE"""),"")</f>
        <v/>
      </c>
      <c r="D434" s="30"/>
      <c r="E434" s="34" t="str">
        <f>IFERROR(__xludf.DUMMYFUNCTION("""COMPUTED_VALUE"""),"")</f>
        <v/>
      </c>
      <c r="F434" s="30"/>
      <c r="G434" s="34" t="str">
        <f>IFERROR(__xludf.DUMMYFUNCTION("""COMPUTED_VALUE"""),"")</f>
        <v/>
      </c>
      <c r="H434" s="34" t="str">
        <f>IFERROR(__xludf.DUMMYFUNCTION("""COMPUTED_VALUE"""),"")</f>
        <v/>
      </c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</row>
    <row r="435">
      <c r="A435" s="30"/>
      <c r="B435" s="30" t="str">
        <f>IFERROR(__xludf.DUMMYFUNCTION("""COMPUTED_VALUE"""),"")</f>
        <v/>
      </c>
      <c r="C435" s="30" t="str">
        <f>IFERROR(__xludf.DUMMYFUNCTION("""COMPUTED_VALUE"""),"")</f>
        <v/>
      </c>
      <c r="D435" s="30"/>
      <c r="E435" s="34" t="str">
        <f>IFERROR(__xludf.DUMMYFUNCTION("""COMPUTED_VALUE"""),"")</f>
        <v/>
      </c>
      <c r="F435" s="30"/>
      <c r="G435" s="34" t="str">
        <f>IFERROR(__xludf.DUMMYFUNCTION("""COMPUTED_VALUE"""),"")</f>
        <v/>
      </c>
      <c r="H435" s="34" t="str">
        <f>IFERROR(__xludf.DUMMYFUNCTION("""COMPUTED_VALUE"""),"")</f>
        <v/>
      </c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</row>
    <row r="436">
      <c r="A436" s="30"/>
      <c r="B436" s="30" t="str">
        <f>IFERROR(__xludf.DUMMYFUNCTION("""COMPUTED_VALUE"""),"")</f>
        <v/>
      </c>
      <c r="C436" s="30" t="str">
        <f>IFERROR(__xludf.DUMMYFUNCTION("""COMPUTED_VALUE"""),"")</f>
        <v/>
      </c>
      <c r="D436" s="30"/>
      <c r="E436" s="34" t="str">
        <f>IFERROR(__xludf.DUMMYFUNCTION("""COMPUTED_VALUE"""),"")</f>
        <v/>
      </c>
      <c r="F436" s="30"/>
      <c r="G436" s="34" t="str">
        <f>IFERROR(__xludf.DUMMYFUNCTION("""COMPUTED_VALUE"""),"")</f>
        <v/>
      </c>
      <c r="H436" s="34" t="str">
        <f>IFERROR(__xludf.DUMMYFUNCTION("""COMPUTED_VALUE"""),"")</f>
        <v/>
      </c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>
      <c r="A437" s="30"/>
      <c r="B437" s="30" t="str">
        <f>IFERROR(__xludf.DUMMYFUNCTION("""COMPUTED_VALUE"""),"")</f>
        <v/>
      </c>
      <c r="C437" s="30" t="str">
        <f>IFERROR(__xludf.DUMMYFUNCTION("""COMPUTED_VALUE"""),"")</f>
        <v/>
      </c>
      <c r="D437" s="30"/>
      <c r="E437" s="34" t="str">
        <f>IFERROR(__xludf.DUMMYFUNCTION("""COMPUTED_VALUE"""),"")</f>
        <v/>
      </c>
      <c r="F437" s="30"/>
      <c r="G437" s="34" t="str">
        <f>IFERROR(__xludf.DUMMYFUNCTION("""COMPUTED_VALUE"""),"")</f>
        <v/>
      </c>
      <c r="H437" s="34" t="str">
        <f>IFERROR(__xludf.DUMMYFUNCTION("""COMPUTED_VALUE"""),"")</f>
        <v/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</row>
    <row r="438">
      <c r="A438" s="30"/>
      <c r="B438" s="30" t="str">
        <f>IFERROR(__xludf.DUMMYFUNCTION("""COMPUTED_VALUE"""),"")</f>
        <v/>
      </c>
      <c r="C438" s="30" t="str">
        <f>IFERROR(__xludf.DUMMYFUNCTION("""COMPUTED_VALUE"""),"")</f>
        <v/>
      </c>
      <c r="D438" s="30"/>
      <c r="E438" s="34" t="str">
        <f>IFERROR(__xludf.DUMMYFUNCTION("""COMPUTED_VALUE"""),"")</f>
        <v/>
      </c>
      <c r="F438" s="30"/>
      <c r="G438" s="34" t="str">
        <f>IFERROR(__xludf.DUMMYFUNCTION("""COMPUTED_VALUE"""),"")</f>
        <v/>
      </c>
      <c r="H438" s="34" t="str">
        <f>IFERROR(__xludf.DUMMYFUNCTION("""COMPUTED_VALUE"""),"")</f>
        <v/>
      </c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</row>
    <row r="439">
      <c r="A439" s="30"/>
      <c r="B439" s="30" t="str">
        <f>IFERROR(__xludf.DUMMYFUNCTION("""COMPUTED_VALUE"""),"")</f>
        <v/>
      </c>
      <c r="C439" s="30" t="str">
        <f>IFERROR(__xludf.DUMMYFUNCTION("""COMPUTED_VALUE"""),"")</f>
        <v/>
      </c>
      <c r="D439" s="30"/>
      <c r="E439" s="34" t="str">
        <f>IFERROR(__xludf.DUMMYFUNCTION("""COMPUTED_VALUE"""),"")</f>
        <v/>
      </c>
      <c r="F439" s="30"/>
      <c r="G439" s="34" t="str">
        <f>IFERROR(__xludf.DUMMYFUNCTION("""COMPUTED_VALUE"""),"")</f>
        <v/>
      </c>
      <c r="H439" s="34" t="str">
        <f>IFERROR(__xludf.DUMMYFUNCTION("""COMPUTED_VALUE"""),"")</f>
        <v/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</row>
    <row r="440">
      <c r="A440" s="30"/>
      <c r="B440" s="30" t="str">
        <f>IFERROR(__xludf.DUMMYFUNCTION("""COMPUTED_VALUE"""),"")</f>
        <v/>
      </c>
      <c r="C440" s="30" t="str">
        <f>IFERROR(__xludf.DUMMYFUNCTION("""COMPUTED_VALUE"""),"")</f>
        <v/>
      </c>
      <c r="D440" s="30"/>
      <c r="E440" s="34" t="str">
        <f>IFERROR(__xludf.DUMMYFUNCTION("""COMPUTED_VALUE"""),"")</f>
        <v/>
      </c>
      <c r="F440" s="30"/>
      <c r="G440" s="34" t="str">
        <f>IFERROR(__xludf.DUMMYFUNCTION("""COMPUTED_VALUE"""),"")</f>
        <v/>
      </c>
      <c r="H440" s="34" t="str">
        <f>IFERROR(__xludf.DUMMYFUNCTION("""COMPUTED_VALUE"""),"")</f>
        <v/>
      </c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</row>
    <row r="441">
      <c r="A441" s="30"/>
      <c r="B441" s="30" t="str">
        <f>IFERROR(__xludf.DUMMYFUNCTION("""COMPUTED_VALUE"""),"")</f>
        <v/>
      </c>
      <c r="C441" s="30" t="str">
        <f>IFERROR(__xludf.DUMMYFUNCTION("""COMPUTED_VALUE"""),"")</f>
        <v/>
      </c>
      <c r="D441" s="30"/>
      <c r="E441" s="34" t="str">
        <f>IFERROR(__xludf.DUMMYFUNCTION("""COMPUTED_VALUE"""),"")</f>
        <v/>
      </c>
      <c r="F441" s="30"/>
      <c r="G441" s="34" t="str">
        <f>IFERROR(__xludf.DUMMYFUNCTION("""COMPUTED_VALUE"""),"")</f>
        <v/>
      </c>
      <c r="H441" s="34" t="str">
        <f>IFERROR(__xludf.DUMMYFUNCTION("""COMPUTED_VALUE"""),"")</f>
        <v/>
      </c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</row>
    <row r="442">
      <c r="A442" s="30"/>
      <c r="B442" s="30" t="str">
        <f>IFERROR(__xludf.DUMMYFUNCTION("""COMPUTED_VALUE"""),"")</f>
        <v/>
      </c>
      <c r="C442" s="30" t="str">
        <f>IFERROR(__xludf.DUMMYFUNCTION("""COMPUTED_VALUE"""),"")</f>
        <v/>
      </c>
      <c r="D442" s="30"/>
      <c r="E442" s="34" t="str">
        <f>IFERROR(__xludf.DUMMYFUNCTION("""COMPUTED_VALUE"""),"")</f>
        <v/>
      </c>
      <c r="F442" s="30"/>
      <c r="G442" s="34" t="str">
        <f>IFERROR(__xludf.DUMMYFUNCTION("""COMPUTED_VALUE"""),"")</f>
        <v/>
      </c>
      <c r="H442" s="34" t="str">
        <f>IFERROR(__xludf.DUMMYFUNCTION("""COMPUTED_VALUE"""),"")</f>
        <v/>
      </c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>
      <c r="A443" s="30"/>
      <c r="B443" s="30" t="str">
        <f>IFERROR(__xludf.DUMMYFUNCTION("""COMPUTED_VALUE"""),"")</f>
        <v/>
      </c>
      <c r="C443" s="30" t="str">
        <f>IFERROR(__xludf.DUMMYFUNCTION("""COMPUTED_VALUE"""),"")</f>
        <v/>
      </c>
      <c r="D443" s="30"/>
      <c r="E443" s="34" t="str">
        <f>IFERROR(__xludf.DUMMYFUNCTION("""COMPUTED_VALUE"""),"")</f>
        <v/>
      </c>
      <c r="F443" s="30"/>
      <c r="G443" s="34" t="str">
        <f>IFERROR(__xludf.DUMMYFUNCTION("""COMPUTED_VALUE"""),"")</f>
        <v/>
      </c>
      <c r="H443" s="34" t="str">
        <f>IFERROR(__xludf.DUMMYFUNCTION("""COMPUTED_VALUE"""),"")</f>
        <v/>
      </c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</row>
    <row r="444">
      <c r="A444" s="30"/>
      <c r="B444" s="30" t="str">
        <f>IFERROR(__xludf.DUMMYFUNCTION("""COMPUTED_VALUE"""),"")</f>
        <v/>
      </c>
      <c r="C444" s="30" t="str">
        <f>IFERROR(__xludf.DUMMYFUNCTION("""COMPUTED_VALUE"""),"")</f>
        <v/>
      </c>
      <c r="D444" s="30"/>
      <c r="E444" s="34" t="str">
        <f>IFERROR(__xludf.DUMMYFUNCTION("""COMPUTED_VALUE"""),"")</f>
        <v/>
      </c>
      <c r="F444" s="30"/>
      <c r="G444" s="34" t="str">
        <f>IFERROR(__xludf.DUMMYFUNCTION("""COMPUTED_VALUE"""),"")</f>
        <v/>
      </c>
      <c r="H444" s="34" t="str">
        <f>IFERROR(__xludf.DUMMYFUNCTION("""COMPUTED_VALUE"""),"")</f>
        <v/>
      </c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</row>
    <row r="445">
      <c r="A445" s="30"/>
      <c r="B445" s="30" t="str">
        <f>IFERROR(__xludf.DUMMYFUNCTION("""COMPUTED_VALUE"""),"")</f>
        <v/>
      </c>
      <c r="C445" s="30" t="str">
        <f>IFERROR(__xludf.DUMMYFUNCTION("""COMPUTED_VALUE"""),"")</f>
        <v/>
      </c>
      <c r="D445" s="30"/>
      <c r="E445" s="34" t="str">
        <f>IFERROR(__xludf.DUMMYFUNCTION("""COMPUTED_VALUE"""),"")</f>
        <v/>
      </c>
      <c r="F445" s="30"/>
      <c r="G445" s="34" t="str">
        <f>IFERROR(__xludf.DUMMYFUNCTION("""COMPUTED_VALUE"""),"")</f>
        <v/>
      </c>
      <c r="H445" s="34" t="str">
        <f>IFERROR(__xludf.DUMMYFUNCTION("""COMPUTED_VALUE"""),"")</f>
        <v/>
      </c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</row>
    <row r="446">
      <c r="A446" s="30"/>
      <c r="B446" s="30" t="str">
        <f>IFERROR(__xludf.DUMMYFUNCTION("""COMPUTED_VALUE"""),"")</f>
        <v/>
      </c>
      <c r="C446" s="30" t="str">
        <f>IFERROR(__xludf.DUMMYFUNCTION("""COMPUTED_VALUE"""),"")</f>
        <v/>
      </c>
      <c r="D446" s="30"/>
      <c r="E446" s="34" t="str">
        <f>IFERROR(__xludf.DUMMYFUNCTION("""COMPUTED_VALUE"""),"")</f>
        <v/>
      </c>
      <c r="F446" s="30"/>
      <c r="G446" s="34" t="str">
        <f>IFERROR(__xludf.DUMMYFUNCTION("""COMPUTED_VALUE"""),"")</f>
        <v/>
      </c>
      <c r="H446" s="34" t="str">
        <f>IFERROR(__xludf.DUMMYFUNCTION("""COMPUTED_VALUE"""),"")</f>
        <v/>
      </c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</row>
    <row r="447">
      <c r="A447" s="30"/>
      <c r="B447" s="30" t="str">
        <f>IFERROR(__xludf.DUMMYFUNCTION("""COMPUTED_VALUE"""),"")</f>
        <v/>
      </c>
      <c r="C447" s="30" t="str">
        <f>IFERROR(__xludf.DUMMYFUNCTION("""COMPUTED_VALUE"""),"")</f>
        <v/>
      </c>
      <c r="D447" s="30"/>
      <c r="E447" s="34" t="str">
        <f>IFERROR(__xludf.DUMMYFUNCTION("""COMPUTED_VALUE"""),"")</f>
        <v/>
      </c>
      <c r="F447" s="30"/>
      <c r="G447" s="34" t="str">
        <f>IFERROR(__xludf.DUMMYFUNCTION("""COMPUTED_VALUE"""),"")</f>
        <v/>
      </c>
      <c r="H447" s="34" t="str">
        <f>IFERROR(__xludf.DUMMYFUNCTION("""COMPUTED_VALUE"""),"")</f>
        <v/>
      </c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</row>
    <row r="448">
      <c r="A448" s="30"/>
      <c r="B448" s="30" t="str">
        <f>IFERROR(__xludf.DUMMYFUNCTION("""COMPUTED_VALUE"""),"")</f>
        <v/>
      </c>
      <c r="C448" s="30" t="str">
        <f>IFERROR(__xludf.DUMMYFUNCTION("""COMPUTED_VALUE"""),"")</f>
        <v/>
      </c>
      <c r="D448" s="30"/>
      <c r="E448" s="34" t="str">
        <f>IFERROR(__xludf.DUMMYFUNCTION("""COMPUTED_VALUE"""),"")</f>
        <v/>
      </c>
      <c r="F448" s="30"/>
      <c r="G448" s="34" t="str">
        <f>IFERROR(__xludf.DUMMYFUNCTION("""COMPUTED_VALUE"""),"")</f>
        <v/>
      </c>
      <c r="H448" s="34" t="str">
        <f>IFERROR(__xludf.DUMMYFUNCTION("""COMPUTED_VALUE"""),"")</f>
        <v/>
      </c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</row>
    <row r="449">
      <c r="A449" s="30"/>
      <c r="B449" s="30" t="str">
        <f>IFERROR(__xludf.DUMMYFUNCTION("""COMPUTED_VALUE"""),"")</f>
        <v/>
      </c>
      <c r="C449" s="30" t="str">
        <f>IFERROR(__xludf.DUMMYFUNCTION("""COMPUTED_VALUE"""),"")</f>
        <v/>
      </c>
      <c r="D449" s="30"/>
      <c r="E449" s="34" t="str">
        <f>IFERROR(__xludf.DUMMYFUNCTION("""COMPUTED_VALUE"""),"")</f>
        <v/>
      </c>
      <c r="F449" s="30"/>
      <c r="G449" s="34" t="str">
        <f>IFERROR(__xludf.DUMMYFUNCTION("""COMPUTED_VALUE"""),"")</f>
        <v/>
      </c>
      <c r="H449" s="34" t="str">
        <f>IFERROR(__xludf.DUMMYFUNCTION("""COMPUTED_VALUE"""),"")</f>
        <v/>
      </c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</row>
    <row r="450">
      <c r="A450" s="30"/>
      <c r="B450" s="30" t="str">
        <f>IFERROR(__xludf.DUMMYFUNCTION("""COMPUTED_VALUE"""),"")</f>
        <v/>
      </c>
      <c r="C450" s="30" t="str">
        <f>IFERROR(__xludf.DUMMYFUNCTION("""COMPUTED_VALUE"""),"")</f>
        <v/>
      </c>
      <c r="D450" s="30"/>
      <c r="E450" s="34" t="str">
        <f>IFERROR(__xludf.DUMMYFUNCTION("""COMPUTED_VALUE"""),"")</f>
        <v/>
      </c>
      <c r="F450" s="30"/>
      <c r="G450" s="34" t="str">
        <f>IFERROR(__xludf.DUMMYFUNCTION("""COMPUTED_VALUE"""),"")</f>
        <v/>
      </c>
      <c r="H450" s="34" t="str">
        <f>IFERROR(__xludf.DUMMYFUNCTION("""COMPUTED_VALUE"""),"")</f>
        <v/>
      </c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</row>
    <row r="451">
      <c r="A451" s="30"/>
      <c r="B451" s="30" t="str">
        <f>IFERROR(__xludf.DUMMYFUNCTION("""COMPUTED_VALUE"""),"")</f>
        <v/>
      </c>
      <c r="C451" s="30" t="str">
        <f>IFERROR(__xludf.DUMMYFUNCTION("""COMPUTED_VALUE"""),"")</f>
        <v/>
      </c>
      <c r="D451" s="30"/>
      <c r="E451" s="34" t="str">
        <f>IFERROR(__xludf.DUMMYFUNCTION("""COMPUTED_VALUE"""),"")</f>
        <v/>
      </c>
      <c r="F451" s="30"/>
      <c r="G451" s="34" t="str">
        <f>IFERROR(__xludf.DUMMYFUNCTION("""COMPUTED_VALUE"""),"")</f>
        <v/>
      </c>
      <c r="H451" s="34" t="str">
        <f>IFERROR(__xludf.DUMMYFUNCTION("""COMPUTED_VALUE"""),"")</f>
        <v/>
      </c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</row>
    <row r="452">
      <c r="A452" s="30"/>
      <c r="B452" s="30" t="str">
        <f>IFERROR(__xludf.DUMMYFUNCTION("""COMPUTED_VALUE"""),"")</f>
        <v/>
      </c>
      <c r="C452" s="30" t="str">
        <f>IFERROR(__xludf.DUMMYFUNCTION("""COMPUTED_VALUE"""),"")</f>
        <v/>
      </c>
      <c r="D452" s="30"/>
      <c r="E452" s="34" t="str">
        <f>IFERROR(__xludf.DUMMYFUNCTION("""COMPUTED_VALUE"""),"")</f>
        <v/>
      </c>
      <c r="F452" s="30"/>
      <c r="G452" s="34" t="str">
        <f>IFERROR(__xludf.DUMMYFUNCTION("""COMPUTED_VALUE"""),"")</f>
        <v/>
      </c>
      <c r="H452" s="34" t="str">
        <f>IFERROR(__xludf.DUMMYFUNCTION("""COMPUTED_VALUE"""),"")</f>
        <v/>
      </c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</row>
    <row r="453">
      <c r="A453" s="30"/>
      <c r="B453" s="30" t="str">
        <f>IFERROR(__xludf.DUMMYFUNCTION("""COMPUTED_VALUE"""),"")</f>
        <v/>
      </c>
      <c r="C453" s="30" t="str">
        <f>IFERROR(__xludf.DUMMYFUNCTION("""COMPUTED_VALUE"""),"")</f>
        <v/>
      </c>
      <c r="D453" s="30"/>
      <c r="E453" s="34" t="str">
        <f>IFERROR(__xludf.DUMMYFUNCTION("""COMPUTED_VALUE"""),"")</f>
        <v/>
      </c>
      <c r="F453" s="30"/>
      <c r="G453" s="34" t="str">
        <f>IFERROR(__xludf.DUMMYFUNCTION("""COMPUTED_VALUE"""),"")</f>
        <v/>
      </c>
      <c r="H453" s="34" t="str">
        <f>IFERROR(__xludf.DUMMYFUNCTION("""COMPUTED_VALUE"""),"")</f>
        <v/>
      </c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</row>
    <row r="454">
      <c r="A454" s="30"/>
      <c r="B454" s="30" t="str">
        <f>IFERROR(__xludf.DUMMYFUNCTION("""COMPUTED_VALUE"""),"")</f>
        <v/>
      </c>
      <c r="C454" s="30" t="str">
        <f>IFERROR(__xludf.DUMMYFUNCTION("""COMPUTED_VALUE"""),"")</f>
        <v/>
      </c>
      <c r="D454" s="30"/>
      <c r="E454" s="34" t="str">
        <f>IFERROR(__xludf.DUMMYFUNCTION("""COMPUTED_VALUE"""),"")</f>
        <v/>
      </c>
      <c r="F454" s="30"/>
      <c r="G454" s="34" t="str">
        <f>IFERROR(__xludf.DUMMYFUNCTION("""COMPUTED_VALUE"""),"")</f>
        <v/>
      </c>
      <c r="H454" s="34" t="str">
        <f>IFERROR(__xludf.DUMMYFUNCTION("""COMPUTED_VALUE"""),"")</f>
        <v/>
      </c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</row>
    <row r="455">
      <c r="A455" s="30"/>
      <c r="B455" s="30" t="str">
        <f>IFERROR(__xludf.DUMMYFUNCTION("""COMPUTED_VALUE"""),"")</f>
        <v/>
      </c>
      <c r="C455" s="30" t="str">
        <f>IFERROR(__xludf.DUMMYFUNCTION("""COMPUTED_VALUE"""),"")</f>
        <v/>
      </c>
      <c r="D455" s="30"/>
      <c r="E455" s="34" t="str">
        <f>IFERROR(__xludf.DUMMYFUNCTION("""COMPUTED_VALUE"""),"")</f>
        <v/>
      </c>
      <c r="F455" s="30"/>
      <c r="G455" s="34" t="str">
        <f>IFERROR(__xludf.DUMMYFUNCTION("""COMPUTED_VALUE"""),"")</f>
        <v/>
      </c>
      <c r="H455" s="34" t="str">
        <f>IFERROR(__xludf.DUMMYFUNCTION("""COMPUTED_VALUE"""),"")</f>
        <v/>
      </c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</row>
    <row r="456">
      <c r="A456" s="30"/>
      <c r="B456" s="30" t="str">
        <f>IFERROR(__xludf.DUMMYFUNCTION("""COMPUTED_VALUE"""),"")</f>
        <v/>
      </c>
      <c r="C456" s="30" t="str">
        <f>IFERROR(__xludf.DUMMYFUNCTION("""COMPUTED_VALUE"""),"")</f>
        <v/>
      </c>
      <c r="D456" s="30"/>
      <c r="E456" s="34" t="str">
        <f>IFERROR(__xludf.DUMMYFUNCTION("""COMPUTED_VALUE"""),"")</f>
        <v/>
      </c>
      <c r="F456" s="30"/>
      <c r="G456" s="34" t="str">
        <f>IFERROR(__xludf.DUMMYFUNCTION("""COMPUTED_VALUE"""),"")</f>
        <v/>
      </c>
      <c r="H456" s="34" t="str">
        <f>IFERROR(__xludf.DUMMYFUNCTION("""COMPUTED_VALUE"""),"")</f>
        <v/>
      </c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</row>
    <row r="457">
      <c r="A457" s="30"/>
      <c r="B457" s="30" t="str">
        <f>IFERROR(__xludf.DUMMYFUNCTION("""COMPUTED_VALUE"""),"")</f>
        <v/>
      </c>
      <c r="C457" s="30" t="str">
        <f>IFERROR(__xludf.DUMMYFUNCTION("""COMPUTED_VALUE"""),"")</f>
        <v/>
      </c>
      <c r="D457" s="30"/>
      <c r="E457" s="34" t="str">
        <f>IFERROR(__xludf.DUMMYFUNCTION("""COMPUTED_VALUE"""),"")</f>
        <v/>
      </c>
      <c r="F457" s="30"/>
      <c r="G457" s="34" t="str">
        <f>IFERROR(__xludf.DUMMYFUNCTION("""COMPUTED_VALUE"""),"")</f>
        <v/>
      </c>
      <c r="H457" s="34" t="str">
        <f>IFERROR(__xludf.DUMMYFUNCTION("""COMPUTED_VALUE"""),"")</f>
        <v/>
      </c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</row>
    <row r="458">
      <c r="A458" s="30"/>
      <c r="B458" s="30" t="str">
        <f>IFERROR(__xludf.DUMMYFUNCTION("""COMPUTED_VALUE"""),"")</f>
        <v/>
      </c>
      <c r="C458" s="30" t="str">
        <f>IFERROR(__xludf.DUMMYFUNCTION("""COMPUTED_VALUE"""),"")</f>
        <v/>
      </c>
      <c r="D458" s="30"/>
      <c r="E458" s="34" t="str">
        <f>IFERROR(__xludf.DUMMYFUNCTION("""COMPUTED_VALUE"""),"")</f>
        <v/>
      </c>
      <c r="F458" s="30"/>
      <c r="G458" s="34" t="str">
        <f>IFERROR(__xludf.DUMMYFUNCTION("""COMPUTED_VALUE"""),"")</f>
        <v/>
      </c>
      <c r="H458" s="34" t="str">
        <f>IFERROR(__xludf.DUMMYFUNCTION("""COMPUTED_VALUE"""),"")</f>
        <v/>
      </c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</row>
    <row r="459">
      <c r="A459" s="30"/>
      <c r="B459" s="30" t="str">
        <f>IFERROR(__xludf.DUMMYFUNCTION("""COMPUTED_VALUE"""),"")</f>
        <v/>
      </c>
      <c r="C459" s="30" t="str">
        <f>IFERROR(__xludf.DUMMYFUNCTION("""COMPUTED_VALUE"""),"")</f>
        <v/>
      </c>
      <c r="D459" s="30"/>
      <c r="E459" s="34" t="str">
        <f>IFERROR(__xludf.DUMMYFUNCTION("""COMPUTED_VALUE"""),"")</f>
        <v/>
      </c>
      <c r="F459" s="30"/>
      <c r="G459" s="34" t="str">
        <f>IFERROR(__xludf.DUMMYFUNCTION("""COMPUTED_VALUE"""),"")</f>
        <v/>
      </c>
      <c r="H459" s="34" t="str">
        <f>IFERROR(__xludf.DUMMYFUNCTION("""COMPUTED_VALUE"""),"")</f>
        <v/>
      </c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</row>
    <row r="460">
      <c r="A460" s="30"/>
      <c r="B460" s="30" t="str">
        <f>IFERROR(__xludf.DUMMYFUNCTION("""COMPUTED_VALUE"""),"")</f>
        <v/>
      </c>
      <c r="C460" s="30" t="str">
        <f>IFERROR(__xludf.DUMMYFUNCTION("""COMPUTED_VALUE"""),"")</f>
        <v/>
      </c>
      <c r="D460" s="30"/>
      <c r="E460" s="34" t="str">
        <f>IFERROR(__xludf.DUMMYFUNCTION("""COMPUTED_VALUE"""),"")</f>
        <v/>
      </c>
      <c r="F460" s="30"/>
      <c r="G460" s="34" t="str">
        <f>IFERROR(__xludf.DUMMYFUNCTION("""COMPUTED_VALUE"""),"")</f>
        <v/>
      </c>
      <c r="H460" s="34" t="str">
        <f>IFERROR(__xludf.DUMMYFUNCTION("""COMPUTED_VALUE"""),"")</f>
        <v/>
      </c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</row>
    <row r="461">
      <c r="A461" s="30"/>
      <c r="B461" s="30" t="str">
        <f>IFERROR(__xludf.DUMMYFUNCTION("""COMPUTED_VALUE"""),"")</f>
        <v/>
      </c>
      <c r="C461" s="30" t="str">
        <f>IFERROR(__xludf.DUMMYFUNCTION("""COMPUTED_VALUE"""),"")</f>
        <v/>
      </c>
      <c r="D461" s="30"/>
      <c r="E461" s="34" t="str">
        <f>IFERROR(__xludf.DUMMYFUNCTION("""COMPUTED_VALUE"""),"")</f>
        <v/>
      </c>
      <c r="F461" s="30"/>
      <c r="G461" s="34" t="str">
        <f>IFERROR(__xludf.DUMMYFUNCTION("""COMPUTED_VALUE"""),"")</f>
        <v/>
      </c>
      <c r="H461" s="34" t="str">
        <f>IFERROR(__xludf.DUMMYFUNCTION("""COMPUTED_VALUE"""),"")</f>
        <v/>
      </c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</row>
    <row r="462">
      <c r="A462" s="30"/>
      <c r="B462" s="30" t="str">
        <f>IFERROR(__xludf.DUMMYFUNCTION("""COMPUTED_VALUE"""),"")</f>
        <v/>
      </c>
      <c r="C462" s="30" t="str">
        <f>IFERROR(__xludf.DUMMYFUNCTION("""COMPUTED_VALUE"""),"")</f>
        <v/>
      </c>
      <c r="D462" s="30"/>
      <c r="E462" s="34" t="str">
        <f>IFERROR(__xludf.DUMMYFUNCTION("""COMPUTED_VALUE"""),"")</f>
        <v/>
      </c>
      <c r="F462" s="30"/>
      <c r="G462" s="34" t="str">
        <f>IFERROR(__xludf.DUMMYFUNCTION("""COMPUTED_VALUE"""),"")</f>
        <v/>
      </c>
      <c r="H462" s="34" t="str">
        <f>IFERROR(__xludf.DUMMYFUNCTION("""COMPUTED_VALUE"""),"")</f>
        <v/>
      </c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</row>
    <row r="463">
      <c r="A463" s="30"/>
      <c r="B463" s="30" t="str">
        <f>IFERROR(__xludf.DUMMYFUNCTION("""COMPUTED_VALUE"""),"")</f>
        <v/>
      </c>
      <c r="C463" s="30" t="str">
        <f>IFERROR(__xludf.DUMMYFUNCTION("""COMPUTED_VALUE"""),"")</f>
        <v/>
      </c>
      <c r="D463" s="30"/>
      <c r="E463" s="34" t="str">
        <f>IFERROR(__xludf.DUMMYFUNCTION("""COMPUTED_VALUE"""),"")</f>
        <v/>
      </c>
      <c r="F463" s="30"/>
      <c r="G463" s="34" t="str">
        <f>IFERROR(__xludf.DUMMYFUNCTION("""COMPUTED_VALUE"""),"")</f>
        <v/>
      </c>
      <c r="H463" s="34" t="str">
        <f>IFERROR(__xludf.DUMMYFUNCTION("""COMPUTED_VALUE"""),"")</f>
        <v/>
      </c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</row>
    <row r="464">
      <c r="A464" s="30"/>
      <c r="B464" s="30" t="str">
        <f>IFERROR(__xludf.DUMMYFUNCTION("""COMPUTED_VALUE"""),"")</f>
        <v/>
      </c>
      <c r="C464" s="30" t="str">
        <f>IFERROR(__xludf.DUMMYFUNCTION("""COMPUTED_VALUE"""),"")</f>
        <v/>
      </c>
      <c r="D464" s="30"/>
      <c r="E464" s="34" t="str">
        <f>IFERROR(__xludf.DUMMYFUNCTION("""COMPUTED_VALUE"""),"")</f>
        <v/>
      </c>
      <c r="F464" s="30"/>
      <c r="G464" s="34" t="str">
        <f>IFERROR(__xludf.DUMMYFUNCTION("""COMPUTED_VALUE"""),"")</f>
        <v/>
      </c>
      <c r="H464" s="34" t="str">
        <f>IFERROR(__xludf.DUMMYFUNCTION("""COMPUTED_VALUE"""),"")</f>
        <v/>
      </c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</row>
    <row r="465">
      <c r="A465" s="30"/>
      <c r="B465" s="30" t="str">
        <f>IFERROR(__xludf.DUMMYFUNCTION("""COMPUTED_VALUE"""),"")</f>
        <v/>
      </c>
      <c r="C465" s="30" t="str">
        <f>IFERROR(__xludf.DUMMYFUNCTION("""COMPUTED_VALUE"""),"")</f>
        <v/>
      </c>
      <c r="D465" s="30"/>
      <c r="E465" s="34" t="str">
        <f>IFERROR(__xludf.DUMMYFUNCTION("""COMPUTED_VALUE"""),"")</f>
        <v/>
      </c>
      <c r="F465" s="30"/>
      <c r="G465" s="34" t="str">
        <f>IFERROR(__xludf.DUMMYFUNCTION("""COMPUTED_VALUE"""),"")</f>
        <v/>
      </c>
      <c r="H465" s="34" t="str">
        <f>IFERROR(__xludf.DUMMYFUNCTION("""COMPUTED_VALUE"""),"")</f>
        <v/>
      </c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</row>
    <row r="466">
      <c r="A466" s="30"/>
      <c r="B466" s="30" t="str">
        <f>IFERROR(__xludf.DUMMYFUNCTION("""COMPUTED_VALUE"""),"")</f>
        <v/>
      </c>
      <c r="C466" s="30" t="str">
        <f>IFERROR(__xludf.DUMMYFUNCTION("""COMPUTED_VALUE"""),"")</f>
        <v/>
      </c>
      <c r="D466" s="30"/>
      <c r="E466" s="34" t="str">
        <f>IFERROR(__xludf.DUMMYFUNCTION("""COMPUTED_VALUE"""),"")</f>
        <v/>
      </c>
      <c r="F466" s="30"/>
      <c r="G466" s="34" t="str">
        <f>IFERROR(__xludf.DUMMYFUNCTION("""COMPUTED_VALUE"""),"")</f>
        <v/>
      </c>
      <c r="H466" s="34" t="str">
        <f>IFERROR(__xludf.DUMMYFUNCTION("""COMPUTED_VALUE"""),"")</f>
        <v/>
      </c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</row>
    <row r="467">
      <c r="A467" s="30"/>
      <c r="B467" s="30" t="str">
        <f>IFERROR(__xludf.DUMMYFUNCTION("""COMPUTED_VALUE"""),"")</f>
        <v/>
      </c>
      <c r="C467" s="30" t="str">
        <f>IFERROR(__xludf.DUMMYFUNCTION("""COMPUTED_VALUE"""),"")</f>
        <v/>
      </c>
      <c r="D467" s="30"/>
      <c r="E467" s="34" t="str">
        <f>IFERROR(__xludf.DUMMYFUNCTION("""COMPUTED_VALUE"""),"")</f>
        <v/>
      </c>
      <c r="F467" s="30"/>
      <c r="G467" s="34" t="str">
        <f>IFERROR(__xludf.DUMMYFUNCTION("""COMPUTED_VALUE"""),"")</f>
        <v/>
      </c>
      <c r="H467" s="34" t="str">
        <f>IFERROR(__xludf.DUMMYFUNCTION("""COMPUTED_VALUE"""),"")</f>
        <v/>
      </c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</row>
    <row r="468">
      <c r="A468" s="30"/>
      <c r="B468" s="30" t="str">
        <f>IFERROR(__xludf.DUMMYFUNCTION("""COMPUTED_VALUE"""),"")</f>
        <v/>
      </c>
      <c r="C468" s="30" t="str">
        <f>IFERROR(__xludf.DUMMYFUNCTION("""COMPUTED_VALUE"""),"")</f>
        <v/>
      </c>
      <c r="D468" s="30"/>
      <c r="E468" s="34" t="str">
        <f>IFERROR(__xludf.DUMMYFUNCTION("""COMPUTED_VALUE"""),"")</f>
        <v/>
      </c>
      <c r="F468" s="30"/>
      <c r="G468" s="34" t="str">
        <f>IFERROR(__xludf.DUMMYFUNCTION("""COMPUTED_VALUE"""),"")</f>
        <v/>
      </c>
      <c r="H468" s="34" t="str">
        <f>IFERROR(__xludf.DUMMYFUNCTION("""COMPUTED_VALUE"""),"")</f>
        <v/>
      </c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</row>
    <row r="469">
      <c r="A469" s="30"/>
      <c r="B469" s="30" t="str">
        <f>IFERROR(__xludf.DUMMYFUNCTION("""COMPUTED_VALUE"""),"")</f>
        <v/>
      </c>
      <c r="C469" s="30" t="str">
        <f>IFERROR(__xludf.DUMMYFUNCTION("""COMPUTED_VALUE"""),"")</f>
        <v/>
      </c>
      <c r="D469" s="30"/>
      <c r="E469" s="34" t="str">
        <f>IFERROR(__xludf.DUMMYFUNCTION("""COMPUTED_VALUE"""),"")</f>
        <v/>
      </c>
      <c r="F469" s="30"/>
      <c r="G469" s="34" t="str">
        <f>IFERROR(__xludf.DUMMYFUNCTION("""COMPUTED_VALUE"""),"")</f>
        <v/>
      </c>
      <c r="H469" s="34" t="str">
        <f>IFERROR(__xludf.DUMMYFUNCTION("""COMPUTED_VALUE"""),"")</f>
        <v/>
      </c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</row>
    <row r="470">
      <c r="A470" s="30"/>
      <c r="B470" s="30" t="str">
        <f>IFERROR(__xludf.DUMMYFUNCTION("""COMPUTED_VALUE"""),"")</f>
        <v/>
      </c>
      <c r="C470" s="30" t="str">
        <f>IFERROR(__xludf.DUMMYFUNCTION("""COMPUTED_VALUE"""),"")</f>
        <v/>
      </c>
      <c r="D470" s="30"/>
      <c r="E470" s="34" t="str">
        <f>IFERROR(__xludf.DUMMYFUNCTION("""COMPUTED_VALUE"""),"")</f>
        <v/>
      </c>
      <c r="F470" s="30"/>
      <c r="G470" s="34" t="str">
        <f>IFERROR(__xludf.DUMMYFUNCTION("""COMPUTED_VALUE"""),"")</f>
        <v/>
      </c>
      <c r="H470" s="34" t="str">
        <f>IFERROR(__xludf.DUMMYFUNCTION("""COMPUTED_VALUE"""),"")</f>
        <v/>
      </c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</row>
    <row r="471">
      <c r="A471" s="30"/>
      <c r="B471" s="30" t="str">
        <f>IFERROR(__xludf.DUMMYFUNCTION("""COMPUTED_VALUE"""),"")</f>
        <v/>
      </c>
      <c r="C471" s="30" t="str">
        <f>IFERROR(__xludf.DUMMYFUNCTION("""COMPUTED_VALUE"""),"")</f>
        <v/>
      </c>
      <c r="D471" s="30"/>
      <c r="E471" s="34" t="str">
        <f>IFERROR(__xludf.DUMMYFUNCTION("""COMPUTED_VALUE"""),"")</f>
        <v/>
      </c>
      <c r="F471" s="30"/>
      <c r="G471" s="34" t="str">
        <f>IFERROR(__xludf.DUMMYFUNCTION("""COMPUTED_VALUE"""),"")</f>
        <v/>
      </c>
      <c r="H471" s="34" t="str">
        <f>IFERROR(__xludf.DUMMYFUNCTION("""COMPUTED_VALUE"""),"")</f>
        <v/>
      </c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</row>
    <row r="472">
      <c r="A472" s="30"/>
      <c r="B472" s="30" t="str">
        <f>IFERROR(__xludf.DUMMYFUNCTION("""COMPUTED_VALUE"""),"")</f>
        <v/>
      </c>
      <c r="C472" s="30" t="str">
        <f>IFERROR(__xludf.DUMMYFUNCTION("""COMPUTED_VALUE"""),"")</f>
        <v/>
      </c>
      <c r="D472" s="30"/>
      <c r="E472" s="34" t="str">
        <f>IFERROR(__xludf.DUMMYFUNCTION("""COMPUTED_VALUE"""),"")</f>
        <v/>
      </c>
      <c r="F472" s="30"/>
      <c r="G472" s="34" t="str">
        <f>IFERROR(__xludf.DUMMYFUNCTION("""COMPUTED_VALUE"""),"")</f>
        <v/>
      </c>
      <c r="H472" s="34" t="str">
        <f>IFERROR(__xludf.DUMMYFUNCTION("""COMPUTED_VALUE"""),"")</f>
        <v/>
      </c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</row>
    <row r="473">
      <c r="A473" s="30"/>
      <c r="B473" s="30" t="str">
        <f>IFERROR(__xludf.DUMMYFUNCTION("""COMPUTED_VALUE"""),"")</f>
        <v/>
      </c>
      <c r="C473" s="30" t="str">
        <f>IFERROR(__xludf.DUMMYFUNCTION("""COMPUTED_VALUE"""),"")</f>
        <v/>
      </c>
      <c r="D473" s="30"/>
      <c r="E473" s="34" t="str">
        <f>IFERROR(__xludf.DUMMYFUNCTION("""COMPUTED_VALUE"""),"")</f>
        <v/>
      </c>
      <c r="F473" s="30"/>
      <c r="G473" s="34" t="str">
        <f>IFERROR(__xludf.DUMMYFUNCTION("""COMPUTED_VALUE"""),"")</f>
        <v/>
      </c>
      <c r="H473" s="34" t="str">
        <f>IFERROR(__xludf.DUMMYFUNCTION("""COMPUTED_VALUE"""),"")</f>
        <v/>
      </c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</row>
    <row r="474">
      <c r="A474" s="30"/>
      <c r="B474" s="30" t="str">
        <f>IFERROR(__xludf.DUMMYFUNCTION("""COMPUTED_VALUE"""),"")</f>
        <v/>
      </c>
      <c r="C474" s="30" t="str">
        <f>IFERROR(__xludf.DUMMYFUNCTION("""COMPUTED_VALUE"""),"")</f>
        <v/>
      </c>
      <c r="D474" s="30"/>
      <c r="E474" s="34" t="str">
        <f>IFERROR(__xludf.DUMMYFUNCTION("""COMPUTED_VALUE"""),"")</f>
        <v/>
      </c>
      <c r="F474" s="30"/>
      <c r="G474" s="34" t="str">
        <f>IFERROR(__xludf.DUMMYFUNCTION("""COMPUTED_VALUE"""),"")</f>
        <v/>
      </c>
      <c r="H474" s="34" t="str">
        <f>IFERROR(__xludf.DUMMYFUNCTION("""COMPUTED_VALUE"""),"")</f>
        <v/>
      </c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</row>
    <row r="475">
      <c r="A475" s="30"/>
      <c r="B475" s="30" t="str">
        <f>IFERROR(__xludf.DUMMYFUNCTION("""COMPUTED_VALUE"""),"")</f>
        <v/>
      </c>
      <c r="C475" s="30" t="str">
        <f>IFERROR(__xludf.DUMMYFUNCTION("""COMPUTED_VALUE"""),"")</f>
        <v/>
      </c>
      <c r="D475" s="30"/>
      <c r="E475" s="34" t="str">
        <f>IFERROR(__xludf.DUMMYFUNCTION("""COMPUTED_VALUE"""),"")</f>
        <v/>
      </c>
      <c r="F475" s="30"/>
      <c r="G475" s="34" t="str">
        <f>IFERROR(__xludf.DUMMYFUNCTION("""COMPUTED_VALUE"""),"")</f>
        <v/>
      </c>
      <c r="H475" s="34" t="str">
        <f>IFERROR(__xludf.DUMMYFUNCTION("""COMPUTED_VALUE"""),"")</f>
        <v/>
      </c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</row>
    <row r="476">
      <c r="A476" s="30"/>
      <c r="B476" s="30" t="str">
        <f>IFERROR(__xludf.DUMMYFUNCTION("""COMPUTED_VALUE"""),"")</f>
        <v/>
      </c>
      <c r="C476" s="30" t="str">
        <f>IFERROR(__xludf.DUMMYFUNCTION("""COMPUTED_VALUE"""),"")</f>
        <v/>
      </c>
      <c r="D476" s="30"/>
      <c r="E476" s="34" t="str">
        <f>IFERROR(__xludf.DUMMYFUNCTION("""COMPUTED_VALUE"""),"")</f>
        <v/>
      </c>
      <c r="F476" s="30"/>
      <c r="G476" s="34" t="str">
        <f>IFERROR(__xludf.DUMMYFUNCTION("""COMPUTED_VALUE"""),"")</f>
        <v/>
      </c>
      <c r="H476" s="34" t="str">
        <f>IFERROR(__xludf.DUMMYFUNCTION("""COMPUTED_VALUE"""),"")</f>
        <v/>
      </c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</row>
    <row r="477">
      <c r="A477" s="30"/>
      <c r="B477" s="30" t="str">
        <f>IFERROR(__xludf.DUMMYFUNCTION("""COMPUTED_VALUE"""),"")</f>
        <v/>
      </c>
      <c r="C477" s="30" t="str">
        <f>IFERROR(__xludf.DUMMYFUNCTION("""COMPUTED_VALUE"""),"")</f>
        <v/>
      </c>
      <c r="D477" s="30"/>
      <c r="E477" s="34" t="str">
        <f>IFERROR(__xludf.DUMMYFUNCTION("""COMPUTED_VALUE"""),"")</f>
        <v/>
      </c>
      <c r="F477" s="30"/>
      <c r="G477" s="34" t="str">
        <f>IFERROR(__xludf.DUMMYFUNCTION("""COMPUTED_VALUE"""),"")</f>
        <v/>
      </c>
      <c r="H477" s="34" t="str">
        <f>IFERROR(__xludf.DUMMYFUNCTION("""COMPUTED_VALUE"""),"")</f>
        <v/>
      </c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</row>
    <row r="478">
      <c r="A478" s="30"/>
      <c r="B478" s="30" t="str">
        <f>IFERROR(__xludf.DUMMYFUNCTION("""COMPUTED_VALUE"""),"")</f>
        <v/>
      </c>
      <c r="C478" s="30" t="str">
        <f>IFERROR(__xludf.DUMMYFUNCTION("""COMPUTED_VALUE"""),"")</f>
        <v/>
      </c>
      <c r="D478" s="30"/>
      <c r="E478" s="34" t="str">
        <f>IFERROR(__xludf.DUMMYFUNCTION("""COMPUTED_VALUE"""),"")</f>
        <v/>
      </c>
      <c r="F478" s="30"/>
      <c r="G478" s="34" t="str">
        <f>IFERROR(__xludf.DUMMYFUNCTION("""COMPUTED_VALUE"""),"")</f>
        <v/>
      </c>
      <c r="H478" s="34" t="str">
        <f>IFERROR(__xludf.DUMMYFUNCTION("""COMPUTED_VALUE"""),"")</f>
        <v/>
      </c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</row>
    <row r="479">
      <c r="A479" s="30"/>
      <c r="B479" s="30" t="str">
        <f>IFERROR(__xludf.DUMMYFUNCTION("""COMPUTED_VALUE"""),"")</f>
        <v/>
      </c>
      <c r="C479" s="30" t="str">
        <f>IFERROR(__xludf.DUMMYFUNCTION("""COMPUTED_VALUE"""),"")</f>
        <v/>
      </c>
      <c r="D479" s="30"/>
      <c r="E479" s="34" t="str">
        <f>IFERROR(__xludf.DUMMYFUNCTION("""COMPUTED_VALUE"""),"")</f>
        <v/>
      </c>
      <c r="F479" s="30"/>
      <c r="G479" s="34" t="str">
        <f>IFERROR(__xludf.DUMMYFUNCTION("""COMPUTED_VALUE"""),"")</f>
        <v/>
      </c>
      <c r="H479" s="34" t="str">
        <f>IFERROR(__xludf.DUMMYFUNCTION("""COMPUTED_VALUE"""),"")</f>
        <v/>
      </c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</row>
    <row r="480">
      <c r="A480" s="30"/>
      <c r="B480" s="30" t="str">
        <f>IFERROR(__xludf.DUMMYFUNCTION("""COMPUTED_VALUE"""),"")</f>
        <v/>
      </c>
      <c r="C480" s="30" t="str">
        <f>IFERROR(__xludf.DUMMYFUNCTION("""COMPUTED_VALUE"""),"")</f>
        <v/>
      </c>
      <c r="D480" s="30"/>
      <c r="E480" s="34" t="str">
        <f>IFERROR(__xludf.DUMMYFUNCTION("""COMPUTED_VALUE"""),"")</f>
        <v/>
      </c>
      <c r="F480" s="30"/>
      <c r="G480" s="34" t="str">
        <f>IFERROR(__xludf.DUMMYFUNCTION("""COMPUTED_VALUE"""),"")</f>
        <v/>
      </c>
      <c r="H480" s="34" t="str">
        <f>IFERROR(__xludf.DUMMYFUNCTION("""COMPUTED_VALUE"""),"")</f>
        <v/>
      </c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</row>
    <row r="481">
      <c r="A481" s="30"/>
      <c r="B481" s="30" t="str">
        <f>IFERROR(__xludf.DUMMYFUNCTION("""COMPUTED_VALUE"""),"")</f>
        <v/>
      </c>
      <c r="C481" s="30" t="str">
        <f>IFERROR(__xludf.DUMMYFUNCTION("""COMPUTED_VALUE"""),"")</f>
        <v/>
      </c>
      <c r="D481" s="30"/>
      <c r="E481" s="34" t="str">
        <f>IFERROR(__xludf.DUMMYFUNCTION("""COMPUTED_VALUE"""),"")</f>
        <v/>
      </c>
      <c r="F481" s="30"/>
      <c r="G481" s="34" t="str">
        <f>IFERROR(__xludf.DUMMYFUNCTION("""COMPUTED_VALUE"""),"")</f>
        <v/>
      </c>
      <c r="H481" s="34" t="str">
        <f>IFERROR(__xludf.DUMMYFUNCTION("""COMPUTED_VALUE"""),"")</f>
        <v/>
      </c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</row>
    <row r="482">
      <c r="A482" s="30"/>
      <c r="B482" s="30" t="str">
        <f>IFERROR(__xludf.DUMMYFUNCTION("""COMPUTED_VALUE"""),"")</f>
        <v/>
      </c>
      <c r="C482" s="30" t="str">
        <f>IFERROR(__xludf.DUMMYFUNCTION("""COMPUTED_VALUE"""),"")</f>
        <v/>
      </c>
      <c r="D482" s="30"/>
      <c r="E482" s="34" t="str">
        <f>IFERROR(__xludf.DUMMYFUNCTION("""COMPUTED_VALUE"""),"")</f>
        <v/>
      </c>
      <c r="F482" s="30"/>
      <c r="G482" s="34" t="str">
        <f>IFERROR(__xludf.DUMMYFUNCTION("""COMPUTED_VALUE"""),"")</f>
        <v/>
      </c>
      <c r="H482" s="34" t="str">
        <f>IFERROR(__xludf.DUMMYFUNCTION("""COMPUTED_VALUE"""),"")</f>
        <v/>
      </c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</row>
    <row r="483">
      <c r="A483" s="30"/>
      <c r="B483" s="30" t="str">
        <f>IFERROR(__xludf.DUMMYFUNCTION("""COMPUTED_VALUE"""),"")</f>
        <v/>
      </c>
      <c r="C483" s="30" t="str">
        <f>IFERROR(__xludf.DUMMYFUNCTION("""COMPUTED_VALUE"""),"")</f>
        <v/>
      </c>
      <c r="D483" s="30"/>
      <c r="E483" s="34" t="str">
        <f>IFERROR(__xludf.DUMMYFUNCTION("""COMPUTED_VALUE"""),"")</f>
        <v/>
      </c>
      <c r="F483" s="30"/>
      <c r="G483" s="34" t="str">
        <f>IFERROR(__xludf.DUMMYFUNCTION("""COMPUTED_VALUE"""),"")</f>
        <v/>
      </c>
      <c r="H483" s="34" t="str">
        <f>IFERROR(__xludf.DUMMYFUNCTION("""COMPUTED_VALUE"""),"")</f>
        <v/>
      </c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</row>
    <row r="484">
      <c r="A484" s="30"/>
      <c r="B484" s="30" t="str">
        <f>IFERROR(__xludf.DUMMYFUNCTION("""COMPUTED_VALUE"""),"")</f>
        <v/>
      </c>
      <c r="C484" s="30" t="str">
        <f>IFERROR(__xludf.DUMMYFUNCTION("""COMPUTED_VALUE"""),"")</f>
        <v/>
      </c>
      <c r="D484" s="30"/>
      <c r="E484" s="34" t="str">
        <f>IFERROR(__xludf.DUMMYFUNCTION("""COMPUTED_VALUE"""),"")</f>
        <v/>
      </c>
      <c r="F484" s="30"/>
      <c r="G484" s="34" t="str">
        <f>IFERROR(__xludf.DUMMYFUNCTION("""COMPUTED_VALUE"""),"")</f>
        <v/>
      </c>
      <c r="H484" s="34" t="str">
        <f>IFERROR(__xludf.DUMMYFUNCTION("""COMPUTED_VALUE"""),"")</f>
        <v/>
      </c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</row>
    <row r="485">
      <c r="A485" s="30"/>
      <c r="B485" s="30" t="str">
        <f>IFERROR(__xludf.DUMMYFUNCTION("""COMPUTED_VALUE"""),"")</f>
        <v/>
      </c>
      <c r="C485" s="30" t="str">
        <f>IFERROR(__xludf.DUMMYFUNCTION("""COMPUTED_VALUE"""),"")</f>
        <v/>
      </c>
      <c r="D485" s="30"/>
      <c r="E485" s="34" t="str">
        <f>IFERROR(__xludf.DUMMYFUNCTION("""COMPUTED_VALUE"""),"")</f>
        <v/>
      </c>
      <c r="F485" s="30"/>
      <c r="G485" s="34" t="str">
        <f>IFERROR(__xludf.DUMMYFUNCTION("""COMPUTED_VALUE"""),"")</f>
        <v/>
      </c>
      <c r="H485" s="34" t="str">
        <f>IFERROR(__xludf.DUMMYFUNCTION("""COMPUTED_VALUE"""),"")</f>
        <v/>
      </c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>
      <c r="A486" s="30"/>
      <c r="B486" s="30" t="str">
        <f>IFERROR(__xludf.DUMMYFUNCTION("""COMPUTED_VALUE"""),"")</f>
        <v/>
      </c>
      <c r="C486" s="30" t="str">
        <f>IFERROR(__xludf.DUMMYFUNCTION("""COMPUTED_VALUE"""),"")</f>
        <v/>
      </c>
      <c r="D486" s="30"/>
      <c r="E486" s="34" t="str">
        <f>IFERROR(__xludf.DUMMYFUNCTION("""COMPUTED_VALUE"""),"")</f>
        <v/>
      </c>
      <c r="F486" s="30"/>
      <c r="G486" s="34" t="str">
        <f>IFERROR(__xludf.DUMMYFUNCTION("""COMPUTED_VALUE"""),"")</f>
        <v/>
      </c>
      <c r="H486" s="34" t="str">
        <f>IFERROR(__xludf.DUMMYFUNCTION("""COMPUTED_VALUE"""),"")</f>
        <v/>
      </c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</row>
    <row r="487">
      <c r="A487" s="30"/>
      <c r="B487" s="30" t="str">
        <f>IFERROR(__xludf.DUMMYFUNCTION("""COMPUTED_VALUE"""),"")</f>
        <v/>
      </c>
      <c r="C487" s="30" t="str">
        <f>IFERROR(__xludf.DUMMYFUNCTION("""COMPUTED_VALUE"""),"")</f>
        <v/>
      </c>
      <c r="D487" s="30"/>
      <c r="E487" s="34" t="str">
        <f>IFERROR(__xludf.DUMMYFUNCTION("""COMPUTED_VALUE"""),"")</f>
        <v/>
      </c>
      <c r="F487" s="30"/>
      <c r="G487" s="34" t="str">
        <f>IFERROR(__xludf.DUMMYFUNCTION("""COMPUTED_VALUE"""),"")</f>
        <v/>
      </c>
      <c r="H487" s="34" t="str">
        <f>IFERROR(__xludf.DUMMYFUNCTION("""COMPUTED_VALUE"""),"")</f>
        <v/>
      </c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</row>
    <row r="488">
      <c r="A488" s="30"/>
      <c r="B488" s="30" t="str">
        <f>IFERROR(__xludf.DUMMYFUNCTION("""COMPUTED_VALUE"""),"")</f>
        <v/>
      </c>
      <c r="C488" s="30" t="str">
        <f>IFERROR(__xludf.DUMMYFUNCTION("""COMPUTED_VALUE"""),"")</f>
        <v/>
      </c>
      <c r="D488" s="30"/>
      <c r="E488" s="34" t="str">
        <f>IFERROR(__xludf.DUMMYFUNCTION("""COMPUTED_VALUE"""),"")</f>
        <v/>
      </c>
      <c r="F488" s="30"/>
      <c r="G488" s="34" t="str">
        <f>IFERROR(__xludf.DUMMYFUNCTION("""COMPUTED_VALUE"""),"")</f>
        <v/>
      </c>
      <c r="H488" s="34" t="str">
        <f>IFERROR(__xludf.DUMMYFUNCTION("""COMPUTED_VALUE"""),"")</f>
        <v/>
      </c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</row>
    <row r="489">
      <c r="A489" s="30"/>
      <c r="B489" s="30" t="str">
        <f>IFERROR(__xludf.DUMMYFUNCTION("""COMPUTED_VALUE"""),"")</f>
        <v/>
      </c>
      <c r="C489" s="30" t="str">
        <f>IFERROR(__xludf.DUMMYFUNCTION("""COMPUTED_VALUE"""),"")</f>
        <v/>
      </c>
      <c r="D489" s="30"/>
      <c r="E489" s="34" t="str">
        <f>IFERROR(__xludf.DUMMYFUNCTION("""COMPUTED_VALUE"""),"")</f>
        <v/>
      </c>
      <c r="F489" s="30"/>
      <c r="G489" s="34" t="str">
        <f>IFERROR(__xludf.DUMMYFUNCTION("""COMPUTED_VALUE"""),"")</f>
        <v/>
      </c>
      <c r="H489" s="34" t="str">
        <f>IFERROR(__xludf.DUMMYFUNCTION("""COMPUTED_VALUE"""),"")</f>
        <v/>
      </c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</row>
    <row r="490">
      <c r="A490" s="30"/>
      <c r="B490" s="30" t="str">
        <f>IFERROR(__xludf.DUMMYFUNCTION("""COMPUTED_VALUE"""),"")</f>
        <v/>
      </c>
      <c r="C490" s="30" t="str">
        <f>IFERROR(__xludf.DUMMYFUNCTION("""COMPUTED_VALUE"""),"")</f>
        <v/>
      </c>
      <c r="D490" s="30"/>
      <c r="E490" s="34" t="str">
        <f>IFERROR(__xludf.DUMMYFUNCTION("""COMPUTED_VALUE"""),"")</f>
        <v/>
      </c>
      <c r="F490" s="30"/>
      <c r="G490" s="34" t="str">
        <f>IFERROR(__xludf.DUMMYFUNCTION("""COMPUTED_VALUE"""),"")</f>
        <v/>
      </c>
      <c r="H490" s="34" t="str">
        <f>IFERROR(__xludf.DUMMYFUNCTION("""COMPUTED_VALUE"""),"")</f>
        <v/>
      </c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</row>
    <row r="491">
      <c r="A491" s="30"/>
      <c r="B491" s="30" t="str">
        <f>IFERROR(__xludf.DUMMYFUNCTION("""COMPUTED_VALUE"""),"")</f>
        <v/>
      </c>
      <c r="C491" s="30" t="str">
        <f>IFERROR(__xludf.DUMMYFUNCTION("""COMPUTED_VALUE"""),"")</f>
        <v/>
      </c>
      <c r="D491" s="30"/>
      <c r="E491" s="34" t="str">
        <f>IFERROR(__xludf.DUMMYFUNCTION("""COMPUTED_VALUE"""),"")</f>
        <v/>
      </c>
      <c r="F491" s="30"/>
      <c r="G491" s="34" t="str">
        <f>IFERROR(__xludf.DUMMYFUNCTION("""COMPUTED_VALUE"""),"")</f>
        <v/>
      </c>
      <c r="H491" s="34" t="str">
        <f>IFERROR(__xludf.DUMMYFUNCTION("""COMPUTED_VALUE"""),"")</f>
        <v/>
      </c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</row>
    <row r="492">
      <c r="A492" s="30"/>
      <c r="B492" s="30" t="str">
        <f>IFERROR(__xludf.DUMMYFUNCTION("""COMPUTED_VALUE"""),"")</f>
        <v/>
      </c>
      <c r="C492" s="30" t="str">
        <f>IFERROR(__xludf.DUMMYFUNCTION("""COMPUTED_VALUE"""),"")</f>
        <v/>
      </c>
      <c r="D492" s="30"/>
      <c r="E492" s="34" t="str">
        <f>IFERROR(__xludf.DUMMYFUNCTION("""COMPUTED_VALUE"""),"")</f>
        <v/>
      </c>
      <c r="F492" s="30"/>
      <c r="G492" s="34" t="str">
        <f>IFERROR(__xludf.DUMMYFUNCTION("""COMPUTED_VALUE"""),"")</f>
        <v/>
      </c>
      <c r="H492" s="34" t="str">
        <f>IFERROR(__xludf.DUMMYFUNCTION("""COMPUTED_VALUE"""),"")</f>
        <v/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</row>
    <row r="493">
      <c r="A493" s="30"/>
      <c r="B493" s="30" t="str">
        <f>IFERROR(__xludf.DUMMYFUNCTION("""COMPUTED_VALUE"""),"")</f>
        <v/>
      </c>
      <c r="C493" s="30" t="str">
        <f>IFERROR(__xludf.DUMMYFUNCTION("""COMPUTED_VALUE"""),"")</f>
        <v/>
      </c>
      <c r="D493" s="30"/>
      <c r="E493" s="34" t="str">
        <f>IFERROR(__xludf.DUMMYFUNCTION("""COMPUTED_VALUE"""),"")</f>
        <v/>
      </c>
      <c r="F493" s="30"/>
      <c r="G493" s="34" t="str">
        <f>IFERROR(__xludf.DUMMYFUNCTION("""COMPUTED_VALUE"""),"")</f>
        <v/>
      </c>
      <c r="H493" s="34" t="str">
        <f>IFERROR(__xludf.DUMMYFUNCTION("""COMPUTED_VALUE"""),"")</f>
        <v/>
      </c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</row>
    <row r="494">
      <c r="A494" s="30"/>
      <c r="B494" s="30" t="str">
        <f>IFERROR(__xludf.DUMMYFUNCTION("""COMPUTED_VALUE"""),"")</f>
        <v/>
      </c>
      <c r="C494" s="30" t="str">
        <f>IFERROR(__xludf.DUMMYFUNCTION("""COMPUTED_VALUE"""),"")</f>
        <v/>
      </c>
      <c r="D494" s="30"/>
      <c r="E494" s="34" t="str">
        <f>IFERROR(__xludf.DUMMYFUNCTION("""COMPUTED_VALUE"""),"")</f>
        <v/>
      </c>
      <c r="F494" s="30"/>
      <c r="G494" s="34" t="str">
        <f>IFERROR(__xludf.DUMMYFUNCTION("""COMPUTED_VALUE"""),"")</f>
        <v/>
      </c>
      <c r="H494" s="34" t="str">
        <f>IFERROR(__xludf.DUMMYFUNCTION("""COMPUTED_VALUE"""),"")</f>
        <v/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</row>
    <row r="495">
      <c r="A495" s="30"/>
      <c r="B495" s="30" t="str">
        <f>IFERROR(__xludf.DUMMYFUNCTION("""COMPUTED_VALUE"""),"")</f>
        <v/>
      </c>
      <c r="C495" s="30" t="str">
        <f>IFERROR(__xludf.DUMMYFUNCTION("""COMPUTED_VALUE"""),"")</f>
        <v/>
      </c>
      <c r="D495" s="30"/>
      <c r="E495" s="34" t="str">
        <f>IFERROR(__xludf.DUMMYFUNCTION("""COMPUTED_VALUE"""),"")</f>
        <v/>
      </c>
      <c r="F495" s="30"/>
      <c r="G495" s="34" t="str">
        <f>IFERROR(__xludf.DUMMYFUNCTION("""COMPUTED_VALUE"""),"")</f>
        <v/>
      </c>
      <c r="H495" s="34" t="str">
        <f>IFERROR(__xludf.DUMMYFUNCTION("""COMPUTED_VALUE"""),"")</f>
        <v/>
      </c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</row>
    <row r="496">
      <c r="A496" s="30"/>
      <c r="B496" s="30" t="str">
        <f>IFERROR(__xludf.DUMMYFUNCTION("""COMPUTED_VALUE"""),"")</f>
        <v/>
      </c>
      <c r="C496" s="30" t="str">
        <f>IFERROR(__xludf.DUMMYFUNCTION("""COMPUTED_VALUE"""),"")</f>
        <v/>
      </c>
      <c r="D496" s="30"/>
      <c r="E496" s="34" t="str">
        <f>IFERROR(__xludf.DUMMYFUNCTION("""COMPUTED_VALUE"""),"")</f>
        <v/>
      </c>
      <c r="F496" s="30"/>
      <c r="G496" s="34" t="str">
        <f>IFERROR(__xludf.DUMMYFUNCTION("""COMPUTED_VALUE"""),"")</f>
        <v/>
      </c>
      <c r="H496" s="34" t="str">
        <f>IFERROR(__xludf.DUMMYFUNCTION("""COMPUTED_VALUE"""),"")</f>
        <v/>
      </c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</row>
    <row r="497">
      <c r="A497" s="30"/>
      <c r="B497" s="30" t="str">
        <f>IFERROR(__xludf.DUMMYFUNCTION("""COMPUTED_VALUE"""),"")</f>
        <v/>
      </c>
      <c r="C497" s="30" t="str">
        <f>IFERROR(__xludf.DUMMYFUNCTION("""COMPUTED_VALUE"""),"")</f>
        <v/>
      </c>
      <c r="D497" s="30"/>
      <c r="E497" s="34" t="str">
        <f>IFERROR(__xludf.DUMMYFUNCTION("""COMPUTED_VALUE"""),"")</f>
        <v/>
      </c>
      <c r="F497" s="30"/>
      <c r="G497" s="34" t="str">
        <f>IFERROR(__xludf.DUMMYFUNCTION("""COMPUTED_VALUE"""),"")</f>
        <v/>
      </c>
      <c r="H497" s="34" t="str">
        <f>IFERROR(__xludf.DUMMYFUNCTION("""COMPUTED_VALUE"""),"")</f>
        <v/>
      </c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>
      <c r="A498" s="30"/>
      <c r="B498" s="30" t="str">
        <f>IFERROR(__xludf.DUMMYFUNCTION("""COMPUTED_VALUE"""),"")</f>
        <v/>
      </c>
      <c r="C498" s="30" t="str">
        <f>IFERROR(__xludf.DUMMYFUNCTION("""COMPUTED_VALUE"""),"")</f>
        <v/>
      </c>
      <c r="D498" s="30"/>
      <c r="E498" s="34" t="str">
        <f>IFERROR(__xludf.DUMMYFUNCTION("""COMPUTED_VALUE"""),"")</f>
        <v/>
      </c>
      <c r="F498" s="30"/>
      <c r="G498" s="34" t="str">
        <f>IFERROR(__xludf.DUMMYFUNCTION("""COMPUTED_VALUE"""),"")</f>
        <v/>
      </c>
      <c r="H498" s="34" t="str">
        <f>IFERROR(__xludf.DUMMYFUNCTION("""COMPUTED_VALUE"""),"")</f>
        <v/>
      </c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>
      <c r="A499" s="30"/>
      <c r="B499" s="30" t="str">
        <f>IFERROR(__xludf.DUMMYFUNCTION("""COMPUTED_VALUE"""),"")</f>
        <v/>
      </c>
      <c r="C499" s="30" t="str">
        <f>IFERROR(__xludf.DUMMYFUNCTION("""COMPUTED_VALUE"""),"")</f>
        <v/>
      </c>
      <c r="D499" s="30"/>
      <c r="E499" s="34" t="str">
        <f>IFERROR(__xludf.DUMMYFUNCTION("""COMPUTED_VALUE"""),"")</f>
        <v/>
      </c>
      <c r="F499" s="30"/>
      <c r="G499" s="34" t="str">
        <f>IFERROR(__xludf.DUMMYFUNCTION("""COMPUTED_VALUE"""),"")</f>
        <v/>
      </c>
      <c r="H499" s="34" t="str">
        <f>IFERROR(__xludf.DUMMYFUNCTION("""COMPUTED_VALUE"""),"")</f>
        <v/>
      </c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</row>
    <row r="500">
      <c r="A500" s="30"/>
      <c r="B500" s="30" t="str">
        <f>IFERROR(__xludf.DUMMYFUNCTION("""COMPUTED_VALUE"""),"")</f>
        <v/>
      </c>
      <c r="C500" s="30" t="str">
        <f>IFERROR(__xludf.DUMMYFUNCTION("""COMPUTED_VALUE"""),"")</f>
        <v/>
      </c>
      <c r="D500" s="30"/>
      <c r="E500" s="34" t="str">
        <f>IFERROR(__xludf.DUMMYFUNCTION("""COMPUTED_VALUE"""),"")</f>
        <v/>
      </c>
      <c r="F500" s="30"/>
      <c r="G500" s="34" t="str">
        <f>IFERROR(__xludf.DUMMYFUNCTION("""COMPUTED_VALUE"""),"")</f>
        <v/>
      </c>
      <c r="H500" s="34" t="str">
        <f>IFERROR(__xludf.DUMMYFUNCTION("""COMPUTED_VALUE"""),"")</f>
        <v/>
      </c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</row>
    <row r="501">
      <c r="A501" s="30"/>
      <c r="B501" s="30" t="str">
        <f>IFERROR(__xludf.DUMMYFUNCTION("""COMPUTED_VALUE"""),"")</f>
        <v/>
      </c>
      <c r="C501" s="30" t="str">
        <f>IFERROR(__xludf.DUMMYFUNCTION("""COMPUTED_VALUE"""),"")</f>
        <v/>
      </c>
      <c r="D501" s="30"/>
      <c r="E501" s="34" t="str">
        <f>IFERROR(__xludf.DUMMYFUNCTION("""COMPUTED_VALUE"""),"")</f>
        <v/>
      </c>
      <c r="F501" s="30"/>
      <c r="G501" s="34" t="str">
        <f>IFERROR(__xludf.DUMMYFUNCTION("""COMPUTED_VALUE"""),"")</f>
        <v/>
      </c>
      <c r="H501" s="34" t="str">
        <f>IFERROR(__xludf.DUMMYFUNCTION("""COMPUTED_VALUE"""),"")</f>
        <v/>
      </c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</row>
    <row r="502">
      <c r="A502" s="30"/>
      <c r="B502" s="30" t="str">
        <f>IFERROR(__xludf.DUMMYFUNCTION("""COMPUTED_VALUE"""),"")</f>
        <v/>
      </c>
      <c r="C502" s="30" t="str">
        <f>IFERROR(__xludf.DUMMYFUNCTION("""COMPUTED_VALUE"""),"")</f>
        <v/>
      </c>
      <c r="D502" s="30"/>
      <c r="E502" s="34" t="str">
        <f>IFERROR(__xludf.DUMMYFUNCTION("""COMPUTED_VALUE"""),"")</f>
        <v/>
      </c>
      <c r="F502" s="30"/>
      <c r="G502" s="34" t="str">
        <f>IFERROR(__xludf.DUMMYFUNCTION("""COMPUTED_VALUE"""),"")</f>
        <v/>
      </c>
      <c r="H502" s="34" t="str">
        <f>IFERROR(__xludf.DUMMYFUNCTION("""COMPUTED_VALUE"""),"")</f>
        <v/>
      </c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</row>
    <row r="503">
      <c r="A503" s="30"/>
      <c r="B503" s="30" t="str">
        <f>IFERROR(__xludf.DUMMYFUNCTION("""COMPUTED_VALUE"""),"")</f>
        <v/>
      </c>
      <c r="C503" s="30" t="str">
        <f>IFERROR(__xludf.DUMMYFUNCTION("""COMPUTED_VALUE"""),"")</f>
        <v/>
      </c>
      <c r="D503" s="30"/>
      <c r="E503" s="34" t="str">
        <f>IFERROR(__xludf.DUMMYFUNCTION("""COMPUTED_VALUE"""),"")</f>
        <v/>
      </c>
      <c r="F503" s="30"/>
      <c r="G503" s="34" t="str">
        <f>IFERROR(__xludf.DUMMYFUNCTION("""COMPUTED_VALUE"""),"")</f>
        <v/>
      </c>
      <c r="H503" s="34" t="str">
        <f>IFERROR(__xludf.DUMMYFUNCTION("""COMPUTED_VALUE"""),"")</f>
        <v/>
      </c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</row>
    <row r="504">
      <c r="A504" s="30"/>
      <c r="B504" s="30" t="str">
        <f>IFERROR(__xludf.DUMMYFUNCTION("""COMPUTED_VALUE"""),"")</f>
        <v/>
      </c>
      <c r="C504" s="30" t="str">
        <f>IFERROR(__xludf.DUMMYFUNCTION("""COMPUTED_VALUE"""),"")</f>
        <v/>
      </c>
      <c r="D504" s="30"/>
      <c r="E504" s="34" t="str">
        <f>IFERROR(__xludf.DUMMYFUNCTION("""COMPUTED_VALUE"""),"")</f>
        <v/>
      </c>
      <c r="F504" s="30"/>
      <c r="G504" s="34" t="str">
        <f>IFERROR(__xludf.DUMMYFUNCTION("""COMPUTED_VALUE"""),"")</f>
        <v/>
      </c>
      <c r="H504" s="34" t="str">
        <f>IFERROR(__xludf.DUMMYFUNCTION("""COMPUTED_VALUE"""),"")</f>
        <v/>
      </c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</row>
    <row r="505">
      <c r="A505" s="30"/>
      <c r="B505" s="30" t="str">
        <f>IFERROR(__xludf.DUMMYFUNCTION("""COMPUTED_VALUE"""),"")</f>
        <v/>
      </c>
      <c r="C505" s="30" t="str">
        <f>IFERROR(__xludf.DUMMYFUNCTION("""COMPUTED_VALUE"""),"")</f>
        <v/>
      </c>
      <c r="D505" s="30"/>
      <c r="E505" s="34" t="str">
        <f>IFERROR(__xludf.DUMMYFUNCTION("""COMPUTED_VALUE"""),"")</f>
        <v/>
      </c>
      <c r="F505" s="30"/>
      <c r="G505" s="34" t="str">
        <f>IFERROR(__xludf.DUMMYFUNCTION("""COMPUTED_VALUE"""),"")</f>
        <v/>
      </c>
      <c r="H505" s="34" t="str">
        <f>IFERROR(__xludf.DUMMYFUNCTION("""COMPUTED_VALUE"""),"")</f>
        <v/>
      </c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</row>
    <row r="506">
      <c r="A506" s="30"/>
      <c r="B506" s="30" t="str">
        <f>IFERROR(__xludf.DUMMYFUNCTION("""COMPUTED_VALUE"""),"")</f>
        <v/>
      </c>
      <c r="C506" s="30" t="str">
        <f>IFERROR(__xludf.DUMMYFUNCTION("""COMPUTED_VALUE"""),"")</f>
        <v/>
      </c>
      <c r="D506" s="30"/>
      <c r="E506" s="34" t="str">
        <f>IFERROR(__xludf.DUMMYFUNCTION("""COMPUTED_VALUE"""),"")</f>
        <v/>
      </c>
      <c r="F506" s="30"/>
      <c r="G506" s="34" t="str">
        <f>IFERROR(__xludf.DUMMYFUNCTION("""COMPUTED_VALUE"""),"")</f>
        <v/>
      </c>
      <c r="H506" s="34" t="str">
        <f>IFERROR(__xludf.DUMMYFUNCTION("""COMPUTED_VALUE"""),"")</f>
        <v/>
      </c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</row>
    <row r="507">
      <c r="A507" s="30"/>
      <c r="B507" s="30" t="str">
        <f>IFERROR(__xludf.DUMMYFUNCTION("""COMPUTED_VALUE"""),"")</f>
        <v/>
      </c>
      <c r="C507" s="30" t="str">
        <f>IFERROR(__xludf.DUMMYFUNCTION("""COMPUTED_VALUE"""),"")</f>
        <v/>
      </c>
      <c r="D507" s="30"/>
      <c r="E507" s="34" t="str">
        <f>IFERROR(__xludf.DUMMYFUNCTION("""COMPUTED_VALUE"""),"")</f>
        <v/>
      </c>
      <c r="F507" s="30"/>
      <c r="G507" s="34" t="str">
        <f>IFERROR(__xludf.DUMMYFUNCTION("""COMPUTED_VALUE"""),"")</f>
        <v/>
      </c>
      <c r="H507" s="34" t="str">
        <f>IFERROR(__xludf.DUMMYFUNCTION("""COMPUTED_VALUE"""),"")</f>
        <v/>
      </c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</row>
    <row r="508">
      <c r="A508" s="30"/>
      <c r="B508" s="30" t="str">
        <f>IFERROR(__xludf.DUMMYFUNCTION("""COMPUTED_VALUE"""),"")</f>
        <v/>
      </c>
      <c r="C508" s="30" t="str">
        <f>IFERROR(__xludf.DUMMYFUNCTION("""COMPUTED_VALUE"""),"")</f>
        <v/>
      </c>
      <c r="D508" s="30"/>
      <c r="E508" s="34" t="str">
        <f>IFERROR(__xludf.DUMMYFUNCTION("""COMPUTED_VALUE"""),"")</f>
        <v/>
      </c>
      <c r="F508" s="30"/>
      <c r="G508" s="34" t="str">
        <f>IFERROR(__xludf.DUMMYFUNCTION("""COMPUTED_VALUE"""),"")</f>
        <v/>
      </c>
      <c r="H508" s="34" t="str">
        <f>IFERROR(__xludf.DUMMYFUNCTION("""COMPUTED_VALUE"""),"")</f>
        <v/>
      </c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</row>
    <row r="509">
      <c r="A509" s="30"/>
      <c r="B509" s="30" t="str">
        <f>IFERROR(__xludf.DUMMYFUNCTION("""COMPUTED_VALUE"""),"")</f>
        <v/>
      </c>
      <c r="C509" s="30" t="str">
        <f>IFERROR(__xludf.DUMMYFUNCTION("""COMPUTED_VALUE"""),"")</f>
        <v/>
      </c>
      <c r="D509" s="30"/>
      <c r="E509" s="34" t="str">
        <f>IFERROR(__xludf.DUMMYFUNCTION("""COMPUTED_VALUE"""),"")</f>
        <v/>
      </c>
      <c r="F509" s="30"/>
      <c r="G509" s="34" t="str">
        <f>IFERROR(__xludf.DUMMYFUNCTION("""COMPUTED_VALUE"""),"")</f>
        <v/>
      </c>
      <c r="H509" s="34" t="str">
        <f>IFERROR(__xludf.DUMMYFUNCTION("""COMPUTED_VALUE"""),"")</f>
        <v/>
      </c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</row>
    <row r="510">
      <c r="A510" s="30"/>
      <c r="B510" s="30" t="str">
        <f>IFERROR(__xludf.DUMMYFUNCTION("""COMPUTED_VALUE"""),"")</f>
        <v/>
      </c>
      <c r="C510" s="30" t="str">
        <f>IFERROR(__xludf.DUMMYFUNCTION("""COMPUTED_VALUE"""),"")</f>
        <v/>
      </c>
      <c r="D510" s="30"/>
      <c r="E510" s="34" t="str">
        <f>IFERROR(__xludf.DUMMYFUNCTION("""COMPUTED_VALUE"""),"")</f>
        <v/>
      </c>
      <c r="F510" s="30"/>
      <c r="G510" s="34" t="str">
        <f>IFERROR(__xludf.DUMMYFUNCTION("""COMPUTED_VALUE"""),"")</f>
        <v/>
      </c>
      <c r="H510" s="34" t="str">
        <f>IFERROR(__xludf.DUMMYFUNCTION("""COMPUTED_VALUE"""),"")</f>
        <v/>
      </c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</row>
    <row r="511">
      <c r="A511" s="30"/>
      <c r="B511" s="30" t="str">
        <f>IFERROR(__xludf.DUMMYFUNCTION("""COMPUTED_VALUE"""),"")</f>
        <v/>
      </c>
      <c r="C511" s="30" t="str">
        <f>IFERROR(__xludf.DUMMYFUNCTION("""COMPUTED_VALUE"""),"")</f>
        <v/>
      </c>
      <c r="D511" s="30"/>
      <c r="E511" s="34" t="str">
        <f>IFERROR(__xludf.DUMMYFUNCTION("""COMPUTED_VALUE"""),"")</f>
        <v/>
      </c>
      <c r="F511" s="30"/>
      <c r="G511" s="34" t="str">
        <f>IFERROR(__xludf.DUMMYFUNCTION("""COMPUTED_VALUE"""),"")</f>
        <v/>
      </c>
      <c r="H511" s="34" t="str">
        <f>IFERROR(__xludf.DUMMYFUNCTION("""COMPUTED_VALUE"""),"")</f>
        <v/>
      </c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</row>
    <row r="512">
      <c r="A512" s="30"/>
      <c r="B512" s="30" t="str">
        <f>IFERROR(__xludf.DUMMYFUNCTION("""COMPUTED_VALUE"""),"")</f>
        <v/>
      </c>
      <c r="C512" s="30" t="str">
        <f>IFERROR(__xludf.DUMMYFUNCTION("""COMPUTED_VALUE"""),"")</f>
        <v/>
      </c>
      <c r="D512" s="30"/>
      <c r="E512" s="34" t="str">
        <f>IFERROR(__xludf.DUMMYFUNCTION("""COMPUTED_VALUE"""),"")</f>
        <v/>
      </c>
      <c r="F512" s="30"/>
      <c r="G512" s="34" t="str">
        <f>IFERROR(__xludf.DUMMYFUNCTION("""COMPUTED_VALUE"""),"")</f>
        <v/>
      </c>
      <c r="H512" s="34" t="str">
        <f>IFERROR(__xludf.DUMMYFUNCTION("""COMPUTED_VALUE"""),"")</f>
        <v/>
      </c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>
      <c r="A513" s="30"/>
      <c r="B513" s="30" t="str">
        <f>IFERROR(__xludf.DUMMYFUNCTION("""COMPUTED_VALUE"""),"")</f>
        <v/>
      </c>
      <c r="C513" s="30" t="str">
        <f>IFERROR(__xludf.DUMMYFUNCTION("""COMPUTED_VALUE"""),"")</f>
        <v/>
      </c>
      <c r="D513" s="30"/>
      <c r="E513" s="34" t="str">
        <f>IFERROR(__xludf.DUMMYFUNCTION("""COMPUTED_VALUE"""),"")</f>
        <v/>
      </c>
      <c r="F513" s="30"/>
      <c r="G513" s="34" t="str">
        <f>IFERROR(__xludf.DUMMYFUNCTION("""COMPUTED_VALUE"""),"")</f>
        <v/>
      </c>
      <c r="H513" s="34" t="str">
        <f>IFERROR(__xludf.DUMMYFUNCTION("""COMPUTED_VALUE"""),"")</f>
        <v/>
      </c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</row>
    <row r="514">
      <c r="A514" s="30"/>
      <c r="B514" s="30" t="str">
        <f>IFERROR(__xludf.DUMMYFUNCTION("""COMPUTED_VALUE"""),"")</f>
        <v/>
      </c>
      <c r="C514" s="30" t="str">
        <f>IFERROR(__xludf.DUMMYFUNCTION("""COMPUTED_VALUE"""),"")</f>
        <v/>
      </c>
      <c r="D514" s="30"/>
      <c r="E514" s="34" t="str">
        <f>IFERROR(__xludf.DUMMYFUNCTION("""COMPUTED_VALUE"""),"")</f>
        <v/>
      </c>
      <c r="F514" s="30"/>
      <c r="G514" s="34" t="str">
        <f>IFERROR(__xludf.DUMMYFUNCTION("""COMPUTED_VALUE"""),"")</f>
        <v/>
      </c>
      <c r="H514" s="34" t="str">
        <f>IFERROR(__xludf.DUMMYFUNCTION("""COMPUTED_VALUE"""),"")</f>
        <v/>
      </c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</row>
    <row r="515">
      <c r="A515" s="30"/>
      <c r="B515" s="30" t="str">
        <f>IFERROR(__xludf.DUMMYFUNCTION("""COMPUTED_VALUE"""),"")</f>
        <v/>
      </c>
      <c r="C515" s="30" t="str">
        <f>IFERROR(__xludf.DUMMYFUNCTION("""COMPUTED_VALUE"""),"")</f>
        <v/>
      </c>
      <c r="D515" s="30"/>
      <c r="E515" s="34" t="str">
        <f>IFERROR(__xludf.DUMMYFUNCTION("""COMPUTED_VALUE"""),"")</f>
        <v/>
      </c>
      <c r="F515" s="30"/>
      <c r="G515" s="34" t="str">
        <f>IFERROR(__xludf.DUMMYFUNCTION("""COMPUTED_VALUE"""),"")</f>
        <v/>
      </c>
      <c r="H515" s="34" t="str">
        <f>IFERROR(__xludf.DUMMYFUNCTION("""COMPUTED_VALUE"""),"")</f>
        <v/>
      </c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</row>
    <row r="516">
      <c r="A516" s="30"/>
      <c r="B516" s="30" t="str">
        <f>IFERROR(__xludf.DUMMYFUNCTION("""COMPUTED_VALUE"""),"")</f>
        <v/>
      </c>
      <c r="C516" s="30" t="str">
        <f>IFERROR(__xludf.DUMMYFUNCTION("""COMPUTED_VALUE"""),"")</f>
        <v/>
      </c>
      <c r="D516" s="30"/>
      <c r="E516" s="34" t="str">
        <f>IFERROR(__xludf.DUMMYFUNCTION("""COMPUTED_VALUE"""),"")</f>
        <v/>
      </c>
      <c r="F516" s="30"/>
      <c r="G516" s="34" t="str">
        <f>IFERROR(__xludf.DUMMYFUNCTION("""COMPUTED_VALUE"""),"")</f>
        <v/>
      </c>
      <c r="H516" s="34" t="str">
        <f>IFERROR(__xludf.DUMMYFUNCTION("""COMPUTED_VALUE"""),"")</f>
        <v/>
      </c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</row>
    <row r="517">
      <c r="A517" s="30"/>
      <c r="B517" s="30" t="str">
        <f>IFERROR(__xludf.DUMMYFUNCTION("""COMPUTED_VALUE"""),"")</f>
        <v/>
      </c>
      <c r="C517" s="30" t="str">
        <f>IFERROR(__xludf.DUMMYFUNCTION("""COMPUTED_VALUE"""),"")</f>
        <v/>
      </c>
      <c r="D517" s="30"/>
      <c r="E517" s="34" t="str">
        <f>IFERROR(__xludf.DUMMYFUNCTION("""COMPUTED_VALUE"""),"")</f>
        <v/>
      </c>
      <c r="F517" s="30"/>
      <c r="G517" s="34" t="str">
        <f>IFERROR(__xludf.DUMMYFUNCTION("""COMPUTED_VALUE"""),"")</f>
        <v/>
      </c>
      <c r="H517" s="34" t="str">
        <f>IFERROR(__xludf.DUMMYFUNCTION("""COMPUTED_VALUE"""),"")</f>
        <v/>
      </c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</row>
    <row r="518">
      <c r="A518" s="30"/>
      <c r="B518" s="30" t="str">
        <f>IFERROR(__xludf.DUMMYFUNCTION("""COMPUTED_VALUE"""),"")</f>
        <v/>
      </c>
      <c r="C518" s="30" t="str">
        <f>IFERROR(__xludf.DUMMYFUNCTION("""COMPUTED_VALUE"""),"")</f>
        <v/>
      </c>
      <c r="D518" s="30"/>
      <c r="E518" s="34" t="str">
        <f>IFERROR(__xludf.DUMMYFUNCTION("""COMPUTED_VALUE"""),"")</f>
        <v/>
      </c>
      <c r="F518" s="30"/>
      <c r="G518" s="34" t="str">
        <f>IFERROR(__xludf.DUMMYFUNCTION("""COMPUTED_VALUE"""),"")</f>
        <v/>
      </c>
      <c r="H518" s="34" t="str">
        <f>IFERROR(__xludf.DUMMYFUNCTION("""COMPUTED_VALUE"""),"")</f>
        <v/>
      </c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</row>
    <row r="519">
      <c r="A519" s="30"/>
      <c r="B519" s="30" t="str">
        <f>IFERROR(__xludf.DUMMYFUNCTION("""COMPUTED_VALUE"""),"")</f>
        <v/>
      </c>
      <c r="C519" s="30" t="str">
        <f>IFERROR(__xludf.DUMMYFUNCTION("""COMPUTED_VALUE"""),"")</f>
        <v/>
      </c>
      <c r="D519" s="30"/>
      <c r="E519" s="34" t="str">
        <f>IFERROR(__xludf.DUMMYFUNCTION("""COMPUTED_VALUE"""),"")</f>
        <v/>
      </c>
      <c r="F519" s="30"/>
      <c r="G519" s="34" t="str">
        <f>IFERROR(__xludf.DUMMYFUNCTION("""COMPUTED_VALUE"""),"")</f>
        <v/>
      </c>
      <c r="H519" s="34" t="str">
        <f>IFERROR(__xludf.DUMMYFUNCTION("""COMPUTED_VALUE"""),"")</f>
        <v/>
      </c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</row>
    <row r="520">
      <c r="A520" s="30"/>
      <c r="B520" s="30" t="str">
        <f>IFERROR(__xludf.DUMMYFUNCTION("""COMPUTED_VALUE"""),"")</f>
        <v/>
      </c>
      <c r="C520" s="30" t="str">
        <f>IFERROR(__xludf.DUMMYFUNCTION("""COMPUTED_VALUE"""),"")</f>
        <v/>
      </c>
      <c r="D520" s="30"/>
      <c r="E520" s="34" t="str">
        <f>IFERROR(__xludf.DUMMYFUNCTION("""COMPUTED_VALUE"""),"")</f>
        <v/>
      </c>
      <c r="F520" s="30"/>
      <c r="G520" s="34" t="str">
        <f>IFERROR(__xludf.DUMMYFUNCTION("""COMPUTED_VALUE"""),"")</f>
        <v/>
      </c>
      <c r="H520" s="34" t="str">
        <f>IFERROR(__xludf.DUMMYFUNCTION("""COMPUTED_VALUE"""),"")</f>
        <v/>
      </c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</row>
    <row r="521">
      <c r="A521" s="30"/>
      <c r="B521" s="30" t="str">
        <f>IFERROR(__xludf.DUMMYFUNCTION("""COMPUTED_VALUE"""),"")</f>
        <v/>
      </c>
      <c r="C521" s="30" t="str">
        <f>IFERROR(__xludf.DUMMYFUNCTION("""COMPUTED_VALUE"""),"")</f>
        <v/>
      </c>
      <c r="D521" s="30"/>
      <c r="E521" s="34" t="str">
        <f>IFERROR(__xludf.DUMMYFUNCTION("""COMPUTED_VALUE"""),"")</f>
        <v/>
      </c>
      <c r="F521" s="30"/>
      <c r="G521" s="34" t="str">
        <f>IFERROR(__xludf.DUMMYFUNCTION("""COMPUTED_VALUE"""),"")</f>
        <v/>
      </c>
      <c r="H521" s="34" t="str">
        <f>IFERROR(__xludf.DUMMYFUNCTION("""COMPUTED_VALUE"""),"")</f>
        <v/>
      </c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</row>
    <row r="522">
      <c r="A522" s="30"/>
      <c r="B522" s="30" t="str">
        <f>IFERROR(__xludf.DUMMYFUNCTION("""COMPUTED_VALUE"""),"")</f>
        <v/>
      </c>
      <c r="C522" s="30" t="str">
        <f>IFERROR(__xludf.DUMMYFUNCTION("""COMPUTED_VALUE"""),"")</f>
        <v/>
      </c>
      <c r="D522" s="30"/>
      <c r="E522" s="34" t="str">
        <f>IFERROR(__xludf.DUMMYFUNCTION("""COMPUTED_VALUE"""),"")</f>
        <v/>
      </c>
      <c r="F522" s="30"/>
      <c r="G522" s="34" t="str">
        <f>IFERROR(__xludf.DUMMYFUNCTION("""COMPUTED_VALUE"""),"")</f>
        <v/>
      </c>
      <c r="H522" s="34" t="str">
        <f>IFERROR(__xludf.DUMMYFUNCTION("""COMPUTED_VALUE"""),"")</f>
        <v/>
      </c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</row>
    <row r="523">
      <c r="A523" s="30"/>
      <c r="B523" s="30" t="str">
        <f>IFERROR(__xludf.DUMMYFUNCTION("""COMPUTED_VALUE"""),"")</f>
        <v/>
      </c>
      <c r="C523" s="30" t="str">
        <f>IFERROR(__xludf.DUMMYFUNCTION("""COMPUTED_VALUE"""),"")</f>
        <v/>
      </c>
      <c r="D523" s="30"/>
      <c r="E523" s="34" t="str">
        <f>IFERROR(__xludf.DUMMYFUNCTION("""COMPUTED_VALUE"""),"")</f>
        <v/>
      </c>
      <c r="F523" s="30"/>
      <c r="G523" s="34" t="str">
        <f>IFERROR(__xludf.DUMMYFUNCTION("""COMPUTED_VALUE"""),"")</f>
        <v/>
      </c>
      <c r="H523" s="34" t="str">
        <f>IFERROR(__xludf.DUMMYFUNCTION("""COMPUTED_VALUE"""),"")</f>
        <v/>
      </c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</row>
    <row r="524">
      <c r="A524" s="30"/>
      <c r="B524" s="30" t="str">
        <f>IFERROR(__xludf.DUMMYFUNCTION("""COMPUTED_VALUE"""),"")</f>
        <v/>
      </c>
      <c r="C524" s="30" t="str">
        <f>IFERROR(__xludf.DUMMYFUNCTION("""COMPUTED_VALUE"""),"")</f>
        <v/>
      </c>
      <c r="D524" s="30"/>
      <c r="E524" s="34" t="str">
        <f>IFERROR(__xludf.DUMMYFUNCTION("""COMPUTED_VALUE"""),"")</f>
        <v/>
      </c>
      <c r="F524" s="30"/>
      <c r="G524" s="34" t="str">
        <f>IFERROR(__xludf.DUMMYFUNCTION("""COMPUTED_VALUE"""),"")</f>
        <v/>
      </c>
      <c r="H524" s="34" t="str">
        <f>IFERROR(__xludf.DUMMYFUNCTION("""COMPUTED_VALUE"""),"")</f>
        <v/>
      </c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>
      <c r="A525" s="30"/>
      <c r="B525" s="30" t="str">
        <f>IFERROR(__xludf.DUMMYFUNCTION("""COMPUTED_VALUE"""),"")</f>
        <v/>
      </c>
      <c r="C525" s="30" t="str">
        <f>IFERROR(__xludf.DUMMYFUNCTION("""COMPUTED_VALUE"""),"")</f>
        <v/>
      </c>
      <c r="D525" s="30"/>
      <c r="E525" s="34" t="str">
        <f>IFERROR(__xludf.DUMMYFUNCTION("""COMPUTED_VALUE"""),"")</f>
        <v/>
      </c>
      <c r="F525" s="30"/>
      <c r="G525" s="34" t="str">
        <f>IFERROR(__xludf.DUMMYFUNCTION("""COMPUTED_VALUE"""),"")</f>
        <v/>
      </c>
      <c r="H525" s="34" t="str">
        <f>IFERROR(__xludf.DUMMYFUNCTION("""COMPUTED_VALUE"""),"")</f>
        <v/>
      </c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</row>
    <row r="526">
      <c r="A526" s="30"/>
      <c r="B526" s="30" t="str">
        <f>IFERROR(__xludf.DUMMYFUNCTION("""COMPUTED_VALUE"""),"")</f>
        <v/>
      </c>
      <c r="C526" s="30" t="str">
        <f>IFERROR(__xludf.DUMMYFUNCTION("""COMPUTED_VALUE"""),"")</f>
        <v/>
      </c>
      <c r="D526" s="30"/>
      <c r="E526" s="34" t="str">
        <f>IFERROR(__xludf.DUMMYFUNCTION("""COMPUTED_VALUE"""),"")</f>
        <v/>
      </c>
      <c r="F526" s="30"/>
      <c r="G526" s="34" t="str">
        <f>IFERROR(__xludf.DUMMYFUNCTION("""COMPUTED_VALUE"""),"")</f>
        <v/>
      </c>
      <c r="H526" s="34" t="str">
        <f>IFERROR(__xludf.DUMMYFUNCTION("""COMPUTED_VALUE"""),"")</f>
        <v/>
      </c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</row>
    <row r="527">
      <c r="A527" s="30"/>
      <c r="B527" s="30" t="str">
        <f>IFERROR(__xludf.DUMMYFUNCTION("""COMPUTED_VALUE"""),"")</f>
        <v/>
      </c>
      <c r="C527" s="30" t="str">
        <f>IFERROR(__xludf.DUMMYFUNCTION("""COMPUTED_VALUE"""),"")</f>
        <v/>
      </c>
      <c r="D527" s="30"/>
      <c r="E527" s="34" t="str">
        <f>IFERROR(__xludf.DUMMYFUNCTION("""COMPUTED_VALUE"""),"")</f>
        <v/>
      </c>
      <c r="F527" s="30"/>
      <c r="G527" s="34" t="str">
        <f>IFERROR(__xludf.DUMMYFUNCTION("""COMPUTED_VALUE"""),"")</f>
        <v/>
      </c>
      <c r="H527" s="34" t="str">
        <f>IFERROR(__xludf.DUMMYFUNCTION("""COMPUTED_VALUE"""),"")</f>
        <v/>
      </c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</row>
    <row r="528">
      <c r="A528" s="30"/>
      <c r="B528" s="30" t="str">
        <f>IFERROR(__xludf.DUMMYFUNCTION("""COMPUTED_VALUE"""),"")</f>
        <v/>
      </c>
      <c r="C528" s="30" t="str">
        <f>IFERROR(__xludf.DUMMYFUNCTION("""COMPUTED_VALUE"""),"")</f>
        <v/>
      </c>
      <c r="D528" s="30"/>
      <c r="E528" s="34" t="str">
        <f>IFERROR(__xludf.DUMMYFUNCTION("""COMPUTED_VALUE"""),"")</f>
        <v/>
      </c>
      <c r="F528" s="30"/>
      <c r="G528" s="34" t="str">
        <f>IFERROR(__xludf.DUMMYFUNCTION("""COMPUTED_VALUE"""),"")</f>
        <v/>
      </c>
      <c r="H528" s="34" t="str">
        <f>IFERROR(__xludf.DUMMYFUNCTION("""COMPUTED_VALUE"""),"")</f>
        <v/>
      </c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</row>
    <row r="529">
      <c r="A529" s="30"/>
      <c r="B529" s="30" t="str">
        <f>IFERROR(__xludf.DUMMYFUNCTION("""COMPUTED_VALUE"""),"")</f>
        <v/>
      </c>
      <c r="C529" s="30" t="str">
        <f>IFERROR(__xludf.DUMMYFUNCTION("""COMPUTED_VALUE"""),"")</f>
        <v/>
      </c>
      <c r="D529" s="30"/>
      <c r="E529" s="34" t="str">
        <f>IFERROR(__xludf.DUMMYFUNCTION("""COMPUTED_VALUE"""),"")</f>
        <v/>
      </c>
      <c r="F529" s="30"/>
      <c r="G529" s="34" t="str">
        <f>IFERROR(__xludf.DUMMYFUNCTION("""COMPUTED_VALUE"""),"")</f>
        <v/>
      </c>
      <c r="H529" s="34" t="str">
        <f>IFERROR(__xludf.DUMMYFUNCTION("""COMPUTED_VALUE"""),"")</f>
        <v/>
      </c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</row>
    <row r="530">
      <c r="A530" s="30"/>
      <c r="B530" s="30" t="str">
        <f>IFERROR(__xludf.DUMMYFUNCTION("""COMPUTED_VALUE"""),"")</f>
        <v/>
      </c>
      <c r="C530" s="30" t="str">
        <f>IFERROR(__xludf.DUMMYFUNCTION("""COMPUTED_VALUE"""),"")</f>
        <v/>
      </c>
      <c r="D530" s="30"/>
      <c r="E530" s="34" t="str">
        <f>IFERROR(__xludf.DUMMYFUNCTION("""COMPUTED_VALUE"""),"")</f>
        <v/>
      </c>
      <c r="F530" s="30"/>
      <c r="G530" s="34" t="str">
        <f>IFERROR(__xludf.DUMMYFUNCTION("""COMPUTED_VALUE"""),"")</f>
        <v/>
      </c>
      <c r="H530" s="34" t="str">
        <f>IFERROR(__xludf.DUMMYFUNCTION("""COMPUTED_VALUE"""),"")</f>
        <v/>
      </c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</row>
    <row r="531">
      <c r="A531" s="30"/>
      <c r="B531" s="30" t="str">
        <f>IFERROR(__xludf.DUMMYFUNCTION("""COMPUTED_VALUE"""),"")</f>
        <v/>
      </c>
      <c r="C531" s="30" t="str">
        <f>IFERROR(__xludf.DUMMYFUNCTION("""COMPUTED_VALUE"""),"")</f>
        <v/>
      </c>
      <c r="D531" s="30"/>
      <c r="E531" s="34" t="str">
        <f>IFERROR(__xludf.DUMMYFUNCTION("""COMPUTED_VALUE"""),"")</f>
        <v/>
      </c>
      <c r="F531" s="30"/>
      <c r="G531" s="34" t="str">
        <f>IFERROR(__xludf.DUMMYFUNCTION("""COMPUTED_VALUE"""),"")</f>
        <v/>
      </c>
      <c r="H531" s="34" t="str">
        <f>IFERROR(__xludf.DUMMYFUNCTION("""COMPUTED_VALUE"""),"")</f>
        <v/>
      </c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</row>
    <row r="532">
      <c r="A532" s="30"/>
      <c r="B532" s="30" t="str">
        <f>IFERROR(__xludf.DUMMYFUNCTION("""COMPUTED_VALUE"""),"")</f>
        <v/>
      </c>
      <c r="C532" s="30" t="str">
        <f>IFERROR(__xludf.DUMMYFUNCTION("""COMPUTED_VALUE"""),"")</f>
        <v/>
      </c>
      <c r="D532" s="30"/>
      <c r="E532" s="34" t="str">
        <f>IFERROR(__xludf.DUMMYFUNCTION("""COMPUTED_VALUE"""),"")</f>
        <v/>
      </c>
      <c r="F532" s="30"/>
      <c r="G532" s="34" t="str">
        <f>IFERROR(__xludf.DUMMYFUNCTION("""COMPUTED_VALUE"""),"")</f>
        <v/>
      </c>
      <c r="H532" s="34" t="str">
        <f>IFERROR(__xludf.DUMMYFUNCTION("""COMPUTED_VALUE"""),"")</f>
        <v/>
      </c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</row>
    <row r="533">
      <c r="A533" s="30"/>
      <c r="B533" s="30" t="str">
        <f>IFERROR(__xludf.DUMMYFUNCTION("""COMPUTED_VALUE"""),"")</f>
        <v/>
      </c>
      <c r="C533" s="30" t="str">
        <f>IFERROR(__xludf.DUMMYFUNCTION("""COMPUTED_VALUE"""),"")</f>
        <v/>
      </c>
      <c r="D533" s="30"/>
      <c r="E533" s="34" t="str">
        <f>IFERROR(__xludf.DUMMYFUNCTION("""COMPUTED_VALUE"""),"")</f>
        <v/>
      </c>
      <c r="F533" s="30"/>
      <c r="G533" s="34" t="str">
        <f>IFERROR(__xludf.DUMMYFUNCTION("""COMPUTED_VALUE"""),"")</f>
        <v/>
      </c>
      <c r="H533" s="34" t="str">
        <f>IFERROR(__xludf.DUMMYFUNCTION("""COMPUTED_VALUE"""),"")</f>
        <v/>
      </c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</row>
    <row r="534">
      <c r="A534" s="30"/>
      <c r="B534" s="30" t="str">
        <f>IFERROR(__xludf.DUMMYFUNCTION("""COMPUTED_VALUE"""),"")</f>
        <v/>
      </c>
      <c r="C534" s="30" t="str">
        <f>IFERROR(__xludf.DUMMYFUNCTION("""COMPUTED_VALUE"""),"")</f>
        <v/>
      </c>
      <c r="D534" s="30"/>
      <c r="E534" s="34" t="str">
        <f>IFERROR(__xludf.DUMMYFUNCTION("""COMPUTED_VALUE"""),"")</f>
        <v/>
      </c>
      <c r="F534" s="30"/>
      <c r="G534" s="34" t="str">
        <f>IFERROR(__xludf.DUMMYFUNCTION("""COMPUTED_VALUE"""),"")</f>
        <v/>
      </c>
      <c r="H534" s="34" t="str">
        <f>IFERROR(__xludf.DUMMYFUNCTION("""COMPUTED_VALUE"""),"")</f>
        <v/>
      </c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</row>
    <row r="535">
      <c r="A535" s="30"/>
      <c r="B535" s="30" t="str">
        <f>IFERROR(__xludf.DUMMYFUNCTION("""COMPUTED_VALUE"""),"")</f>
        <v/>
      </c>
      <c r="C535" s="30" t="str">
        <f>IFERROR(__xludf.DUMMYFUNCTION("""COMPUTED_VALUE"""),"")</f>
        <v/>
      </c>
      <c r="D535" s="30"/>
      <c r="E535" s="34" t="str">
        <f>IFERROR(__xludf.DUMMYFUNCTION("""COMPUTED_VALUE"""),"")</f>
        <v/>
      </c>
      <c r="F535" s="30"/>
      <c r="G535" s="34" t="str">
        <f>IFERROR(__xludf.DUMMYFUNCTION("""COMPUTED_VALUE"""),"")</f>
        <v/>
      </c>
      <c r="H535" s="34" t="str">
        <f>IFERROR(__xludf.DUMMYFUNCTION("""COMPUTED_VALUE"""),"")</f>
        <v/>
      </c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</row>
    <row r="536">
      <c r="A536" s="30"/>
      <c r="B536" s="30" t="str">
        <f>IFERROR(__xludf.DUMMYFUNCTION("""COMPUTED_VALUE"""),"")</f>
        <v/>
      </c>
      <c r="C536" s="30" t="str">
        <f>IFERROR(__xludf.DUMMYFUNCTION("""COMPUTED_VALUE"""),"")</f>
        <v/>
      </c>
      <c r="D536" s="30"/>
      <c r="E536" s="34" t="str">
        <f>IFERROR(__xludf.DUMMYFUNCTION("""COMPUTED_VALUE"""),"")</f>
        <v/>
      </c>
      <c r="F536" s="30"/>
      <c r="G536" s="34" t="str">
        <f>IFERROR(__xludf.DUMMYFUNCTION("""COMPUTED_VALUE"""),"")</f>
        <v/>
      </c>
      <c r="H536" s="34" t="str">
        <f>IFERROR(__xludf.DUMMYFUNCTION("""COMPUTED_VALUE"""),"")</f>
        <v/>
      </c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>
      <c r="A537" s="30"/>
      <c r="B537" s="30" t="str">
        <f>IFERROR(__xludf.DUMMYFUNCTION("""COMPUTED_VALUE"""),"")</f>
        <v/>
      </c>
      <c r="C537" s="30" t="str">
        <f>IFERROR(__xludf.DUMMYFUNCTION("""COMPUTED_VALUE"""),"")</f>
        <v/>
      </c>
      <c r="D537" s="30"/>
      <c r="E537" s="34" t="str">
        <f>IFERROR(__xludf.DUMMYFUNCTION("""COMPUTED_VALUE"""),"")</f>
        <v/>
      </c>
      <c r="F537" s="30"/>
      <c r="G537" s="34" t="str">
        <f>IFERROR(__xludf.DUMMYFUNCTION("""COMPUTED_VALUE"""),"")</f>
        <v/>
      </c>
      <c r="H537" s="34" t="str">
        <f>IFERROR(__xludf.DUMMYFUNCTION("""COMPUTED_VALUE"""),"")</f>
        <v/>
      </c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</row>
    <row r="538">
      <c r="A538" s="30"/>
      <c r="B538" s="30" t="str">
        <f>IFERROR(__xludf.DUMMYFUNCTION("""COMPUTED_VALUE"""),"")</f>
        <v/>
      </c>
      <c r="C538" s="30" t="str">
        <f>IFERROR(__xludf.DUMMYFUNCTION("""COMPUTED_VALUE"""),"")</f>
        <v/>
      </c>
      <c r="D538" s="30"/>
      <c r="E538" s="34" t="str">
        <f>IFERROR(__xludf.DUMMYFUNCTION("""COMPUTED_VALUE"""),"")</f>
        <v/>
      </c>
      <c r="F538" s="30"/>
      <c r="G538" s="34" t="str">
        <f>IFERROR(__xludf.DUMMYFUNCTION("""COMPUTED_VALUE"""),"")</f>
        <v/>
      </c>
      <c r="H538" s="34" t="str">
        <f>IFERROR(__xludf.DUMMYFUNCTION("""COMPUTED_VALUE"""),"")</f>
        <v/>
      </c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>
      <c r="A539" s="30"/>
      <c r="B539" s="30" t="str">
        <f>IFERROR(__xludf.DUMMYFUNCTION("""COMPUTED_VALUE"""),"")</f>
        <v/>
      </c>
      <c r="C539" s="30" t="str">
        <f>IFERROR(__xludf.DUMMYFUNCTION("""COMPUTED_VALUE"""),"")</f>
        <v/>
      </c>
      <c r="D539" s="30"/>
      <c r="E539" s="34" t="str">
        <f>IFERROR(__xludf.DUMMYFUNCTION("""COMPUTED_VALUE"""),"")</f>
        <v/>
      </c>
      <c r="F539" s="30"/>
      <c r="G539" s="34" t="str">
        <f>IFERROR(__xludf.DUMMYFUNCTION("""COMPUTED_VALUE"""),"")</f>
        <v/>
      </c>
      <c r="H539" s="34" t="str">
        <f>IFERROR(__xludf.DUMMYFUNCTION("""COMPUTED_VALUE"""),"")</f>
        <v/>
      </c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</row>
    <row r="540">
      <c r="A540" s="30"/>
      <c r="B540" s="30" t="str">
        <f>IFERROR(__xludf.DUMMYFUNCTION("""COMPUTED_VALUE"""),"")</f>
        <v/>
      </c>
      <c r="C540" s="30" t="str">
        <f>IFERROR(__xludf.DUMMYFUNCTION("""COMPUTED_VALUE"""),"")</f>
        <v/>
      </c>
      <c r="D540" s="30"/>
      <c r="E540" s="34" t="str">
        <f>IFERROR(__xludf.DUMMYFUNCTION("""COMPUTED_VALUE"""),"")</f>
        <v/>
      </c>
      <c r="F540" s="30"/>
      <c r="G540" s="34" t="str">
        <f>IFERROR(__xludf.DUMMYFUNCTION("""COMPUTED_VALUE"""),"")</f>
        <v/>
      </c>
      <c r="H540" s="34" t="str">
        <f>IFERROR(__xludf.DUMMYFUNCTION("""COMPUTED_VALUE"""),"")</f>
        <v/>
      </c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</row>
    <row r="541">
      <c r="A541" s="30"/>
      <c r="B541" s="30" t="str">
        <f>IFERROR(__xludf.DUMMYFUNCTION("""COMPUTED_VALUE"""),"")</f>
        <v/>
      </c>
      <c r="C541" s="30" t="str">
        <f>IFERROR(__xludf.DUMMYFUNCTION("""COMPUTED_VALUE"""),"")</f>
        <v/>
      </c>
      <c r="D541" s="30"/>
      <c r="E541" s="34" t="str">
        <f>IFERROR(__xludf.DUMMYFUNCTION("""COMPUTED_VALUE"""),"")</f>
        <v/>
      </c>
      <c r="F541" s="30"/>
      <c r="G541" s="34" t="str">
        <f>IFERROR(__xludf.DUMMYFUNCTION("""COMPUTED_VALUE"""),"")</f>
        <v/>
      </c>
      <c r="H541" s="34" t="str">
        <f>IFERROR(__xludf.DUMMYFUNCTION("""COMPUTED_VALUE"""),"")</f>
        <v/>
      </c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</row>
    <row r="542">
      <c r="A542" s="30"/>
      <c r="B542" s="30" t="str">
        <f>IFERROR(__xludf.DUMMYFUNCTION("""COMPUTED_VALUE"""),"")</f>
        <v/>
      </c>
      <c r="C542" s="30" t="str">
        <f>IFERROR(__xludf.DUMMYFUNCTION("""COMPUTED_VALUE"""),"")</f>
        <v/>
      </c>
      <c r="D542" s="30"/>
      <c r="E542" s="34" t="str">
        <f>IFERROR(__xludf.DUMMYFUNCTION("""COMPUTED_VALUE"""),"")</f>
        <v/>
      </c>
      <c r="F542" s="30"/>
      <c r="G542" s="34" t="str">
        <f>IFERROR(__xludf.DUMMYFUNCTION("""COMPUTED_VALUE"""),"")</f>
        <v/>
      </c>
      <c r="H542" s="34" t="str">
        <f>IFERROR(__xludf.DUMMYFUNCTION("""COMPUTED_VALUE"""),"")</f>
        <v/>
      </c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</row>
    <row r="543">
      <c r="A543" s="30"/>
      <c r="B543" s="30" t="str">
        <f>IFERROR(__xludf.DUMMYFUNCTION("""COMPUTED_VALUE"""),"")</f>
        <v/>
      </c>
      <c r="C543" s="30" t="str">
        <f>IFERROR(__xludf.DUMMYFUNCTION("""COMPUTED_VALUE"""),"")</f>
        <v/>
      </c>
      <c r="D543" s="30"/>
      <c r="E543" s="34" t="str">
        <f>IFERROR(__xludf.DUMMYFUNCTION("""COMPUTED_VALUE"""),"")</f>
        <v/>
      </c>
      <c r="F543" s="30"/>
      <c r="G543" s="34" t="str">
        <f>IFERROR(__xludf.DUMMYFUNCTION("""COMPUTED_VALUE"""),"")</f>
        <v/>
      </c>
      <c r="H543" s="34" t="str">
        <f>IFERROR(__xludf.DUMMYFUNCTION("""COMPUTED_VALUE"""),"")</f>
        <v/>
      </c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</row>
    <row r="544">
      <c r="A544" s="30"/>
      <c r="B544" s="30" t="str">
        <f>IFERROR(__xludf.DUMMYFUNCTION("""COMPUTED_VALUE"""),"")</f>
        <v/>
      </c>
      <c r="C544" s="30" t="str">
        <f>IFERROR(__xludf.DUMMYFUNCTION("""COMPUTED_VALUE"""),"")</f>
        <v/>
      </c>
      <c r="D544" s="30"/>
      <c r="E544" s="34" t="str">
        <f>IFERROR(__xludf.DUMMYFUNCTION("""COMPUTED_VALUE"""),"")</f>
        <v/>
      </c>
      <c r="F544" s="30"/>
      <c r="G544" s="34" t="str">
        <f>IFERROR(__xludf.DUMMYFUNCTION("""COMPUTED_VALUE"""),"")</f>
        <v/>
      </c>
      <c r="H544" s="34" t="str">
        <f>IFERROR(__xludf.DUMMYFUNCTION("""COMPUTED_VALUE"""),"")</f>
        <v/>
      </c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</row>
    <row r="545">
      <c r="A545" s="30"/>
      <c r="B545" s="30" t="str">
        <f>IFERROR(__xludf.DUMMYFUNCTION("""COMPUTED_VALUE"""),"")</f>
        <v/>
      </c>
      <c r="C545" s="30" t="str">
        <f>IFERROR(__xludf.DUMMYFUNCTION("""COMPUTED_VALUE"""),"")</f>
        <v/>
      </c>
      <c r="D545" s="30"/>
      <c r="E545" s="34" t="str">
        <f>IFERROR(__xludf.DUMMYFUNCTION("""COMPUTED_VALUE"""),"")</f>
        <v/>
      </c>
      <c r="F545" s="30"/>
      <c r="G545" s="34" t="str">
        <f>IFERROR(__xludf.DUMMYFUNCTION("""COMPUTED_VALUE"""),"")</f>
        <v/>
      </c>
      <c r="H545" s="34" t="str">
        <f>IFERROR(__xludf.DUMMYFUNCTION("""COMPUTED_VALUE"""),"")</f>
        <v/>
      </c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</row>
    <row r="546">
      <c r="A546" s="30"/>
      <c r="B546" s="30" t="str">
        <f>IFERROR(__xludf.DUMMYFUNCTION("""COMPUTED_VALUE"""),"")</f>
        <v/>
      </c>
      <c r="C546" s="30" t="str">
        <f>IFERROR(__xludf.DUMMYFUNCTION("""COMPUTED_VALUE"""),"")</f>
        <v/>
      </c>
      <c r="D546" s="30"/>
      <c r="E546" s="34" t="str">
        <f>IFERROR(__xludf.DUMMYFUNCTION("""COMPUTED_VALUE"""),"")</f>
        <v/>
      </c>
      <c r="F546" s="30"/>
      <c r="G546" s="34" t="str">
        <f>IFERROR(__xludf.DUMMYFUNCTION("""COMPUTED_VALUE"""),"")</f>
        <v/>
      </c>
      <c r="H546" s="34" t="str">
        <f>IFERROR(__xludf.DUMMYFUNCTION("""COMPUTED_VALUE"""),"")</f>
        <v/>
      </c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</row>
    <row r="547">
      <c r="A547" s="30"/>
      <c r="B547" s="30" t="str">
        <f>IFERROR(__xludf.DUMMYFUNCTION("""COMPUTED_VALUE"""),"")</f>
        <v/>
      </c>
      <c r="C547" s="30" t="str">
        <f>IFERROR(__xludf.DUMMYFUNCTION("""COMPUTED_VALUE"""),"")</f>
        <v/>
      </c>
      <c r="D547" s="30"/>
      <c r="E547" s="34" t="str">
        <f>IFERROR(__xludf.DUMMYFUNCTION("""COMPUTED_VALUE"""),"")</f>
        <v/>
      </c>
      <c r="F547" s="30"/>
      <c r="G547" s="34" t="str">
        <f>IFERROR(__xludf.DUMMYFUNCTION("""COMPUTED_VALUE"""),"")</f>
        <v/>
      </c>
      <c r="H547" s="34" t="str">
        <f>IFERROR(__xludf.DUMMYFUNCTION("""COMPUTED_VALUE"""),"")</f>
        <v/>
      </c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</row>
    <row r="548">
      <c r="A548" s="30"/>
      <c r="B548" s="30" t="str">
        <f>IFERROR(__xludf.DUMMYFUNCTION("""COMPUTED_VALUE"""),"")</f>
        <v/>
      </c>
      <c r="C548" s="30" t="str">
        <f>IFERROR(__xludf.DUMMYFUNCTION("""COMPUTED_VALUE"""),"")</f>
        <v/>
      </c>
      <c r="D548" s="30"/>
      <c r="E548" s="34" t="str">
        <f>IFERROR(__xludf.DUMMYFUNCTION("""COMPUTED_VALUE"""),"")</f>
        <v/>
      </c>
      <c r="F548" s="30"/>
      <c r="G548" s="34" t="str">
        <f>IFERROR(__xludf.DUMMYFUNCTION("""COMPUTED_VALUE"""),"")</f>
        <v/>
      </c>
      <c r="H548" s="34" t="str">
        <f>IFERROR(__xludf.DUMMYFUNCTION("""COMPUTED_VALUE"""),"")</f>
        <v/>
      </c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</row>
    <row r="549">
      <c r="A549" s="30"/>
      <c r="B549" s="30" t="str">
        <f>IFERROR(__xludf.DUMMYFUNCTION("""COMPUTED_VALUE"""),"")</f>
        <v/>
      </c>
      <c r="C549" s="30" t="str">
        <f>IFERROR(__xludf.DUMMYFUNCTION("""COMPUTED_VALUE"""),"")</f>
        <v/>
      </c>
      <c r="D549" s="30"/>
      <c r="E549" s="34" t="str">
        <f>IFERROR(__xludf.DUMMYFUNCTION("""COMPUTED_VALUE"""),"")</f>
        <v/>
      </c>
      <c r="F549" s="30"/>
      <c r="G549" s="34" t="str">
        <f>IFERROR(__xludf.DUMMYFUNCTION("""COMPUTED_VALUE"""),"")</f>
        <v/>
      </c>
      <c r="H549" s="34" t="str">
        <f>IFERROR(__xludf.DUMMYFUNCTION("""COMPUTED_VALUE"""),"")</f>
        <v/>
      </c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</row>
    <row r="550">
      <c r="A550" s="30"/>
      <c r="B550" s="30" t="str">
        <f>IFERROR(__xludf.DUMMYFUNCTION("""COMPUTED_VALUE"""),"")</f>
        <v/>
      </c>
      <c r="C550" s="30" t="str">
        <f>IFERROR(__xludf.DUMMYFUNCTION("""COMPUTED_VALUE"""),"")</f>
        <v/>
      </c>
      <c r="D550" s="30"/>
      <c r="E550" s="34" t="str">
        <f>IFERROR(__xludf.DUMMYFUNCTION("""COMPUTED_VALUE"""),"")</f>
        <v/>
      </c>
      <c r="F550" s="30"/>
      <c r="G550" s="34" t="str">
        <f>IFERROR(__xludf.DUMMYFUNCTION("""COMPUTED_VALUE"""),"")</f>
        <v/>
      </c>
      <c r="H550" s="34" t="str">
        <f>IFERROR(__xludf.DUMMYFUNCTION("""COMPUTED_VALUE"""),"")</f>
        <v/>
      </c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</row>
    <row r="551">
      <c r="A551" s="30"/>
      <c r="B551" s="30" t="str">
        <f>IFERROR(__xludf.DUMMYFUNCTION("""COMPUTED_VALUE"""),"")</f>
        <v/>
      </c>
      <c r="C551" s="30" t="str">
        <f>IFERROR(__xludf.DUMMYFUNCTION("""COMPUTED_VALUE"""),"")</f>
        <v/>
      </c>
      <c r="D551" s="30"/>
      <c r="E551" s="34" t="str">
        <f>IFERROR(__xludf.DUMMYFUNCTION("""COMPUTED_VALUE"""),"")</f>
        <v/>
      </c>
      <c r="F551" s="30"/>
      <c r="G551" s="34" t="str">
        <f>IFERROR(__xludf.DUMMYFUNCTION("""COMPUTED_VALUE"""),"")</f>
        <v/>
      </c>
      <c r="H551" s="34" t="str">
        <f>IFERROR(__xludf.DUMMYFUNCTION("""COMPUTED_VALUE"""),"")</f>
        <v/>
      </c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</row>
    <row r="552">
      <c r="A552" s="30"/>
      <c r="B552" s="30" t="str">
        <f>IFERROR(__xludf.DUMMYFUNCTION("""COMPUTED_VALUE"""),"")</f>
        <v/>
      </c>
      <c r="C552" s="30" t="str">
        <f>IFERROR(__xludf.DUMMYFUNCTION("""COMPUTED_VALUE"""),"")</f>
        <v/>
      </c>
      <c r="D552" s="30"/>
      <c r="E552" s="34" t="str">
        <f>IFERROR(__xludf.DUMMYFUNCTION("""COMPUTED_VALUE"""),"")</f>
        <v/>
      </c>
      <c r="F552" s="30"/>
      <c r="G552" s="34" t="str">
        <f>IFERROR(__xludf.DUMMYFUNCTION("""COMPUTED_VALUE"""),"")</f>
        <v/>
      </c>
      <c r="H552" s="34" t="str">
        <f>IFERROR(__xludf.DUMMYFUNCTION("""COMPUTED_VALUE"""),"")</f>
        <v/>
      </c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</row>
    <row r="553">
      <c r="A553" s="30"/>
      <c r="B553" s="30" t="str">
        <f>IFERROR(__xludf.DUMMYFUNCTION("""COMPUTED_VALUE"""),"")</f>
        <v/>
      </c>
      <c r="C553" s="30" t="str">
        <f>IFERROR(__xludf.DUMMYFUNCTION("""COMPUTED_VALUE"""),"")</f>
        <v/>
      </c>
      <c r="D553" s="30"/>
      <c r="E553" s="34" t="str">
        <f>IFERROR(__xludf.DUMMYFUNCTION("""COMPUTED_VALUE"""),"")</f>
        <v/>
      </c>
      <c r="F553" s="30"/>
      <c r="G553" s="34" t="str">
        <f>IFERROR(__xludf.DUMMYFUNCTION("""COMPUTED_VALUE"""),"")</f>
        <v/>
      </c>
      <c r="H553" s="34" t="str">
        <f>IFERROR(__xludf.DUMMYFUNCTION("""COMPUTED_VALUE"""),"")</f>
        <v/>
      </c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</row>
    <row r="554">
      <c r="A554" s="30"/>
      <c r="B554" s="30" t="str">
        <f>IFERROR(__xludf.DUMMYFUNCTION("""COMPUTED_VALUE"""),"")</f>
        <v/>
      </c>
      <c r="C554" s="30" t="str">
        <f>IFERROR(__xludf.DUMMYFUNCTION("""COMPUTED_VALUE"""),"")</f>
        <v/>
      </c>
      <c r="D554" s="30"/>
      <c r="E554" s="34" t="str">
        <f>IFERROR(__xludf.DUMMYFUNCTION("""COMPUTED_VALUE"""),"")</f>
        <v/>
      </c>
      <c r="F554" s="30"/>
      <c r="G554" s="34" t="str">
        <f>IFERROR(__xludf.DUMMYFUNCTION("""COMPUTED_VALUE"""),"")</f>
        <v/>
      </c>
      <c r="H554" s="34" t="str">
        <f>IFERROR(__xludf.DUMMYFUNCTION("""COMPUTED_VALUE"""),"")</f>
        <v/>
      </c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</row>
    <row r="555">
      <c r="A555" s="30"/>
      <c r="B555" s="30" t="str">
        <f>IFERROR(__xludf.DUMMYFUNCTION("""COMPUTED_VALUE"""),"")</f>
        <v/>
      </c>
      <c r="C555" s="30" t="str">
        <f>IFERROR(__xludf.DUMMYFUNCTION("""COMPUTED_VALUE"""),"")</f>
        <v/>
      </c>
      <c r="D555" s="30"/>
      <c r="E555" s="34" t="str">
        <f>IFERROR(__xludf.DUMMYFUNCTION("""COMPUTED_VALUE"""),"")</f>
        <v/>
      </c>
      <c r="F555" s="30"/>
      <c r="G555" s="34" t="str">
        <f>IFERROR(__xludf.DUMMYFUNCTION("""COMPUTED_VALUE"""),"")</f>
        <v/>
      </c>
      <c r="H555" s="34" t="str">
        <f>IFERROR(__xludf.DUMMYFUNCTION("""COMPUTED_VALUE"""),"")</f>
        <v/>
      </c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</row>
    <row r="556">
      <c r="A556" s="30"/>
      <c r="B556" s="30" t="str">
        <f>IFERROR(__xludf.DUMMYFUNCTION("""COMPUTED_VALUE"""),"")</f>
        <v/>
      </c>
      <c r="C556" s="30" t="str">
        <f>IFERROR(__xludf.DUMMYFUNCTION("""COMPUTED_VALUE"""),"")</f>
        <v/>
      </c>
      <c r="D556" s="30"/>
      <c r="E556" s="34" t="str">
        <f>IFERROR(__xludf.DUMMYFUNCTION("""COMPUTED_VALUE"""),"")</f>
        <v/>
      </c>
      <c r="F556" s="30"/>
      <c r="G556" s="34" t="str">
        <f>IFERROR(__xludf.DUMMYFUNCTION("""COMPUTED_VALUE"""),"")</f>
        <v/>
      </c>
      <c r="H556" s="34" t="str">
        <f>IFERROR(__xludf.DUMMYFUNCTION("""COMPUTED_VALUE"""),"")</f>
        <v/>
      </c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</row>
    <row r="557">
      <c r="A557" s="30"/>
      <c r="B557" s="30" t="str">
        <f>IFERROR(__xludf.DUMMYFUNCTION("""COMPUTED_VALUE"""),"")</f>
        <v/>
      </c>
      <c r="C557" s="30" t="str">
        <f>IFERROR(__xludf.DUMMYFUNCTION("""COMPUTED_VALUE"""),"")</f>
        <v/>
      </c>
      <c r="D557" s="30"/>
      <c r="E557" s="34" t="str">
        <f>IFERROR(__xludf.DUMMYFUNCTION("""COMPUTED_VALUE"""),"")</f>
        <v/>
      </c>
      <c r="F557" s="30"/>
      <c r="G557" s="34" t="str">
        <f>IFERROR(__xludf.DUMMYFUNCTION("""COMPUTED_VALUE"""),"")</f>
        <v/>
      </c>
      <c r="H557" s="34" t="str">
        <f>IFERROR(__xludf.DUMMYFUNCTION("""COMPUTED_VALUE"""),"")</f>
        <v/>
      </c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</row>
    <row r="558">
      <c r="A558" s="30"/>
      <c r="B558" s="30" t="str">
        <f>IFERROR(__xludf.DUMMYFUNCTION("""COMPUTED_VALUE"""),"")</f>
        <v/>
      </c>
      <c r="C558" s="30" t="str">
        <f>IFERROR(__xludf.DUMMYFUNCTION("""COMPUTED_VALUE"""),"")</f>
        <v/>
      </c>
      <c r="D558" s="30"/>
      <c r="E558" s="34" t="str">
        <f>IFERROR(__xludf.DUMMYFUNCTION("""COMPUTED_VALUE"""),"")</f>
        <v/>
      </c>
      <c r="F558" s="30"/>
      <c r="G558" s="34" t="str">
        <f>IFERROR(__xludf.DUMMYFUNCTION("""COMPUTED_VALUE"""),"")</f>
        <v/>
      </c>
      <c r="H558" s="34" t="str">
        <f>IFERROR(__xludf.DUMMYFUNCTION("""COMPUTED_VALUE"""),"")</f>
        <v/>
      </c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</row>
    <row r="559">
      <c r="A559" s="30"/>
      <c r="B559" s="30" t="str">
        <f>IFERROR(__xludf.DUMMYFUNCTION("""COMPUTED_VALUE"""),"")</f>
        <v/>
      </c>
      <c r="C559" s="30" t="str">
        <f>IFERROR(__xludf.DUMMYFUNCTION("""COMPUTED_VALUE"""),"")</f>
        <v/>
      </c>
      <c r="D559" s="30"/>
      <c r="E559" s="34" t="str">
        <f>IFERROR(__xludf.DUMMYFUNCTION("""COMPUTED_VALUE"""),"")</f>
        <v/>
      </c>
      <c r="F559" s="30"/>
      <c r="G559" s="34" t="str">
        <f>IFERROR(__xludf.DUMMYFUNCTION("""COMPUTED_VALUE"""),"")</f>
        <v/>
      </c>
      <c r="H559" s="34" t="str">
        <f>IFERROR(__xludf.DUMMYFUNCTION("""COMPUTED_VALUE"""),"")</f>
        <v/>
      </c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</row>
    <row r="560">
      <c r="A560" s="30"/>
      <c r="B560" s="30" t="str">
        <f>IFERROR(__xludf.DUMMYFUNCTION("""COMPUTED_VALUE"""),"")</f>
        <v/>
      </c>
      <c r="C560" s="30" t="str">
        <f>IFERROR(__xludf.DUMMYFUNCTION("""COMPUTED_VALUE"""),"")</f>
        <v/>
      </c>
      <c r="D560" s="30"/>
      <c r="E560" s="34" t="str">
        <f>IFERROR(__xludf.DUMMYFUNCTION("""COMPUTED_VALUE"""),"")</f>
        <v/>
      </c>
      <c r="F560" s="30"/>
      <c r="G560" s="34" t="str">
        <f>IFERROR(__xludf.DUMMYFUNCTION("""COMPUTED_VALUE"""),"")</f>
        <v/>
      </c>
      <c r="H560" s="34" t="str">
        <f>IFERROR(__xludf.DUMMYFUNCTION("""COMPUTED_VALUE"""),"")</f>
        <v/>
      </c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</row>
    <row r="561">
      <c r="A561" s="30"/>
      <c r="B561" s="30" t="str">
        <f>IFERROR(__xludf.DUMMYFUNCTION("""COMPUTED_VALUE"""),"")</f>
        <v/>
      </c>
      <c r="C561" s="30" t="str">
        <f>IFERROR(__xludf.DUMMYFUNCTION("""COMPUTED_VALUE"""),"")</f>
        <v/>
      </c>
      <c r="D561" s="30"/>
      <c r="E561" s="34" t="str">
        <f>IFERROR(__xludf.DUMMYFUNCTION("""COMPUTED_VALUE"""),"")</f>
        <v/>
      </c>
      <c r="F561" s="30"/>
      <c r="G561" s="34" t="str">
        <f>IFERROR(__xludf.DUMMYFUNCTION("""COMPUTED_VALUE"""),"")</f>
        <v/>
      </c>
      <c r="H561" s="34" t="str">
        <f>IFERROR(__xludf.DUMMYFUNCTION("""COMPUTED_VALUE"""),"")</f>
        <v/>
      </c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</row>
    <row r="562">
      <c r="A562" s="30"/>
      <c r="B562" s="30" t="str">
        <f>IFERROR(__xludf.DUMMYFUNCTION("""COMPUTED_VALUE"""),"")</f>
        <v/>
      </c>
      <c r="C562" s="30" t="str">
        <f>IFERROR(__xludf.DUMMYFUNCTION("""COMPUTED_VALUE"""),"")</f>
        <v/>
      </c>
      <c r="D562" s="30"/>
      <c r="E562" s="34" t="str">
        <f>IFERROR(__xludf.DUMMYFUNCTION("""COMPUTED_VALUE"""),"")</f>
        <v/>
      </c>
      <c r="F562" s="30"/>
      <c r="G562" s="34" t="str">
        <f>IFERROR(__xludf.DUMMYFUNCTION("""COMPUTED_VALUE"""),"")</f>
        <v/>
      </c>
      <c r="H562" s="34" t="str">
        <f>IFERROR(__xludf.DUMMYFUNCTION("""COMPUTED_VALUE"""),"")</f>
        <v/>
      </c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</row>
    <row r="563">
      <c r="A563" s="30"/>
      <c r="B563" s="30" t="str">
        <f>IFERROR(__xludf.DUMMYFUNCTION("""COMPUTED_VALUE"""),"")</f>
        <v/>
      </c>
      <c r="C563" s="30" t="str">
        <f>IFERROR(__xludf.DUMMYFUNCTION("""COMPUTED_VALUE"""),"")</f>
        <v/>
      </c>
      <c r="D563" s="30"/>
      <c r="E563" s="34" t="str">
        <f>IFERROR(__xludf.DUMMYFUNCTION("""COMPUTED_VALUE"""),"")</f>
        <v/>
      </c>
      <c r="F563" s="30"/>
      <c r="G563" s="34" t="str">
        <f>IFERROR(__xludf.DUMMYFUNCTION("""COMPUTED_VALUE"""),"")</f>
        <v/>
      </c>
      <c r="H563" s="34" t="str">
        <f>IFERROR(__xludf.DUMMYFUNCTION("""COMPUTED_VALUE"""),"")</f>
        <v/>
      </c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</row>
    <row r="564">
      <c r="A564" s="30"/>
      <c r="B564" s="30" t="str">
        <f>IFERROR(__xludf.DUMMYFUNCTION("""COMPUTED_VALUE"""),"")</f>
        <v/>
      </c>
      <c r="C564" s="30" t="str">
        <f>IFERROR(__xludf.DUMMYFUNCTION("""COMPUTED_VALUE"""),"")</f>
        <v/>
      </c>
      <c r="D564" s="30"/>
      <c r="E564" s="34" t="str">
        <f>IFERROR(__xludf.DUMMYFUNCTION("""COMPUTED_VALUE"""),"")</f>
        <v/>
      </c>
      <c r="F564" s="30"/>
      <c r="G564" s="34" t="str">
        <f>IFERROR(__xludf.DUMMYFUNCTION("""COMPUTED_VALUE"""),"")</f>
        <v/>
      </c>
      <c r="H564" s="34" t="str">
        <f>IFERROR(__xludf.DUMMYFUNCTION("""COMPUTED_VALUE"""),"")</f>
        <v/>
      </c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</row>
    <row r="565">
      <c r="A565" s="30"/>
      <c r="B565" s="30" t="str">
        <f>IFERROR(__xludf.DUMMYFUNCTION("""COMPUTED_VALUE"""),"")</f>
        <v/>
      </c>
      <c r="C565" s="30" t="str">
        <f>IFERROR(__xludf.DUMMYFUNCTION("""COMPUTED_VALUE"""),"")</f>
        <v/>
      </c>
      <c r="D565" s="30"/>
      <c r="E565" s="34" t="str">
        <f>IFERROR(__xludf.DUMMYFUNCTION("""COMPUTED_VALUE"""),"")</f>
        <v/>
      </c>
      <c r="F565" s="30"/>
      <c r="G565" s="34" t="str">
        <f>IFERROR(__xludf.DUMMYFUNCTION("""COMPUTED_VALUE"""),"")</f>
        <v/>
      </c>
      <c r="H565" s="34" t="str">
        <f>IFERROR(__xludf.DUMMYFUNCTION("""COMPUTED_VALUE"""),"")</f>
        <v/>
      </c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</row>
    <row r="566">
      <c r="A566" s="30"/>
      <c r="B566" s="30" t="str">
        <f>IFERROR(__xludf.DUMMYFUNCTION("""COMPUTED_VALUE"""),"")</f>
        <v/>
      </c>
      <c r="C566" s="30" t="str">
        <f>IFERROR(__xludf.DUMMYFUNCTION("""COMPUTED_VALUE"""),"")</f>
        <v/>
      </c>
      <c r="D566" s="30"/>
      <c r="E566" s="34" t="str">
        <f>IFERROR(__xludf.DUMMYFUNCTION("""COMPUTED_VALUE"""),"")</f>
        <v/>
      </c>
      <c r="F566" s="30"/>
      <c r="G566" s="34" t="str">
        <f>IFERROR(__xludf.DUMMYFUNCTION("""COMPUTED_VALUE"""),"")</f>
        <v/>
      </c>
      <c r="H566" s="34" t="str">
        <f>IFERROR(__xludf.DUMMYFUNCTION("""COMPUTED_VALUE"""),"")</f>
        <v/>
      </c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</row>
    <row r="567">
      <c r="A567" s="30"/>
      <c r="B567" s="30" t="str">
        <f>IFERROR(__xludf.DUMMYFUNCTION("""COMPUTED_VALUE"""),"")</f>
        <v/>
      </c>
      <c r="C567" s="30" t="str">
        <f>IFERROR(__xludf.DUMMYFUNCTION("""COMPUTED_VALUE"""),"")</f>
        <v/>
      </c>
      <c r="D567" s="30"/>
      <c r="E567" s="34" t="str">
        <f>IFERROR(__xludf.DUMMYFUNCTION("""COMPUTED_VALUE"""),"")</f>
        <v/>
      </c>
      <c r="F567" s="30"/>
      <c r="G567" s="34" t="str">
        <f>IFERROR(__xludf.DUMMYFUNCTION("""COMPUTED_VALUE"""),"")</f>
        <v/>
      </c>
      <c r="H567" s="34" t="str">
        <f>IFERROR(__xludf.DUMMYFUNCTION("""COMPUTED_VALUE"""),"")</f>
        <v/>
      </c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</row>
    <row r="568">
      <c r="A568" s="30"/>
      <c r="B568" s="30" t="str">
        <f>IFERROR(__xludf.DUMMYFUNCTION("""COMPUTED_VALUE"""),"")</f>
        <v/>
      </c>
      <c r="C568" s="30" t="str">
        <f>IFERROR(__xludf.DUMMYFUNCTION("""COMPUTED_VALUE"""),"")</f>
        <v/>
      </c>
      <c r="D568" s="30"/>
      <c r="E568" s="34" t="str">
        <f>IFERROR(__xludf.DUMMYFUNCTION("""COMPUTED_VALUE"""),"")</f>
        <v/>
      </c>
      <c r="F568" s="30"/>
      <c r="G568" s="34" t="str">
        <f>IFERROR(__xludf.DUMMYFUNCTION("""COMPUTED_VALUE"""),"")</f>
        <v/>
      </c>
      <c r="H568" s="34" t="str">
        <f>IFERROR(__xludf.DUMMYFUNCTION("""COMPUTED_VALUE"""),"")</f>
        <v/>
      </c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</row>
    <row r="569">
      <c r="A569" s="30"/>
      <c r="B569" s="30" t="str">
        <f>IFERROR(__xludf.DUMMYFUNCTION("""COMPUTED_VALUE"""),"")</f>
        <v/>
      </c>
      <c r="C569" s="30" t="str">
        <f>IFERROR(__xludf.DUMMYFUNCTION("""COMPUTED_VALUE"""),"")</f>
        <v/>
      </c>
      <c r="D569" s="30"/>
      <c r="E569" s="34" t="str">
        <f>IFERROR(__xludf.DUMMYFUNCTION("""COMPUTED_VALUE"""),"")</f>
        <v/>
      </c>
      <c r="F569" s="30"/>
      <c r="G569" s="34" t="str">
        <f>IFERROR(__xludf.DUMMYFUNCTION("""COMPUTED_VALUE"""),"")</f>
        <v/>
      </c>
      <c r="H569" s="34" t="str">
        <f>IFERROR(__xludf.DUMMYFUNCTION("""COMPUTED_VALUE"""),"")</f>
        <v/>
      </c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</row>
    <row r="570">
      <c r="A570" s="30"/>
      <c r="B570" s="30" t="str">
        <f>IFERROR(__xludf.DUMMYFUNCTION("""COMPUTED_VALUE"""),"")</f>
        <v/>
      </c>
      <c r="C570" s="30" t="str">
        <f>IFERROR(__xludf.DUMMYFUNCTION("""COMPUTED_VALUE"""),"")</f>
        <v/>
      </c>
      <c r="D570" s="30"/>
      <c r="E570" s="34" t="str">
        <f>IFERROR(__xludf.DUMMYFUNCTION("""COMPUTED_VALUE"""),"")</f>
        <v/>
      </c>
      <c r="F570" s="30"/>
      <c r="G570" s="34" t="str">
        <f>IFERROR(__xludf.DUMMYFUNCTION("""COMPUTED_VALUE"""),"")</f>
        <v/>
      </c>
      <c r="H570" s="34" t="str">
        <f>IFERROR(__xludf.DUMMYFUNCTION("""COMPUTED_VALUE"""),"")</f>
        <v/>
      </c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</row>
    <row r="571">
      <c r="A571" s="30"/>
      <c r="B571" s="30" t="str">
        <f>IFERROR(__xludf.DUMMYFUNCTION("""COMPUTED_VALUE"""),"")</f>
        <v/>
      </c>
      <c r="C571" s="30" t="str">
        <f>IFERROR(__xludf.DUMMYFUNCTION("""COMPUTED_VALUE"""),"")</f>
        <v/>
      </c>
      <c r="D571" s="30"/>
      <c r="E571" s="34" t="str">
        <f>IFERROR(__xludf.DUMMYFUNCTION("""COMPUTED_VALUE"""),"")</f>
        <v/>
      </c>
      <c r="F571" s="30"/>
      <c r="G571" s="34" t="str">
        <f>IFERROR(__xludf.DUMMYFUNCTION("""COMPUTED_VALUE"""),"")</f>
        <v/>
      </c>
      <c r="H571" s="34" t="str">
        <f>IFERROR(__xludf.DUMMYFUNCTION("""COMPUTED_VALUE"""),"")</f>
        <v/>
      </c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</row>
    <row r="572">
      <c r="A572" s="30"/>
      <c r="B572" s="30" t="str">
        <f>IFERROR(__xludf.DUMMYFUNCTION("""COMPUTED_VALUE"""),"")</f>
        <v/>
      </c>
      <c r="C572" s="30" t="str">
        <f>IFERROR(__xludf.DUMMYFUNCTION("""COMPUTED_VALUE"""),"")</f>
        <v/>
      </c>
      <c r="D572" s="30"/>
      <c r="E572" s="34" t="str">
        <f>IFERROR(__xludf.DUMMYFUNCTION("""COMPUTED_VALUE"""),"")</f>
        <v/>
      </c>
      <c r="F572" s="30"/>
      <c r="G572" s="34" t="str">
        <f>IFERROR(__xludf.DUMMYFUNCTION("""COMPUTED_VALUE"""),"")</f>
        <v/>
      </c>
      <c r="H572" s="34" t="str">
        <f>IFERROR(__xludf.DUMMYFUNCTION("""COMPUTED_VALUE"""),"")</f>
        <v/>
      </c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</row>
    <row r="573">
      <c r="A573" s="30"/>
      <c r="B573" s="30" t="str">
        <f>IFERROR(__xludf.DUMMYFUNCTION("""COMPUTED_VALUE"""),"")</f>
        <v/>
      </c>
      <c r="C573" s="30" t="str">
        <f>IFERROR(__xludf.DUMMYFUNCTION("""COMPUTED_VALUE"""),"")</f>
        <v/>
      </c>
      <c r="D573" s="30"/>
      <c r="E573" s="34" t="str">
        <f>IFERROR(__xludf.DUMMYFUNCTION("""COMPUTED_VALUE"""),"")</f>
        <v/>
      </c>
      <c r="F573" s="30"/>
      <c r="G573" s="34" t="str">
        <f>IFERROR(__xludf.DUMMYFUNCTION("""COMPUTED_VALUE"""),"")</f>
        <v/>
      </c>
      <c r="H573" s="34" t="str">
        <f>IFERROR(__xludf.DUMMYFUNCTION("""COMPUTED_VALUE"""),"")</f>
        <v/>
      </c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</row>
    <row r="574">
      <c r="A574" s="30"/>
      <c r="B574" s="30" t="str">
        <f>IFERROR(__xludf.DUMMYFUNCTION("""COMPUTED_VALUE"""),"")</f>
        <v/>
      </c>
      <c r="C574" s="30" t="str">
        <f>IFERROR(__xludf.DUMMYFUNCTION("""COMPUTED_VALUE"""),"")</f>
        <v/>
      </c>
      <c r="D574" s="30"/>
      <c r="E574" s="34" t="str">
        <f>IFERROR(__xludf.DUMMYFUNCTION("""COMPUTED_VALUE"""),"")</f>
        <v/>
      </c>
      <c r="F574" s="30"/>
      <c r="G574" s="34" t="str">
        <f>IFERROR(__xludf.DUMMYFUNCTION("""COMPUTED_VALUE"""),"")</f>
        <v/>
      </c>
      <c r="H574" s="34" t="str">
        <f>IFERROR(__xludf.DUMMYFUNCTION("""COMPUTED_VALUE"""),"")</f>
        <v/>
      </c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</row>
    <row r="575">
      <c r="A575" s="30"/>
      <c r="B575" s="30" t="str">
        <f>IFERROR(__xludf.DUMMYFUNCTION("""COMPUTED_VALUE"""),"")</f>
        <v/>
      </c>
      <c r="C575" s="30" t="str">
        <f>IFERROR(__xludf.DUMMYFUNCTION("""COMPUTED_VALUE"""),"")</f>
        <v/>
      </c>
      <c r="D575" s="30"/>
      <c r="E575" s="34" t="str">
        <f>IFERROR(__xludf.DUMMYFUNCTION("""COMPUTED_VALUE"""),"")</f>
        <v/>
      </c>
      <c r="F575" s="30"/>
      <c r="G575" s="34" t="str">
        <f>IFERROR(__xludf.DUMMYFUNCTION("""COMPUTED_VALUE"""),"")</f>
        <v/>
      </c>
      <c r="H575" s="34" t="str">
        <f>IFERROR(__xludf.DUMMYFUNCTION("""COMPUTED_VALUE"""),"")</f>
        <v/>
      </c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</row>
    <row r="576">
      <c r="A576" s="30"/>
      <c r="B576" s="30" t="str">
        <f>IFERROR(__xludf.DUMMYFUNCTION("""COMPUTED_VALUE"""),"")</f>
        <v/>
      </c>
      <c r="C576" s="30" t="str">
        <f>IFERROR(__xludf.DUMMYFUNCTION("""COMPUTED_VALUE"""),"")</f>
        <v/>
      </c>
      <c r="D576" s="30"/>
      <c r="E576" s="34" t="str">
        <f>IFERROR(__xludf.DUMMYFUNCTION("""COMPUTED_VALUE"""),"")</f>
        <v/>
      </c>
      <c r="F576" s="30"/>
      <c r="G576" s="34" t="str">
        <f>IFERROR(__xludf.DUMMYFUNCTION("""COMPUTED_VALUE"""),"")</f>
        <v/>
      </c>
      <c r="H576" s="34" t="str">
        <f>IFERROR(__xludf.DUMMYFUNCTION("""COMPUTED_VALUE"""),"")</f>
        <v/>
      </c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</row>
    <row r="577">
      <c r="A577" s="30"/>
      <c r="B577" s="30" t="str">
        <f>IFERROR(__xludf.DUMMYFUNCTION("""COMPUTED_VALUE"""),"")</f>
        <v/>
      </c>
      <c r="C577" s="30" t="str">
        <f>IFERROR(__xludf.DUMMYFUNCTION("""COMPUTED_VALUE"""),"")</f>
        <v/>
      </c>
      <c r="D577" s="30"/>
      <c r="E577" s="34" t="str">
        <f>IFERROR(__xludf.DUMMYFUNCTION("""COMPUTED_VALUE"""),"")</f>
        <v/>
      </c>
      <c r="F577" s="30"/>
      <c r="G577" s="34" t="str">
        <f>IFERROR(__xludf.DUMMYFUNCTION("""COMPUTED_VALUE"""),"")</f>
        <v/>
      </c>
      <c r="H577" s="34" t="str">
        <f>IFERROR(__xludf.DUMMYFUNCTION("""COMPUTED_VALUE"""),"")</f>
        <v/>
      </c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>
      <c r="A578" s="30"/>
      <c r="B578" s="30" t="str">
        <f>IFERROR(__xludf.DUMMYFUNCTION("""COMPUTED_VALUE"""),"")</f>
        <v/>
      </c>
      <c r="C578" s="30" t="str">
        <f>IFERROR(__xludf.DUMMYFUNCTION("""COMPUTED_VALUE"""),"")</f>
        <v/>
      </c>
      <c r="D578" s="30"/>
      <c r="E578" s="34" t="str">
        <f>IFERROR(__xludf.DUMMYFUNCTION("""COMPUTED_VALUE"""),"")</f>
        <v/>
      </c>
      <c r="F578" s="30"/>
      <c r="G578" s="34" t="str">
        <f>IFERROR(__xludf.DUMMYFUNCTION("""COMPUTED_VALUE"""),"")</f>
        <v/>
      </c>
      <c r="H578" s="34" t="str">
        <f>IFERROR(__xludf.DUMMYFUNCTION("""COMPUTED_VALUE"""),"")</f>
        <v/>
      </c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</row>
    <row r="579">
      <c r="A579" s="30"/>
      <c r="B579" s="30" t="str">
        <f>IFERROR(__xludf.DUMMYFUNCTION("""COMPUTED_VALUE"""),"")</f>
        <v/>
      </c>
      <c r="C579" s="30" t="str">
        <f>IFERROR(__xludf.DUMMYFUNCTION("""COMPUTED_VALUE"""),"")</f>
        <v/>
      </c>
      <c r="D579" s="30"/>
      <c r="E579" s="34" t="str">
        <f>IFERROR(__xludf.DUMMYFUNCTION("""COMPUTED_VALUE"""),"")</f>
        <v/>
      </c>
      <c r="F579" s="30"/>
      <c r="G579" s="34" t="str">
        <f>IFERROR(__xludf.DUMMYFUNCTION("""COMPUTED_VALUE"""),"")</f>
        <v/>
      </c>
      <c r="H579" s="34" t="str">
        <f>IFERROR(__xludf.DUMMYFUNCTION("""COMPUTED_VALUE"""),"")</f>
        <v/>
      </c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</row>
    <row r="580">
      <c r="A580" s="30"/>
      <c r="B580" s="30" t="str">
        <f>IFERROR(__xludf.DUMMYFUNCTION("""COMPUTED_VALUE"""),"")</f>
        <v/>
      </c>
      <c r="C580" s="30" t="str">
        <f>IFERROR(__xludf.DUMMYFUNCTION("""COMPUTED_VALUE"""),"")</f>
        <v/>
      </c>
      <c r="D580" s="30"/>
      <c r="E580" s="34" t="str">
        <f>IFERROR(__xludf.DUMMYFUNCTION("""COMPUTED_VALUE"""),"")</f>
        <v/>
      </c>
      <c r="F580" s="30"/>
      <c r="G580" s="34" t="str">
        <f>IFERROR(__xludf.DUMMYFUNCTION("""COMPUTED_VALUE"""),"")</f>
        <v/>
      </c>
      <c r="H580" s="34" t="str">
        <f>IFERROR(__xludf.DUMMYFUNCTION("""COMPUTED_VALUE"""),"")</f>
        <v/>
      </c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</row>
    <row r="581">
      <c r="A581" s="30"/>
      <c r="B581" s="30" t="str">
        <f>IFERROR(__xludf.DUMMYFUNCTION("""COMPUTED_VALUE"""),"")</f>
        <v/>
      </c>
      <c r="C581" s="30" t="str">
        <f>IFERROR(__xludf.DUMMYFUNCTION("""COMPUTED_VALUE"""),"")</f>
        <v/>
      </c>
      <c r="D581" s="30"/>
      <c r="E581" s="34" t="str">
        <f>IFERROR(__xludf.DUMMYFUNCTION("""COMPUTED_VALUE"""),"")</f>
        <v/>
      </c>
      <c r="F581" s="30"/>
      <c r="G581" s="34" t="str">
        <f>IFERROR(__xludf.DUMMYFUNCTION("""COMPUTED_VALUE"""),"")</f>
        <v/>
      </c>
      <c r="H581" s="34" t="str">
        <f>IFERROR(__xludf.DUMMYFUNCTION("""COMPUTED_VALUE"""),"")</f>
        <v/>
      </c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</row>
    <row r="582">
      <c r="A582" s="30"/>
      <c r="B582" s="30" t="str">
        <f>IFERROR(__xludf.DUMMYFUNCTION("""COMPUTED_VALUE"""),"")</f>
        <v/>
      </c>
      <c r="C582" s="30" t="str">
        <f>IFERROR(__xludf.DUMMYFUNCTION("""COMPUTED_VALUE"""),"")</f>
        <v/>
      </c>
      <c r="D582" s="30"/>
      <c r="E582" s="34" t="str">
        <f>IFERROR(__xludf.DUMMYFUNCTION("""COMPUTED_VALUE"""),"")</f>
        <v/>
      </c>
      <c r="F582" s="30"/>
      <c r="G582" s="34" t="str">
        <f>IFERROR(__xludf.DUMMYFUNCTION("""COMPUTED_VALUE"""),"")</f>
        <v/>
      </c>
      <c r="H582" s="34" t="str">
        <f>IFERROR(__xludf.DUMMYFUNCTION("""COMPUTED_VALUE"""),"")</f>
        <v/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</row>
    <row r="583">
      <c r="A583" s="30"/>
      <c r="B583" s="30" t="str">
        <f>IFERROR(__xludf.DUMMYFUNCTION("""COMPUTED_VALUE"""),"")</f>
        <v/>
      </c>
      <c r="C583" s="30" t="str">
        <f>IFERROR(__xludf.DUMMYFUNCTION("""COMPUTED_VALUE"""),"")</f>
        <v/>
      </c>
      <c r="D583" s="30"/>
      <c r="E583" s="34" t="str">
        <f>IFERROR(__xludf.DUMMYFUNCTION("""COMPUTED_VALUE"""),"")</f>
        <v/>
      </c>
      <c r="F583" s="30"/>
      <c r="G583" s="34" t="str">
        <f>IFERROR(__xludf.DUMMYFUNCTION("""COMPUTED_VALUE"""),"")</f>
        <v/>
      </c>
      <c r="H583" s="34" t="str">
        <f>IFERROR(__xludf.DUMMYFUNCTION("""COMPUTED_VALUE"""),"")</f>
        <v/>
      </c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</row>
    <row r="584">
      <c r="A584" s="30"/>
      <c r="B584" s="30" t="str">
        <f>IFERROR(__xludf.DUMMYFUNCTION("""COMPUTED_VALUE"""),"")</f>
        <v/>
      </c>
      <c r="C584" s="30" t="str">
        <f>IFERROR(__xludf.DUMMYFUNCTION("""COMPUTED_VALUE"""),"")</f>
        <v/>
      </c>
      <c r="D584" s="30"/>
      <c r="E584" s="34" t="str">
        <f>IFERROR(__xludf.DUMMYFUNCTION("""COMPUTED_VALUE"""),"")</f>
        <v/>
      </c>
      <c r="F584" s="30"/>
      <c r="G584" s="34" t="str">
        <f>IFERROR(__xludf.DUMMYFUNCTION("""COMPUTED_VALUE"""),"")</f>
        <v/>
      </c>
      <c r="H584" s="34" t="str">
        <f>IFERROR(__xludf.DUMMYFUNCTION("""COMPUTED_VALUE"""),"")</f>
        <v/>
      </c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</row>
    <row r="585">
      <c r="A585" s="30"/>
      <c r="B585" s="30" t="str">
        <f>IFERROR(__xludf.DUMMYFUNCTION("""COMPUTED_VALUE"""),"")</f>
        <v/>
      </c>
      <c r="C585" s="30" t="str">
        <f>IFERROR(__xludf.DUMMYFUNCTION("""COMPUTED_VALUE"""),"")</f>
        <v/>
      </c>
      <c r="D585" s="30"/>
      <c r="E585" s="34" t="str">
        <f>IFERROR(__xludf.DUMMYFUNCTION("""COMPUTED_VALUE"""),"")</f>
        <v/>
      </c>
      <c r="F585" s="30"/>
      <c r="G585" s="34" t="str">
        <f>IFERROR(__xludf.DUMMYFUNCTION("""COMPUTED_VALUE"""),"")</f>
        <v/>
      </c>
      <c r="H585" s="34" t="str">
        <f>IFERROR(__xludf.DUMMYFUNCTION("""COMPUTED_VALUE"""),"")</f>
        <v/>
      </c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</row>
    <row r="586">
      <c r="A586" s="30"/>
      <c r="B586" s="30" t="str">
        <f>IFERROR(__xludf.DUMMYFUNCTION("""COMPUTED_VALUE"""),"")</f>
        <v/>
      </c>
      <c r="C586" s="30" t="str">
        <f>IFERROR(__xludf.DUMMYFUNCTION("""COMPUTED_VALUE"""),"")</f>
        <v/>
      </c>
      <c r="D586" s="30"/>
      <c r="E586" s="34" t="str">
        <f>IFERROR(__xludf.DUMMYFUNCTION("""COMPUTED_VALUE"""),"")</f>
        <v/>
      </c>
      <c r="F586" s="30"/>
      <c r="G586" s="34" t="str">
        <f>IFERROR(__xludf.DUMMYFUNCTION("""COMPUTED_VALUE"""),"")</f>
        <v/>
      </c>
      <c r="H586" s="34" t="str">
        <f>IFERROR(__xludf.DUMMYFUNCTION("""COMPUTED_VALUE"""),"")</f>
        <v/>
      </c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</row>
    <row r="587">
      <c r="A587" s="30"/>
      <c r="B587" s="30" t="str">
        <f>IFERROR(__xludf.DUMMYFUNCTION("""COMPUTED_VALUE"""),"")</f>
        <v/>
      </c>
      <c r="C587" s="30" t="str">
        <f>IFERROR(__xludf.DUMMYFUNCTION("""COMPUTED_VALUE"""),"")</f>
        <v/>
      </c>
      <c r="D587" s="30"/>
      <c r="E587" s="34" t="str">
        <f>IFERROR(__xludf.DUMMYFUNCTION("""COMPUTED_VALUE"""),"")</f>
        <v/>
      </c>
      <c r="F587" s="30"/>
      <c r="G587" s="34" t="str">
        <f>IFERROR(__xludf.DUMMYFUNCTION("""COMPUTED_VALUE"""),"")</f>
        <v/>
      </c>
      <c r="H587" s="34" t="str">
        <f>IFERROR(__xludf.DUMMYFUNCTION("""COMPUTED_VALUE"""),"")</f>
        <v/>
      </c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</row>
    <row r="588">
      <c r="A588" s="30"/>
      <c r="B588" s="30" t="str">
        <f>IFERROR(__xludf.DUMMYFUNCTION("""COMPUTED_VALUE"""),"")</f>
        <v/>
      </c>
      <c r="C588" s="30" t="str">
        <f>IFERROR(__xludf.DUMMYFUNCTION("""COMPUTED_VALUE"""),"")</f>
        <v/>
      </c>
      <c r="D588" s="30"/>
      <c r="E588" s="34" t="str">
        <f>IFERROR(__xludf.DUMMYFUNCTION("""COMPUTED_VALUE"""),"")</f>
        <v/>
      </c>
      <c r="F588" s="30"/>
      <c r="G588" s="34" t="str">
        <f>IFERROR(__xludf.DUMMYFUNCTION("""COMPUTED_VALUE"""),"")</f>
        <v/>
      </c>
      <c r="H588" s="34" t="str">
        <f>IFERROR(__xludf.DUMMYFUNCTION("""COMPUTED_VALUE"""),"")</f>
        <v/>
      </c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</row>
    <row r="589">
      <c r="A589" s="30"/>
      <c r="B589" s="30" t="str">
        <f>IFERROR(__xludf.DUMMYFUNCTION("""COMPUTED_VALUE"""),"")</f>
        <v/>
      </c>
      <c r="C589" s="30" t="str">
        <f>IFERROR(__xludf.DUMMYFUNCTION("""COMPUTED_VALUE"""),"")</f>
        <v/>
      </c>
      <c r="D589" s="30"/>
      <c r="E589" s="34" t="str">
        <f>IFERROR(__xludf.DUMMYFUNCTION("""COMPUTED_VALUE"""),"")</f>
        <v/>
      </c>
      <c r="F589" s="30"/>
      <c r="G589" s="34" t="str">
        <f>IFERROR(__xludf.DUMMYFUNCTION("""COMPUTED_VALUE"""),"")</f>
        <v/>
      </c>
      <c r="H589" s="34" t="str">
        <f>IFERROR(__xludf.DUMMYFUNCTION("""COMPUTED_VALUE"""),"")</f>
        <v/>
      </c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</row>
    <row r="590">
      <c r="A590" s="30"/>
      <c r="B590" s="30" t="str">
        <f>IFERROR(__xludf.DUMMYFUNCTION("""COMPUTED_VALUE"""),"")</f>
        <v/>
      </c>
      <c r="C590" s="30" t="str">
        <f>IFERROR(__xludf.DUMMYFUNCTION("""COMPUTED_VALUE"""),"")</f>
        <v/>
      </c>
      <c r="D590" s="30"/>
      <c r="E590" s="34" t="str">
        <f>IFERROR(__xludf.DUMMYFUNCTION("""COMPUTED_VALUE"""),"")</f>
        <v/>
      </c>
      <c r="F590" s="30"/>
      <c r="G590" s="34" t="str">
        <f>IFERROR(__xludf.DUMMYFUNCTION("""COMPUTED_VALUE"""),"")</f>
        <v/>
      </c>
      <c r="H590" s="34" t="str">
        <f>IFERROR(__xludf.DUMMYFUNCTION("""COMPUTED_VALUE"""),"")</f>
        <v/>
      </c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</row>
    <row r="591">
      <c r="A591" s="30"/>
      <c r="B591" s="30" t="str">
        <f>IFERROR(__xludf.DUMMYFUNCTION("""COMPUTED_VALUE"""),"")</f>
        <v/>
      </c>
      <c r="C591" s="30" t="str">
        <f>IFERROR(__xludf.DUMMYFUNCTION("""COMPUTED_VALUE"""),"")</f>
        <v/>
      </c>
      <c r="D591" s="30"/>
      <c r="E591" s="34" t="str">
        <f>IFERROR(__xludf.DUMMYFUNCTION("""COMPUTED_VALUE"""),"")</f>
        <v/>
      </c>
      <c r="F591" s="30"/>
      <c r="G591" s="34" t="str">
        <f>IFERROR(__xludf.DUMMYFUNCTION("""COMPUTED_VALUE"""),"")</f>
        <v/>
      </c>
      <c r="H591" s="34" t="str">
        <f>IFERROR(__xludf.DUMMYFUNCTION("""COMPUTED_VALUE"""),"")</f>
        <v/>
      </c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</row>
    <row r="592">
      <c r="A592" s="30"/>
      <c r="B592" s="30" t="str">
        <f>IFERROR(__xludf.DUMMYFUNCTION("""COMPUTED_VALUE"""),"")</f>
        <v/>
      </c>
      <c r="C592" s="30" t="str">
        <f>IFERROR(__xludf.DUMMYFUNCTION("""COMPUTED_VALUE"""),"")</f>
        <v/>
      </c>
      <c r="D592" s="30"/>
      <c r="E592" s="34" t="str">
        <f>IFERROR(__xludf.DUMMYFUNCTION("""COMPUTED_VALUE"""),"")</f>
        <v/>
      </c>
      <c r="F592" s="30"/>
      <c r="G592" s="34" t="str">
        <f>IFERROR(__xludf.DUMMYFUNCTION("""COMPUTED_VALUE"""),"")</f>
        <v/>
      </c>
      <c r="H592" s="34" t="str">
        <f>IFERROR(__xludf.DUMMYFUNCTION("""COMPUTED_VALUE"""),"")</f>
        <v/>
      </c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</row>
    <row r="593">
      <c r="A593" s="30"/>
      <c r="B593" s="30" t="str">
        <f>IFERROR(__xludf.DUMMYFUNCTION("""COMPUTED_VALUE"""),"")</f>
        <v/>
      </c>
      <c r="C593" s="30" t="str">
        <f>IFERROR(__xludf.DUMMYFUNCTION("""COMPUTED_VALUE"""),"")</f>
        <v/>
      </c>
      <c r="D593" s="30"/>
      <c r="E593" s="34" t="str">
        <f>IFERROR(__xludf.DUMMYFUNCTION("""COMPUTED_VALUE"""),"")</f>
        <v/>
      </c>
      <c r="F593" s="30"/>
      <c r="G593" s="34" t="str">
        <f>IFERROR(__xludf.DUMMYFUNCTION("""COMPUTED_VALUE"""),"")</f>
        <v/>
      </c>
      <c r="H593" s="34" t="str">
        <f>IFERROR(__xludf.DUMMYFUNCTION("""COMPUTED_VALUE"""),"")</f>
        <v/>
      </c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</row>
    <row r="594">
      <c r="A594" s="30"/>
      <c r="B594" s="30" t="str">
        <f>IFERROR(__xludf.DUMMYFUNCTION("""COMPUTED_VALUE"""),"")</f>
        <v/>
      </c>
      <c r="C594" s="30" t="str">
        <f>IFERROR(__xludf.DUMMYFUNCTION("""COMPUTED_VALUE"""),"")</f>
        <v/>
      </c>
      <c r="D594" s="30"/>
      <c r="E594" s="34" t="str">
        <f>IFERROR(__xludf.DUMMYFUNCTION("""COMPUTED_VALUE"""),"")</f>
        <v/>
      </c>
      <c r="F594" s="30"/>
      <c r="G594" s="34" t="str">
        <f>IFERROR(__xludf.DUMMYFUNCTION("""COMPUTED_VALUE"""),"")</f>
        <v/>
      </c>
      <c r="H594" s="34" t="str">
        <f>IFERROR(__xludf.DUMMYFUNCTION("""COMPUTED_VALUE"""),"")</f>
        <v/>
      </c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</row>
    <row r="595">
      <c r="A595" s="30"/>
      <c r="B595" s="30" t="str">
        <f>IFERROR(__xludf.DUMMYFUNCTION("""COMPUTED_VALUE"""),"")</f>
        <v/>
      </c>
      <c r="C595" s="30" t="str">
        <f>IFERROR(__xludf.DUMMYFUNCTION("""COMPUTED_VALUE"""),"")</f>
        <v/>
      </c>
      <c r="D595" s="30"/>
      <c r="E595" s="34" t="str">
        <f>IFERROR(__xludf.DUMMYFUNCTION("""COMPUTED_VALUE"""),"")</f>
        <v/>
      </c>
      <c r="F595" s="30"/>
      <c r="G595" s="34" t="str">
        <f>IFERROR(__xludf.DUMMYFUNCTION("""COMPUTED_VALUE"""),"")</f>
        <v/>
      </c>
      <c r="H595" s="34" t="str">
        <f>IFERROR(__xludf.DUMMYFUNCTION("""COMPUTED_VALUE"""),"")</f>
        <v/>
      </c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</row>
    <row r="596">
      <c r="A596" s="30"/>
      <c r="B596" s="30" t="str">
        <f>IFERROR(__xludf.DUMMYFUNCTION("""COMPUTED_VALUE"""),"")</f>
        <v/>
      </c>
      <c r="C596" s="30" t="str">
        <f>IFERROR(__xludf.DUMMYFUNCTION("""COMPUTED_VALUE"""),"")</f>
        <v/>
      </c>
      <c r="D596" s="30"/>
      <c r="E596" s="34" t="str">
        <f>IFERROR(__xludf.DUMMYFUNCTION("""COMPUTED_VALUE"""),"")</f>
        <v/>
      </c>
      <c r="F596" s="30"/>
      <c r="G596" s="34" t="str">
        <f>IFERROR(__xludf.DUMMYFUNCTION("""COMPUTED_VALUE"""),"")</f>
        <v/>
      </c>
      <c r="H596" s="34" t="str">
        <f>IFERROR(__xludf.DUMMYFUNCTION("""COMPUTED_VALUE"""),"")</f>
        <v/>
      </c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</row>
    <row r="597">
      <c r="A597" s="30"/>
      <c r="B597" s="30" t="str">
        <f>IFERROR(__xludf.DUMMYFUNCTION("""COMPUTED_VALUE"""),"")</f>
        <v/>
      </c>
      <c r="C597" s="30" t="str">
        <f>IFERROR(__xludf.DUMMYFUNCTION("""COMPUTED_VALUE"""),"")</f>
        <v/>
      </c>
      <c r="D597" s="30"/>
      <c r="E597" s="34" t="str">
        <f>IFERROR(__xludf.DUMMYFUNCTION("""COMPUTED_VALUE"""),"")</f>
        <v/>
      </c>
      <c r="F597" s="30"/>
      <c r="G597" s="34" t="str">
        <f>IFERROR(__xludf.DUMMYFUNCTION("""COMPUTED_VALUE"""),"")</f>
        <v/>
      </c>
      <c r="H597" s="34" t="str">
        <f>IFERROR(__xludf.DUMMYFUNCTION("""COMPUTED_VALUE"""),"")</f>
        <v/>
      </c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</row>
    <row r="598">
      <c r="A598" s="30"/>
      <c r="B598" s="30" t="str">
        <f>IFERROR(__xludf.DUMMYFUNCTION("""COMPUTED_VALUE"""),"")</f>
        <v/>
      </c>
      <c r="C598" s="30" t="str">
        <f>IFERROR(__xludf.DUMMYFUNCTION("""COMPUTED_VALUE"""),"")</f>
        <v/>
      </c>
      <c r="D598" s="30"/>
      <c r="E598" s="34" t="str">
        <f>IFERROR(__xludf.DUMMYFUNCTION("""COMPUTED_VALUE"""),"")</f>
        <v/>
      </c>
      <c r="F598" s="30"/>
      <c r="G598" s="34" t="str">
        <f>IFERROR(__xludf.DUMMYFUNCTION("""COMPUTED_VALUE"""),"")</f>
        <v/>
      </c>
      <c r="H598" s="34" t="str">
        <f>IFERROR(__xludf.DUMMYFUNCTION("""COMPUTED_VALUE"""),"")</f>
        <v/>
      </c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</row>
    <row r="599">
      <c r="A599" s="30"/>
      <c r="B599" s="30" t="str">
        <f>IFERROR(__xludf.DUMMYFUNCTION("""COMPUTED_VALUE"""),"")</f>
        <v/>
      </c>
      <c r="C599" s="30" t="str">
        <f>IFERROR(__xludf.DUMMYFUNCTION("""COMPUTED_VALUE"""),"")</f>
        <v/>
      </c>
      <c r="D599" s="30"/>
      <c r="E599" s="34" t="str">
        <f>IFERROR(__xludf.DUMMYFUNCTION("""COMPUTED_VALUE"""),"")</f>
        <v/>
      </c>
      <c r="F599" s="30"/>
      <c r="G599" s="34" t="str">
        <f>IFERROR(__xludf.DUMMYFUNCTION("""COMPUTED_VALUE"""),"")</f>
        <v/>
      </c>
      <c r="H599" s="34" t="str">
        <f>IFERROR(__xludf.DUMMYFUNCTION("""COMPUTED_VALUE"""),"")</f>
        <v/>
      </c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</row>
    <row r="600">
      <c r="A600" s="30"/>
      <c r="B600" s="30" t="str">
        <f>IFERROR(__xludf.DUMMYFUNCTION("""COMPUTED_VALUE"""),"")</f>
        <v/>
      </c>
      <c r="C600" s="30" t="str">
        <f>IFERROR(__xludf.DUMMYFUNCTION("""COMPUTED_VALUE"""),"")</f>
        <v/>
      </c>
      <c r="D600" s="30"/>
      <c r="E600" s="34" t="str">
        <f>IFERROR(__xludf.DUMMYFUNCTION("""COMPUTED_VALUE"""),"")</f>
        <v/>
      </c>
      <c r="F600" s="30"/>
      <c r="G600" s="34" t="str">
        <f>IFERROR(__xludf.DUMMYFUNCTION("""COMPUTED_VALUE"""),"")</f>
        <v/>
      </c>
      <c r="H600" s="34" t="str">
        <f>IFERROR(__xludf.DUMMYFUNCTION("""COMPUTED_VALUE"""),"")</f>
        <v/>
      </c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</row>
    <row r="601">
      <c r="A601" s="30"/>
      <c r="B601" s="30" t="str">
        <f>IFERROR(__xludf.DUMMYFUNCTION("""COMPUTED_VALUE"""),"")</f>
        <v/>
      </c>
      <c r="C601" s="30" t="str">
        <f>IFERROR(__xludf.DUMMYFUNCTION("""COMPUTED_VALUE"""),"")</f>
        <v/>
      </c>
      <c r="D601" s="30"/>
      <c r="E601" s="34" t="str">
        <f>IFERROR(__xludf.DUMMYFUNCTION("""COMPUTED_VALUE"""),"")</f>
        <v/>
      </c>
      <c r="F601" s="30"/>
      <c r="G601" s="34" t="str">
        <f>IFERROR(__xludf.DUMMYFUNCTION("""COMPUTED_VALUE"""),"")</f>
        <v/>
      </c>
      <c r="H601" s="34" t="str">
        <f>IFERROR(__xludf.DUMMYFUNCTION("""COMPUTED_VALUE"""),"")</f>
        <v/>
      </c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</row>
    <row r="602">
      <c r="A602" s="30"/>
      <c r="B602" s="30" t="str">
        <f>IFERROR(__xludf.DUMMYFUNCTION("""COMPUTED_VALUE"""),"")</f>
        <v/>
      </c>
      <c r="C602" s="30" t="str">
        <f>IFERROR(__xludf.DUMMYFUNCTION("""COMPUTED_VALUE"""),"")</f>
        <v/>
      </c>
      <c r="D602" s="30"/>
      <c r="E602" s="34" t="str">
        <f>IFERROR(__xludf.DUMMYFUNCTION("""COMPUTED_VALUE"""),"")</f>
        <v/>
      </c>
      <c r="F602" s="30"/>
      <c r="G602" s="34" t="str">
        <f>IFERROR(__xludf.DUMMYFUNCTION("""COMPUTED_VALUE"""),"")</f>
        <v/>
      </c>
      <c r="H602" s="34" t="str">
        <f>IFERROR(__xludf.DUMMYFUNCTION("""COMPUTED_VALUE"""),"")</f>
        <v/>
      </c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</row>
    <row r="603">
      <c r="A603" s="30"/>
      <c r="B603" s="30" t="str">
        <f>IFERROR(__xludf.DUMMYFUNCTION("""COMPUTED_VALUE"""),"")</f>
        <v/>
      </c>
      <c r="C603" s="30" t="str">
        <f>IFERROR(__xludf.DUMMYFUNCTION("""COMPUTED_VALUE"""),"")</f>
        <v/>
      </c>
      <c r="D603" s="30"/>
      <c r="E603" s="34" t="str">
        <f>IFERROR(__xludf.DUMMYFUNCTION("""COMPUTED_VALUE"""),"")</f>
        <v/>
      </c>
      <c r="F603" s="30"/>
      <c r="G603" s="34" t="str">
        <f>IFERROR(__xludf.DUMMYFUNCTION("""COMPUTED_VALUE"""),"")</f>
        <v/>
      </c>
      <c r="H603" s="34" t="str">
        <f>IFERROR(__xludf.DUMMYFUNCTION("""COMPUTED_VALUE"""),"")</f>
        <v/>
      </c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</row>
    <row r="604">
      <c r="A604" s="30"/>
      <c r="B604" s="30" t="str">
        <f>IFERROR(__xludf.DUMMYFUNCTION("""COMPUTED_VALUE"""),"")</f>
        <v/>
      </c>
      <c r="C604" s="30" t="str">
        <f>IFERROR(__xludf.DUMMYFUNCTION("""COMPUTED_VALUE"""),"")</f>
        <v/>
      </c>
      <c r="D604" s="30"/>
      <c r="E604" s="34" t="str">
        <f>IFERROR(__xludf.DUMMYFUNCTION("""COMPUTED_VALUE"""),"")</f>
        <v/>
      </c>
      <c r="F604" s="30"/>
      <c r="G604" s="34" t="str">
        <f>IFERROR(__xludf.DUMMYFUNCTION("""COMPUTED_VALUE"""),"")</f>
        <v/>
      </c>
      <c r="H604" s="34" t="str">
        <f>IFERROR(__xludf.DUMMYFUNCTION("""COMPUTED_VALUE"""),"")</f>
        <v/>
      </c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</row>
    <row r="605">
      <c r="A605" s="30"/>
      <c r="B605" s="30" t="str">
        <f>IFERROR(__xludf.DUMMYFUNCTION("""COMPUTED_VALUE"""),"")</f>
        <v/>
      </c>
      <c r="C605" s="30" t="str">
        <f>IFERROR(__xludf.DUMMYFUNCTION("""COMPUTED_VALUE"""),"")</f>
        <v/>
      </c>
      <c r="D605" s="30"/>
      <c r="E605" s="34" t="str">
        <f>IFERROR(__xludf.DUMMYFUNCTION("""COMPUTED_VALUE"""),"")</f>
        <v/>
      </c>
      <c r="F605" s="30"/>
      <c r="G605" s="34" t="str">
        <f>IFERROR(__xludf.DUMMYFUNCTION("""COMPUTED_VALUE"""),"")</f>
        <v/>
      </c>
      <c r="H605" s="34" t="str">
        <f>IFERROR(__xludf.DUMMYFUNCTION("""COMPUTED_VALUE"""),"")</f>
        <v/>
      </c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</row>
    <row r="606">
      <c r="A606" s="30"/>
      <c r="B606" s="30" t="str">
        <f>IFERROR(__xludf.DUMMYFUNCTION("""COMPUTED_VALUE"""),"")</f>
        <v/>
      </c>
      <c r="C606" s="30" t="str">
        <f>IFERROR(__xludf.DUMMYFUNCTION("""COMPUTED_VALUE"""),"")</f>
        <v/>
      </c>
      <c r="D606" s="30"/>
      <c r="E606" s="34" t="str">
        <f>IFERROR(__xludf.DUMMYFUNCTION("""COMPUTED_VALUE"""),"")</f>
        <v/>
      </c>
      <c r="F606" s="30"/>
      <c r="G606" s="34" t="str">
        <f>IFERROR(__xludf.DUMMYFUNCTION("""COMPUTED_VALUE"""),"")</f>
        <v/>
      </c>
      <c r="H606" s="34" t="str">
        <f>IFERROR(__xludf.DUMMYFUNCTION("""COMPUTED_VALUE"""),"")</f>
        <v/>
      </c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</row>
    <row r="607">
      <c r="A607" s="30"/>
      <c r="B607" s="30" t="str">
        <f>IFERROR(__xludf.DUMMYFUNCTION("""COMPUTED_VALUE"""),"")</f>
        <v/>
      </c>
      <c r="C607" s="30" t="str">
        <f>IFERROR(__xludf.DUMMYFUNCTION("""COMPUTED_VALUE"""),"")</f>
        <v/>
      </c>
      <c r="D607" s="30"/>
      <c r="E607" s="34" t="str">
        <f>IFERROR(__xludf.DUMMYFUNCTION("""COMPUTED_VALUE"""),"")</f>
        <v/>
      </c>
      <c r="F607" s="30"/>
      <c r="G607" s="34" t="str">
        <f>IFERROR(__xludf.DUMMYFUNCTION("""COMPUTED_VALUE"""),"")</f>
        <v/>
      </c>
      <c r="H607" s="34" t="str">
        <f>IFERROR(__xludf.DUMMYFUNCTION("""COMPUTED_VALUE"""),"")</f>
        <v/>
      </c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</row>
    <row r="608">
      <c r="A608" s="30"/>
      <c r="B608" s="30" t="str">
        <f>IFERROR(__xludf.DUMMYFUNCTION("""COMPUTED_VALUE"""),"")</f>
        <v/>
      </c>
      <c r="C608" s="30" t="str">
        <f>IFERROR(__xludf.DUMMYFUNCTION("""COMPUTED_VALUE"""),"")</f>
        <v/>
      </c>
      <c r="D608" s="30"/>
      <c r="E608" s="34" t="str">
        <f>IFERROR(__xludf.DUMMYFUNCTION("""COMPUTED_VALUE"""),"")</f>
        <v/>
      </c>
      <c r="F608" s="30"/>
      <c r="G608" s="34" t="str">
        <f>IFERROR(__xludf.DUMMYFUNCTION("""COMPUTED_VALUE"""),"")</f>
        <v/>
      </c>
      <c r="H608" s="34" t="str">
        <f>IFERROR(__xludf.DUMMYFUNCTION("""COMPUTED_VALUE"""),"")</f>
        <v/>
      </c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>
      <c r="A609" s="30"/>
      <c r="B609" s="30" t="str">
        <f>IFERROR(__xludf.DUMMYFUNCTION("""COMPUTED_VALUE"""),"")</f>
        <v/>
      </c>
      <c r="C609" s="30" t="str">
        <f>IFERROR(__xludf.DUMMYFUNCTION("""COMPUTED_VALUE"""),"")</f>
        <v/>
      </c>
      <c r="D609" s="30"/>
      <c r="E609" s="34" t="str">
        <f>IFERROR(__xludf.DUMMYFUNCTION("""COMPUTED_VALUE"""),"")</f>
        <v/>
      </c>
      <c r="F609" s="30"/>
      <c r="G609" s="34" t="str">
        <f>IFERROR(__xludf.DUMMYFUNCTION("""COMPUTED_VALUE"""),"")</f>
        <v/>
      </c>
      <c r="H609" s="34" t="str">
        <f>IFERROR(__xludf.DUMMYFUNCTION("""COMPUTED_VALUE"""),"")</f>
        <v/>
      </c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</row>
    <row r="610">
      <c r="A610" s="30"/>
      <c r="B610" s="30" t="str">
        <f>IFERROR(__xludf.DUMMYFUNCTION("""COMPUTED_VALUE"""),"")</f>
        <v/>
      </c>
      <c r="C610" s="30" t="str">
        <f>IFERROR(__xludf.DUMMYFUNCTION("""COMPUTED_VALUE"""),"")</f>
        <v/>
      </c>
      <c r="D610" s="30"/>
      <c r="E610" s="34" t="str">
        <f>IFERROR(__xludf.DUMMYFUNCTION("""COMPUTED_VALUE"""),"")</f>
        <v/>
      </c>
      <c r="F610" s="30"/>
      <c r="G610" s="34" t="str">
        <f>IFERROR(__xludf.DUMMYFUNCTION("""COMPUTED_VALUE"""),"")</f>
        <v/>
      </c>
      <c r="H610" s="34" t="str">
        <f>IFERROR(__xludf.DUMMYFUNCTION("""COMPUTED_VALUE"""),"")</f>
        <v/>
      </c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</row>
    <row r="611">
      <c r="A611" s="30"/>
      <c r="B611" s="30" t="str">
        <f>IFERROR(__xludf.DUMMYFUNCTION("""COMPUTED_VALUE"""),"")</f>
        <v/>
      </c>
      <c r="C611" s="30" t="str">
        <f>IFERROR(__xludf.DUMMYFUNCTION("""COMPUTED_VALUE"""),"")</f>
        <v/>
      </c>
      <c r="D611" s="30"/>
      <c r="E611" s="34" t="str">
        <f>IFERROR(__xludf.DUMMYFUNCTION("""COMPUTED_VALUE"""),"")</f>
        <v/>
      </c>
      <c r="F611" s="30"/>
      <c r="G611" s="34" t="str">
        <f>IFERROR(__xludf.DUMMYFUNCTION("""COMPUTED_VALUE"""),"")</f>
        <v/>
      </c>
      <c r="H611" s="34" t="str">
        <f>IFERROR(__xludf.DUMMYFUNCTION("""COMPUTED_VALUE"""),"")</f>
        <v/>
      </c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</row>
    <row r="612">
      <c r="A612" s="30"/>
      <c r="B612" s="30" t="str">
        <f>IFERROR(__xludf.DUMMYFUNCTION("""COMPUTED_VALUE"""),"")</f>
        <v/>
      </c>
      <c r="C612" s="30" t="str">
        <f>IFERROR(__xludf.DUMMYFUNCTION("""COMPUTED_VALUE"""),"")</f>
        <v/>
      </c>
      <c r="D612" s="30"/>
      <c r="E612" s="34" t="str">
        <f>IFERROR(__xludf.DUMMYFUNCTION("""COMPUTED_VALUE"""),"")</f>
        <v/>
      </c>
      <c r="F612" s="30"/>
      <c r="G612" s="34" t="str">
        <f>IFERROR(__xludf.DUMMYFUNCTION("""COMPUTED_VALUE"""),"")</f>
        <v/>
      </c>
      <c r="H612" s="34" t="str">
        <f>IFERROR(__xludf.DUMMYFUNCTION("""COMPUTED_VALUE"""),"")</f>
        <v/>
      </c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</row>
    <row r="613">
      <c r="A613" s="30"/>
      <c r="B613" s="30" t="str">
        <f>IFERROR(__xludf.DUMMYFUNCTION("""COMPUTED_VALUE"""),"")</f>
        <v/>
      </c>
      <c r="C613" s="30" t="str">
        <f>IFERROR(__xludf.DUMMYFUNCTION("""COMPUTED_VALUE"""),"")</f>
        <v/>
      </c>
      <c r="D613" s="30"/>
      <c r="E613" s="34" t="str">
        <f>IFERROR(__xludf.DUMMYFUNCTION("""COMPUTED_VALUE"""),"")</f>
        <v/>
      </c>
      <c r="F613" s="30"/>
      <c r="G613" s="34" t="str">
        <f>IFERROR(__xludf.DUMMYFUNCTION("""COMPUTED_VALUE"""),"")</f>
        <v/>
      </c>
      <c r="H613" s="34" t="str">
        <f>IFERROR(__xludf.DUMMYFUNCTION("""COMPUTED_VALUE"""),"")</f>
        <v/>
      </c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</row>
    <row r="614">
      <c r="A614" s="30"/>
      <c r="B614" s="30" t="str">
        <f>IFERROR(__xludf.DUMMYFUNCTION("""COMPUTED_VALUE"""),"")</f>
        <v/>
      </c>
      <c r="C614" s="30" t="str">
        <f>IFERROR(__xludf.DUMMYFUNCTION("""COMPUTED_VALUE"""),"")</f>
        <v/>
      </c>
      <c r="D614" s="30"/>
      <c r="E614" s="34" t="str">
        <f>IFERROR(__xludf.DUMMYFUNCTION("""COMPUTED_VALUE"""),"")</f>
        <v/>
      </c>
      <c r="F614" s="30"/>
      <c r="G614" s="34" t="str">
        <f>IFERROR(__xludf.DUMMYFUNCTION("""COMPUTED_VALUE"""),"")</f>
        <v/>
      </c>
      <c r="H614" s="34" t="str">
        <f>IFERROR(__xludf.DUMMYFUNCTION("""COMPUTED_VALUE"""),"")</f>
        <v/>
      </c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</row>
    <row r="615">
      <c r="A615" s="30"/>
      <c r="B615" s="30" t="str">
        <f>IFERROR(__xludf.DUMMYFUNCTION("""COMPUTED_VALUE"""),"")</f>
        <v/>
      </c>
      <c r="C615" s="30" t="str">
        <f>IFERROR(__xludf.DUMMYFUNCTION("""COMPUTED_VALUE"""),"")</f>
        <v/>
      </c>
      <c r="D615" s="30"/>
      <c r="E615" s="34" t="str">
        <f>IFERROR(__xludf.DUMMYFUNCTION("""COMPUTED_VALUE"""),"")</f>
        <v/>
      </c>
      <c r="F615" s="30"/>
      <c r="G615" s="34" t="str">
        <f>IFERROR(__xludf.DUMMYFUNCTION("""COMPUTED_VALUE"""),"")</f>
        <v/>
      </c>
      <c r="H615" s="34" t="str">
        <f>IFERROR(__xludf.DUMMYFUNCTION("""COMPUTED_VALUE"""),"")</f>
        <v/>
      </c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</row>
    <row r="616">
      <c r="A616" s="30"/>
      <c r="B616" s="30" t="str">
        <f>IFERROR(__xludf.DUMMYFUNCTION("""COMPUTED_VALUE"""),"")</f>
        <v/>
      </c>
      <c r="C616" s="30" t="str">
        <f>IFERROR(__xludf.DUMMYFUNCTION("""COMPUTED_VALUE"""),"")</f>
        <v/>
      </c>
      <c r="D616" s="30"/>
      <c r="E616" s="34" t="str">
        <f>IFERROR(__xludf.DUMMYFUNCTION("""COMPUTED_VALUE"""),"")</f>
        <v/>
      </c>
      <c r="F616" s="30"/>
      <c r="G616" s="34" t="str">
        <f>IFERROR(__xludf.DUMMYFUNCTION("""COMPUTED_VALUE"""),"")</f>
        <v/>
      </c>
      <c r="H616" s="34" t="str">
        <f>IFERROR(__xludf.DUMMYFUNCTION("""COMPUTED_VALUE"""),"")</f>
        <v/>
      </c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</row>
    <row r="617">
      <c r="A617" s="30"/>
      <c r="B617" s="30" t="str">
        <f>IFERROR(__xludf.DUMMYFUNCTION("""COMPUTED_VALUE"""),"")</f>
        <v/>
      </c>
      <c r="C617" s="30" t="str">
        <f>IFERROR(__xludf.DUMMYFUNCTION("""COMPUTED_VALUE"""),"")</f>
        <v/>
      </c>
      <c r="D617" s="30"/>
      <c r="E617" s="34" t="str">
        <f>IFERROR(__xludf.DUMMYFUNCTION("""COMPUTED_VALUE"""),"")</f>
        <v/>
      </c>
      <c r="F617" s="30"/>
      <c r="G617" s="34" t="str">
        <f>IFERROR(__xludf.DUMMYFUNCTION("""COMPUTED_VALUE"""),"")</f>
        <v/>
      </c>
      <c r="H617" s="34" t="str">
        <f>IFERROR(__xludf.DUMMYFUNCTION("""COMPUTED_VALUE"""),"")</f>
        <v/>
      </c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</row>
    <row r="618">
      <c r="A618" s="30"/>
      <c r="B618" s="30" t="str">
        <f>IFERROR(__xludf.DUMMYFUNCTION("""COMPUTED_VALUE"""),"")</f>
        <v/>
      </c>
      <c r="C618" s="30" t="str">
        <f>IFERROR(__xludf.DUMMYFUNCTION("""COMPUTED_VALUE"""),"")</f>
        <v/>
      </c>
      <c r="D618" s="30"/>
      <c r="E618" s="34" t="str">
        <f>IFERROR(__xludf.DUMMYFUNCTION("""COMPUTED_VALUE"""),"")</f>
        <v/>
      </c>
      <c r="F618" s="30"/>
      <c r="G618" s="34" t="str">
        <f>IFERROR(__xludf.DUMMYFUNCTION("""COMPUTED_VALUE"""),"")</f>
        <v/>
      </c>
      <c r="H618" s="34" t="str">
        <f>IFERROR(__xludf.DUMMYFUNCTION("""COMPUTED_VALUE"""),"")</f>
        <v/>
      </c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</row>
    <row r="619">
      <c r="A619" s="30"/>
      <c r="B619" s="30" t="str">
        <f>IFERROR(__xludf.DUMMYFUNCTION("""COMPUTED_VALUE"""),"")</f>
        <v/>
      </c>
      <c r="C619" s="30" t="str">
        <f>IFERROR(__xludf.DUMMYFUNCTION("""COMPUTED_VALUE"""),"")</f>
        <v/>
      </c>
      <c r="D619" s="30"/>
      <c r="E619" s="34" t="str">
        <f>IFERROR(__xludf.DUMMYFUNCTION("""COMPUTED_VALUE"""),"")</f>
        <v/>
      </c>
      <c r="F619" s="30"/>
      <c r="G619" s="34" t="str">
        <f>IFERROR(__xludf.DUMMYFUNCTION("""COMPUTED_VALUE"""),"")</f>
        <v/>
      </c>
      <c r="H619" s="34" t="str">
        <f>IFERROR(__xludf.DUMMYFUNCTION("""COMPUTED_VALUE"""),"")</f>
        <v/>
      </c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</row>
    <row r="620">
      <c r="A620" s="30"/>
      <c r="B620" s="30" t="str">
        <f>IFERROR(__xludf.DUMMYFUNCTION("""COMPUTED_VALUE"""),"")</f>
        <v/>
      </c>
      <c r="C620" s="30" t="str">
        <f>IFERROR(__xludf.DUMMYFUNCTION("""COMPUTED_VALUE"""),"")</f>
        <v/>
      </c>
      <c r="D620" s="30"/>
      <c r="E620" s="34" t="str">
        <f>IFERROR(__xludf.DUMMYFUNCTION("""COMPUTED_VALUE"""),"")</f>
        <v/>
      </c>
      <c r="F620" s="30"/>
      <c r="G620" s="34" t="str">
        <f>IFERROR(__xludf.DUMMYFUNCTION("""COMPUTED_VALUE"""),"")</f>
        <v/>
      </c>
      <c r="H620" s="34" t="str">
        <f>IFERROR(__xludf.DUMMYFUNCTION("""COMPUTED_VALUE"""),"")</f>
        <v/>
      </c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</row>
    <row r="621">
      <c r="A621" s="30"/>
      <c r="B621" s="30" t="str">
        <f>IFERROR(__xludf.DUMMYFUNCTION("""COMPUTED_VALUE"""),"")</f>
        <v/>
      </c>
      <c r="C621" s="30" t="str">
        <f>IFERROR(__xludf.DUMMYFUNCTION("""COMPUTED_VALUE"""),"")</f>
        <v/>
      </c>
      <c r="D621" s="30"/>
      <c r="E621" s="34" t="str">
        <f>IFERROR(__xludf.DUMMYFUNCTION("""COMPUTED_VALUE"""),"")</f>
        <v/>
      </c>
      <c r="F621" s="30"/>
      <c r="G621" s="34" t="str">
        <f>IFERROR(__xludf.DUMMYFUNCTION("""COMPUTED_VALUE"""),"")</f>
        <v/>
      </c>
      <c r="H621" s="34" t="str">
        <f>IFERROR(__xludf.DUMMYFUNCTION("""COMPUTED_VALUE"""),"")</f>
        <v/>
      </c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</row>
    <row r="622">
      <c r="A622" s="30"/>
      <c r="B622" s="30" t="str">
        <f>IFERROR(__xludf.DUMMYFUNCTION("""COMPUTED_VALUE"""),"")</f>
        <v/>
      </c>
      <c r="C622" s="30" t="str">
        <f>IFERROR(__xludf.DUMMYFUNCTION("""COMPUTED_VALUE"""),"")</f>
        <v/>
      </c>
      <c r="D622" s="30"/>
      <c r="E622" s="34" t="str">
        <f>IFERROR(__xludf.DUMMYFUNCTION("""COMPUTED_VALUE"""),"")</f>
        <v/>
      </c>
      <c r="F622" s="30"/>
      <c r="G622" s="34" t="str">
        <f>IFERROR(__xludf.DUMMYFUNCTION("""COMPUTED_VALUE"""),"")</f>
        <v/>
      </c>
      <c r="H622" s="34" t="str">
        <f>IFERROR(__xludf.DUMMYFUNCTION("""COMPUTED_VALUE"""),"")</f>
        <v/>
      </c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</row>
    <row r="623">
      <c r="A623" s="30"/>
      <c r="B623" s="30" t="str">
        <f>IFERROR(__xludf.DUMMYFUNCTION("""COMPUTED_VALUE"""),"")</f>
        <v/>
      </c>
      <c r="C623" s="30" t="str">
        <f>IFERROR(__xludf.DUMMYFUNCTION("""COMPUTED_VALUE"""),"")</f>
        <v/>
      </c>
      <c r="D623" s="30"/>
      <c r="E623" s="34" t="str">
        <f>IFERROR(__xludf.DUMMYFUNCTION("""COMPUTED_VALUE"""),"")</f>
        <v/>
      </c>
      <c r="F623" s="30"/>
      <c r="G623" s="34" t="str">
        <f>IFERROR(__xludf.DUMMYFUNCTION("""COMPUTED_VALUE"""),"")</f>
        <v/>
      </c>
      <c r="H623" s="34" t="str">
        <f>IFERROR(__xludf.DUMMYFUNCTION("""COMPUTED_VALUE"""),"")</f>
        <v/>
      </c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</row>
    <row r="624">
      <c r="A624" s="30"/>
      <c r="B624" s="30" t="str">
        <f>IFERROR(__xludf.DUMMYFUNCTION("""COMPUTED_VALUE"""),"")</f>
        <v/>
      </c>
      <c r="C624" s="30" t="str">
        <f>IFERROR(__xludf.DUMMYFUNCTION("""COMPUTED_VALUE"""),"")</f>
        <v/>
      </c>
      <c r="D624" s="30"/>
      <c r="E624" s="34" t="str">
        <f>IFERROR(__xludf.DUMMYFUNCTION("""COMPUTED_VALUE"""),"")</f>
        <v/>
      </c>
      <c r="F624" s="30"/>
      <c r="G624" s="34" t="str">
        <f>IFERROR(__xludf.DUMMYFUNCTION("""COMPUTED_VALUE"""),"")</f>
        <v/>
      </c>
      <c r="H624" s="34" t="str">
        <f>IFERROR(__xludf.DUMMYFUNCTION("""COMPUTED_VALUE"""),"")</f>
        <v/>
      </c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</row>
    <row r="625">
      <c r="A625" s="30"/>
      <c r="B625" s="30" t="str">
        <f>IFERROR(__xludf.DUMMYFUNCTION("""COMPUTED_VALUE"""),"")</f>
        <v/>
      </c>
      <c r="C625" s="30" t="str">
        <f>IFERROR(__xludf.DUMMYFUNCTION("""COMPUTED_VALUE"""),"")</f>
        <v/>
      </c>
      <c r="D625" s="30"/>
      <c r="E625" s="34" t="str">
        <f>IFERROR(__xludf.DUMMYFUNCTION("""COMPUTED_VALUE"""),"")</f>
        <v/>
      </c>
      <c r="F625" s="30"/>
      <c r="G625" s="34" t="str">
        <f>IFERROR(__xludf.DUMMYFUNCTION("""COMPUTED_VALUE"""),"")</f>
        <v/>
      </c>
      <c r="H625" s="34" t="str">
        <f>IFERROR(__xludf.DUMMYFUNCTION("""COMPUTED_VALUE"""),"")</f>
        <v/>
      </c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</row>
    <row r="626">
      <c r="A626" s="30"/>
      <c r="B626" s="30" t="str">
        <f>IFERROR(__xludf.DUMMYFUNCTION("""COMPUTED_VALUE"""),"")</f>
        <v/>
      </c>
      <c r="C626" s="30" t="str">
        <f>IFERROR(__xludf.DUMMYFUNCTION("""COMPUTED_VALUE"""),"")</f>
        <v/>
      </c>
      <c r="D626" s="30"/>
      <c r="E626" s="34" t="str">
        <f>IFERROR(__xludf.DUMMYFUNCTION("""COMPUTED_VALUE"""),"")</f>
        <v/>
      </c>
      <c r="F626" s="30"/>
      <c r="G626" s="34" t="str">
        <f>IFERROR(__xludf.DUMMYFUNCTION("""COMPUTED_VALUE"""),"")</f>
        <v/>
      </c>
      <c r="H626" s="34" t="str">
        <f>IFERROR(__xludf.DUMMYFUNCTION("""COMPUTED_VALUE"""),"")</f>
        <v/>
      </c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</row>
    <row r="627">
      <c r="A627" s="30"/>
      <c r="B627" s="30" t="str">
        <f>IFERROR(__xludf.DUMMYFUNCTION("""COMPUTED_VALUE"""),"")</f>
        <v/>
      </c>
      <c r="C627" s="30" t="str">
        <f>IFERROR(__xludf.DUMMYFUNCTION("""COMPUTED_VALUE"""),"")</f>
        <v/>
      </c>
      <c r="D627" s="30"/>
      <c r="E627" s="34" t="str">
        <f>IFERROR(__xludf.DUMMYFUNCTION("""COMPUTED_VALUE"""),"")</f>
        <v/>
      </c>
      <c r="F627" s="30"/>
      <c r="G627" s="34" t="str">
        <f>IFERROR(__xludf.DUMMYFUNCTION("""COMPUTED_VALUE"""),"")</f>
        <v/>
      </c>
      <c r="H627" s="34" t="str">
        <f>IFERROR(__xludf.DUMMYFUNCTION("""COMPUTED_VALUE"""),"")</f>
        <v/>
      </c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</row>
    <row r="628">
      <c r="A628" s="30"/>
      <c r="B628" s="30" t="str">
        <f>IFERROR(__xludf.DUMMYFUNCTION("""COMPUTED_VALUE"""),"")</f>
        <v/>
      </c>
      <c r="C628" s="30" t="str">
        <f>IFERROR(__xludf.DUMMYFUNCTION("""COMPUTED_VALUE"""),"")</f>
        <v/>
      </c>
      <c r="D628" s="30"/>
      <c r="E628" s="34" t="str">
        <f>IFERROR(__xludf.DUMMYFUNCTION("""COMPUTED_VALUE"""),"")</f>
        <v/>
      </c>
      <c r="F628" s="30"/>
      <c r="G628" s="34" t="str">
        <f>IFERROR(__xludf.DUMMYFUNCTION("""COMPUTED_VALUE"""),"")</f>
        <v/>
      </c>
      <c r="H628" s="34" t="str">
        <f>IFERROR(__xludf.DUMMYFUNCTION("""COMPUTED_VALUE"""),"")</f>
        <v/>
      </c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</row>
    <row r="629">
      <c r="A629" s="30"/>
      <c r="B629" s="30" t="str">
        <f>IFERROR(__xludf.DUMMYFUNCTION("""COMPUTED_VALUE"""),"")</f>
        <v/>
      </c>
      <c r="C629" s="30" t="str">
        <f>IFERROR(__xludf.DUMMYFUNCTION("""COMPUTED_VALUE"""),"")</f>
        <v/>
      </c>
      <c r="D629" s="30"/>
      <c r="E629" s="34" t="str">
        <f>IFERROR(__xludf.DUMMYFUNCTION("""COMPUTED_VALUE"""),"")</f>
        <v/>
      </c>
      <c r="F629" s="30"/>
      <c r="G629" s="34" t="str">
        <f>IFERROR(__xludf.DUMMYFUNCTION("""COMPUTED_VALUE"""),"")</f>
        <v/>
      </c>
      <c r="H629" s="34" t="str">
        <f>IFERROR(__xludf.DUMMYFUNCTION("""COMPUTED_VALUE"""),"")</f>
        <v/>
      </c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</row>
    <row r="630">
      <c r="A630" s="30"/>
      <c r="B630" s="30" t="str">
        <f>IFERROR(__xludf.DUMMYFUNCTION("""COMPUTED_VALUE"""),"")</f>
        <v/>
      </c>
      <c r="C630" s="30" t="str">
        <f>IFERROR(__xludf.DUMMYFUNCTION("""COMPUTED_VALUE"""),"")</f>
        <v/>
      </c>
      <c r="D630" s="30"/>
      <c r="E630" s="34" t="str">
        <f>IFERROR(__xludf.DUMMYFUNCTION("""COMPUTED_VALUE"""),"")</f>
        <v/>
      </c>
      <c r="F630" s="30"/>
      <c r="G630" s="34" t="str">
        <f>IFERROR(__xludf.DUMMYFUNCTION("""COMPUTED_VALUE"""),"")</f>
        <v/>
      </c>
      <c r="H630" s="34" t="str">
        <f>IFERROR(__xludf.DUMMYFUNCTION("""COMPUTED_VALUE"""),"")</f>
        <v/>
      </c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</row>
    <row r="631">
      <c r="A631" s="30"/>
      <c r="B631" s="30" t="str">
        <f>IFERROR(__xludf.DUMMYFUNCTION("""COMPUTED_VALUE"""),"")</f>
        <v/>
      </c>
      <c r="C631" s="30" t="str">
        <f>IFERROR(__xludf.DUMMYFUNCTION("""COMPUTED_VALUE"""),"")</f>
        <v/>
      </c>
      <c r="D631" s="30"/>
      <c r="E631" s="34" t="str">
        <f>IFERROR(__xludf.DUMMYFUNCTION("""COMPUTED_VALUE"""),"")</f>
        <v/>
      </c>
      <c r="F631" s="30"/>
      <c r="G631" s="34" t="str">
        <f>IFERROR(__xludf.DUMMYFUNCTION("""COMPUTED_VALUE"""),"")</f>
        <v/>
      </c>
      <c r="H631" s="34" t="str">
        <f>IFERROR(__xludf.DUMMYFUNCTION("""COMPUTED_VALUE"""),"")</f>
        <v/>
      </c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</row>
    <row r="632">
      <c r="A632" s="30"/>
      <c r="B632" s="30" t="str">
        <f>IFERROR(__xludf.DUMMYFUNCTION("""COMPUTED_VALUE"""),"")</f>
        <v/>
      </c>
      <c r="C632" s="30" t="str">
        <f>IFERROR(__xludf.DUMMYFUNCTION("""COMPUTED_VALUE"""),"")</f>
        <v/>
      </c>
      <c r="D632" s="30"/>
      <c r="E632" s="34" t="str">
        <f>IFERROR(__xludf.DUMMYFUNCTION("""COMPUTED_VALUE"""),"")</f>
        <v/>
      </c>
      <c r="F632" s="30"/>
      <c r="G632" s="34" t="str">
        <f>IFERROR(__xludf.DUMMYFUNCTION("""COMPUTED_VALUE"""),"")</f>
        <v/>
      </c>
      <c r="H632" s="34" t="str">
        <f>IFERROR(__xludf.DUMMYFUNCTION("""COMPUTED_VALUE"""),"")</f>
        <v/>
      </c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</row>
    <row r="633">
      <c r="A633" s="30"/>
      <c r="B633" s="30" t="str">
        <f>IFERROR(__xludf.DUMMYFUNCTION("""COMPUTED_VALUE"""),"")</f>
        <v/>
      </c>
      <c r="C633" s="30" t="str">
        <f>IFERROR(__xludf.DUMMYFUNCTION("""COMPUTED_VALUE"""),"")</f>
        <v/>
      </c>
      <c r="D633" s="30"/>
      <c r="E633" s="34" t="str">
        <f>IFERROR(__xludf.DUMMYFUNCTION("""COMPUTED_VALUE"""),"")</f>
        <v/>
      </c>
      <c r="F633" s="30"/>
      <c r="G633" s="34" t="str">
        <f>IFERROR(__xludf.DUMMYFUNCTION("""COMPUTED_VALUE"""),"")</f>
        <v/>
      </c>
      <c r="H633" s="34" t="str">
        <f>IFERROR(__xludf.DUMMYFUNCTION("""COMPUTED_VALUE"""),"")</f>
        <v/>
      </c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</row>
    <row r="634">
      <c r="A634" s="30"/>
      <c r="B634" s="30" t="str">
        <f>IFERROR(__xludf.DUMMYFUNCTION("""COMPUTED_VALUE"""),"")</f>
        <v/>
      </c>
      <c r="C634" s="30" t="str">
        <f>IFERROR(__xludf.DUMMYFUNCTION("""COMPUTED_VALUE"""),"")</f>
        <v/>
      </c>
      <c r="D634" s="30"/>
      <c r="E634" s="34" t="str">
        <f>IFERROR(__xludf.DUMMYFUNCTION("""COMPUTED_VALUE"""),"")</f>
        <v/>
      </c>
      <c r="F634" s="30"/>
      <c r="G634" s="34" t="str">
        <f>IFERROR(__xludf.DUMMYFUNCTION("""COMPUTED_VALUE"""),"")</f>
        <v/>
      </c>
      <c r="H634" s="34" t="str">
        <f>IFERROR(__xludf.DUMMYFUNCTION("""COMPUTED_VALUE"""),"")</f>
        <v/>
      </c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</row>
    <row r="635">
      <c r="A635" s="30"/>
      <c r="B635" s="30" t="str">
        <f>IFERROR(__xludf.DUMMYFUNCTION("""COMPUTED_VALUE"""),"")</f>
        <v/>
      </c>
      <c r="C635" s="30" t="str">
        <f>IFERROR(__xludf.DUMMYFUNCTION("""COMPUTED_VALUE"""),"")</f>
        <v/>
      </c>
      <c r="D635" s="30"/>
      <c r="E635" s="34" t="str">
        <f>IFERROR(__xludf.DUMMYFUNCTION("""COMPUTED_VALUE"""),"")</f>
        <v/>
      </c>
      <c r="F635" s="30"/>
      <c r="G635" s="34" t="str">
        <f>IFERROR(__xludf.DUMMYFUNCTION("""COMPUTED_VALUE"""),"")</f>
        <v/>
      </c>
      <c r="H635" s="34" t="str">
        <f>IFERROR(__xludf.DUMMYFUNCTION("""COMPUTED_VALUE"""),"")</f>
        <v/>
      </c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</row>
    <row r="636">
      <c r="A636" s="30"/>
      <c r="B636" s="30" t="str">
        <f>IFERROR(__xludf.DUMMYFUNCTION("""COMPUTED_VALUE"""),"")</f>
        <v/>
      </c>
      <c r="C636" s="30" t="str">
        <f>IFERROR(__xludf.DUMMYFUNCTION("""COMPUTED_VALUE"""),"")</f>
        <v/>
      </c>
      <c r="D636" s="30"/>
      <c r="E636" s="34" t="str">
        <f>IFERROR(__xludf.DUMMYFUNCTION("""COMPUTED_VALUE"""),"")</f>
        <v/>
      </c>
      <c r="F636" s="30"/>
      <c r="G636" s="34" t="str">
        <f>IFERROR(__xludf.DUMMYFUNCTION("""COMPUTED_VALUE"""),"")</f>
        <v/>
      </c>
      <c r="H636" s="34" t="str">
        <f>IFERROR(__xludf.DUMMYFUNCTION("""COMPUTED_VALUE"""),"")</f>
        <v/>
      </c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</row>
    <row r="637">
      <c r="A637" s="30"/>
      <c r="B637" s="30" t="str">
        <f>IFERROR(__xludf.DUMMYFUNCTION("""COMPUTED_VALUE"""),"")</f>
        <v/>
      </c>
      <c r="C637" s="30" t="str">
        <f>IFERROR(__xludf.DUMMYFUNCTION("""COMPUTED_VALUE"""),"")</f>
        <v/>
      </c>
      <c r="D637" s="30"/>
      <c r="E637" s="34" t="str">
        <f>IFERROR(__xludf.DUMMYFUNCTION("""COMPUTED_VALUE"""),"")</f>
        <v/>
      </c>
      <c r="F637" s="30"/>
      <c r="G637" s="34" t="str">
        <f>IFERROR(__xludf.DUMMYFUNCTION("""COMPUTED_VALUE"""),"")</f>
        <v/>
      </c>
      <c r="H637" s="34" t="str">
        <f>IFERROR(__xludf.DUMMYFUNCTION("""COMPUTED_VALUE"""),"")</f>
        <v/>
      </c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</row>
    <row r="638">
      <c r="A638" s="30"/>
      <c r="B638" s="30" t="str">
        <f>IFERROR(__xludf.DUMMYFUNCTION("""COMPUTED_VALUE"""),"")</f>
        <v/>
      </c>
      <c r="C638" s="30" t="str">
        <f>IFERROR(__xludf.DUMMYFUNCTION("""COMPUTED_VALUE"""),"")</f>
        <v/>
      </c>
      <c r="D638" s="30"/>
      <c r="E638" s="34" t="str">
        <f>IFERROR(__xludf.DUMMYFUNCTION("""COMPUTED_VALUE"""),"")</f>
        <v/>
      </c>
      <c r="F638" s="30"/>
      <c r="G638" s="34" t="str">
        <f>IFERROR(__xludf.DUMMYFUNCTION("""COMPUTED_VALUE"""),"")</f>
        <v/>
      </c>
      <c r="H638" s="34" t="str">
        <f>IFERROR(__xludf.DUMMYFUNCTION("""COMPUTED_VALUE"""),"")</f>
        <v/>
      </c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</row>
    <row r="639">
      <c r="A639" s="30"/>
      <c r="B639" s="30" t="str">
        <f>IFERROR(__xludf.DUMMYFUNCTION("""COMPUTED_VALUE"""),"")</f>
        <v/>
      </c>
      <c r="C639" s="30" t="str">
        <f>IFERROR(__xludf.DUMMYFUNCTION("""COMPUTED_VALUE"""),"")</f>
        <v/>
      </c>
      <c r="D639" s="30"/>
      <c r="E639" s="34" t="str">
        <f>IFERROR(__xludf.DUMMYFUNCTION("""COMPUTED_VALUE"""),"")</f>
        <v/>
      </c>
      <c r="F639" s="30"/>
      <c r="G639" s="34" t="str">
        <f>IFERROR(__xludf.DUMMYFUNCTION("""COMPUTED_VALUE"""),"")</f>
        <v/>
      </c>
      <c r="H639" s="34" t="str">
        <f>IFERROR(__xludf.DUMMYFUNCTION("""COMPUTED_VALUE"""),"")</f>
        <v/>
      </c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</row>
    <row r="640">
      <c r="A640" s="30"/>
      <c r="B640" s="30" t="str">
        <f>IFERROR(__xludf.DUMMYFUNCTION("""COMPUTED_VALUE"""),"")</f>
        <v/>
      </c>
      <c r="C640" s="30" t="str">
        <f>IFERROR(__xludf.DUMMYFUNCTION("""COMPUTED_VALUE"""),"")</f>
        <v/>
      </c>
      <c r="D640" s="30"/>
      <c r="E640" s="34" t="str">
        <f>IFERROR(__xludf.DUMMYFUNCTION("""COMPUTED_VALUE"""),"")</f>
        <v/>
      </c>
      <c r="F640" s="30"/>
      <c r="G640" s="34" t="str">
        <f>IFERROR(__xludf.DUMMYFUNCTION("""COMPUTED_VALUE"""),"")</f>
        <v/>
      </c>
      <c r="H640" s="34" t="str">
        <f>IFERROR(__xludf.DUMMYFUNCTION("""COMPUTED_VALUE"""),"")</f>
        <v/>
      </c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</row>
    <row r="641">
      <c r="A641" s="30"/>
      <c r="B641" s="30" t="str">
        <f>IFERROR(__xludf.DUMMYFUNCTION("""COMPUTED_VALUE"""),"")</f>
        <v/>
      </c>
      <c r="C641" s="30" t="str">
        <f>IFERROR(__xludf.DUMMYFUNCTION("""COMPUTED_VALUE"""),"")</f>
        <v/>
      </c>
      <c r="D641" s="30"/>
      <c r="E641" s="34" t="str">
        <f>IFERROR(__xludf.DUMMYFUNCTION("""COMPUTED_VALUE"""),"")</f>
        <v/>
      </c>
      <c r="F641" s="30"/>
      <c r="G641" s="34" t="str">
        <f>IFERROR(__xludf.DUMMYFUNCTION("""COMPUTED_VALUE"""),"")</f>
        <v/>
      </c>
      <c r="H641" s="34" t="str">
        <f>IFERROR(__xludf.DUMMYFUNCTION("""COMPUTED_VALUE"""),"")</f>
        <v/>
      </c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</row>
    <row r="642">
      <c r="A642" s="30"/>
      <c r="B642" s="30" t="str">
        <f>IFERROR(__xludf.DUMMYFUNCTION("""COMPUTED_VALUE"""),"")</f>
        <v/>
      </c>
      <c r="C642" s="30" t="str">
        <f>IFERROR(__xludf.DUMMYFUNCTION("""COMPUTED_VALUE"""),"")</f>
        <v/>
      </c>
      <c r="D642" s="30"/>
      <c r="E642" s="34" t="str">
        <f>IFERROR(__xludf.DUMMYFUNCTION("""COMPUTED_VALUE"""),"")</f>
        <v/>
      </c>
      <c r="F642" s="30"/>
      <c r="G642" s="34" t="str">
        <f>IFERROR(__xludf.DUMMYFUNCTION("""COMPUTED_VALUE"""),"")</f>
        <v/>
      </c>
      <c r="H642" s="34" t="str">
        <f>IFERROR(__xludf.DUMMYFUNCTION("""COMPUTED_VALUE"""),"")</f>
        <v/>
      </c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</row>
    <row r="643">
      <c r="A643" s="30"/>
      <c r="B643" s="30" t="str">
        <f>IFERROR(__xludf.DUMMYFUNCTION("""COMPUTED_VALUE"""),"")</f>
        <v/>
      </c>
      <c r="C643" s="30" t="str">
        <f>IFERROR(__xludf.DUMMYFUNCTION("""COMPUTED_VALUE"""),"")</f>
        <v/>
      </c>
      <c r="D643" s="30"/>
      <c r="E643" s="34" t="str">
        <f>IFERROR(__xludf.DUMMYFUNCTION("""COMPUTED_VALUE"""),"")</f>
        <v/>
      </c>
      <c r="F643" s="30"/>
      <c r="G643" s="34" t="str">
        <f>IFERROR(__xludf.DUMMYFUNCTION("""COMPUTED_VALUE"""),"")</f>
        <v/>
      </c>
      <c r="H643" s="34" t="str">
        <f>IFERROR(__xludf.DUMMYFUNCTION("""COMPUTED_VALUE"""),"")</f>
        <v/>
      </c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</row>
    <row r="644">
      <c r="A644" s="30"/>
      <c r="B644" s="30" t="str">
        <f>IFERROR(__xludf.DUMMYFUNCTION("""COMPUTED_VALUE"""),"")</f>
        <v/>
      </c>
      <c r="C644" s="30" t="str">
        <f>IFERROR(__xludf.DUMMYFUNCTION("""COMPUTED_VALUE"""),"")</f>
        <v/>
      </c>
      <c r="D644" s="30"/>
      <c r="E644" s="34" t="str">
        <f>IFERROR(__xludf.DUMMYFUNCTION("""COMPUTED_VALUE"""),"")</f>
        <v/>
      </c>
      <c r="F644" s="30"/>
      <c r="G644" s="34" t="str">
        <f>IFERROR(__xludf.DUMMYFUNCTION("""COMPUTED_VALUE"""),"")</f>
        <v/>
      </c>
      <c r="H644" s="34" t="str">
        <f>IFERROR(__xludf.DUMMYFUNCTION("""COMPUTED_VALUE"""),"")</f>
        <v/>
      </c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</row>
    <row r="645">
      <c r="A645" s="30"/>
      <c r="B645" s="30" t="str">
        <f>IFERROR(__xludf.DUMMYFUNCTION("""COMPUTED_VALUE"""),"")</f>
        <v/>
      </c>
      <c r="C645" s="30" t="str">
        <f>IFERROR(__xludf.DUMMYFUNCTION("""COMPUTED_VALUE"""),"")</f>
        <v/>
      </c>
      <c r="D645" s="30"/>
      <c r="E645" s="34" t="str">
        <f>IFERROR(__xludf.DUMMYFUNCTION("""COMPUTED_VALUE"""),"")</f>
        <v/>
      </c>
      <c r="F645" s="30"/>
      <c r="G645" s="34" t="str">
        <f>IFERROR(__xludf.DUMMYFUNCTION("""COMPUTED_VALUE"""),"")</f>
        <v/>
      </c>
      <c r="H645" s="34" t="str">
        <f>IFERROR(__xludf.DUMMYFUNCTION("""COMPUTED_VALUE"""),"")</f>
        <v/>
      </c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</row>
    <row r="646">
      <c r="A646" s="30"/>
      <c r="B646" s="30" t="str">
        <f>IFERROR(__xludf.DUMMYFUNCTION("""COMPUTED_VALUE"""),"")</f>
        <v/>
      </c>
      <c r="C646" s="30" t="str">
        <f>IFERROR(__xludf.DUMMYFUNCTION("""COMPUTED_VALUE"""),"")</f>
        <v/>
      </c>
      <c r="D646" s="30"/>
      <c r="E646" s="34" t="str">
        <f>IFERROR(__xludf.DUMMYFUNCTION("""COMPUTED_VALUE"""),"")</f>
        <v/>
      </c>
      <c r="F646" s="30"/>
      <c r="G646" s="34" t="str">
        <f>IFERROR(__xludf.DUMMYFUNCTION("""COMPUTED_VALUE"""),"")</f>
        <v/>
      </c>
      <c r="H646" s="34" t="str">
        <f>IFERROR(__xludf.DUMMYFUNCTION("""COMPUTED_VALUE"""),"")</f>
        <v/>
      </c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</row>
    <row r="647">
      <c r="A647" s="30"/>
      <c r="B647" s="30" t="str">
        <f>IFERROR(__xludf.DUMMYFUNCTION("""COMPUTED_VALUE"""),"")</f>
        <v/>
      </c>
      <c r="C647" s="30" t="str">
        <f>IFERROR(__xludf.DUMMYFUNCTION("""COMPUTED_VALUE"""),"")</f>
        <v/>
      </c>
      <c r="D647" s="30"/>
      <c r="E647" s="34" t="str">
        <f>IFERROR(__xludf.DUMMYFUNCTION("""COMPUTED_VALUE"""),"")</f>
        <v/>
      </c>
      <c r="F647" s="30"/>
      <c r="G647" s="34" t="str">
        <f>IFERROR(__xludf.DUMMYFUNCTION("""COMPUTED_VALUE"""),"")</f>
        <v/>
      </c>
      <c r="H647" s="34" t="str">
        <f>IFERROR(__xludf.DUMMYFUNCTION("""COMPUTED_VALUE"""),"")</f>
        <v/>
      </c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</row>
    <row r="648">
      <c r="A648" s="30"/>
      <c r="B648" s="30" t="str">
        <f>IFERROR(__xludf.DUMMYFUNCTION("""COMPUTED_VALUE"""),"")</f>
        <v/>
      </c>
      <c r="C648" s="30" t="str">
        <f>IFERROR(__xludf.DUMMYFUNCTION("""COMPUTED_VALUE"""),"")</f>
        <v/>
      </c>
      <c r="D648" s="30"/>
      <c r="E648" s="34" t="str">
        <f>IFERROR(__xludf.DUMMYFUNCTION("""COMPUTED_VALUE"""),"")</f>
        <v/>
      </c>
      <c r="F648" s="30"/>
      <c r="G648" s="34" t="str">
        <f>IFERROR(__xludf.DUMMYFUNCTION("""COMPUTED_VALUE"""),"")</f>
        <v/>
      </c>
      <c r="H648" s="34" t="str">
        <f>IFERROR(__xludf.DUMMYFUNCTION("""COMPUTED_VALUE"""),"")</f>
        <v/>
      </c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</row>
    <row r="649">
      <c r="A649" s="30"/>
      <c r="B649" s="30" t="str">
        <f>IFERROR(__xludf.DUMMYFUNCTION("""COMPUTED_VALUE"""),"")</f>
        <v/>
      </c>
      <c r="C649" s="30" t="str">
        <f>IFERROR(__xludf.DUMMYFUNCTION("""COMPUTED_VALUE"""),"")</f>
        <v/>
      </c>
      <c r="D649" s="30"/>
      <c r="E649" s="34" t="str">
        <f>IFERROR(__xludf.DUMMYFUNCTION("""COMPUTED_VALUE"""),"")</f>
        <v/>
      </c>
      <c r="F649" s="30"/>
      <c r="G649" s="34" t="str">
        <f>IFERROR(__xludf.DUMMYFUNCTION("""COMPUTED_VALUE"""),"")</f>
        <v/>
      </c>
      <c r="H649" s="34" t="str">
        <f>IFERROR(__xludf.DUMMYFUNCTION("""COMPUTED_VALUE"""),"")</f>
        <v/>
      </c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</row>
    <row r="650">
      <c r="A650" s="30"/>
      <c r="B650" s="30" t="str">
        <f>IFERROR(__xludf.DUMMYFUNCTION("""COMPUTED_VALUE"""),"")</f>
        <v/>
      </c>
      <c r="C650" s="30" t="str">
        <f>IFERROR(__xludf.DUMMYFUNCTION("""COMPUTED_VALUE"""),"")</f>
        <v/>
      </c>
      <c r="D650" s="30"/>
      <c r="E650" s="34" t="str">
        <f>IFERROR(__xludf.DUMMYFUNCTION("""COMPUTED_VALUE"""),"")</f>
        <v/>
      </c>
      <c r="F650" s="30"/>
      <c r="G650" s="34" t="str">
        <f>IFERROR(__xludf.DUMMYFUNCTION("""COMPUTED_VALUE"""),"")</f>
        <v/>
      </c>
      <c r="H650" s="34" t="str">
        <f>IFERROR(__xludf.DUMMYFUNCTION("""COMPUTED_VALUE"""),"")</f>
        <v/>
      </c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</row>
    <row r="651">
      <c r="A651" s="30"/>
      <c r="B651" s="30" t="str">
        <f>IFERROR(__xludf.DUMMYFUNCTION("""COMPUTED_VALUE"""),"")</f>
        <v/>
      </c>
      <c r="C651" s="30" t="str">
        <f>IFERROR(__xludf.DUMMYFUNCTION("""COMPUTED_VALUE"""),"")</f>
        <v/>
      </c>
      <c r="D651" s="30"/>
      <c r="E651" s="34" t="str">
        <f>IFERROR(__xludf.DUMMYFUNCTION("""COMPUTED_VALUE"""),"")</f>
        <v/>
      </c>
      <c r="F651" s="30"/>
      <c r="G651" s="34" t="str">
        <f>IFERROR(__xludf.DUMMYFUNCTION("""COMPUTED_VALUE"""),"")</f>
        <v/>
      </c>
      <c r="H651" s="34" t="str">
        <f>IFERROR(__xludf.DUMMYFUNCTION("""COMPUTED_VALUE"""),"")</f>
        <v/>
      </c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</row>
    <row r="652">
      <c r="A652" s="30"/>
      <c r="B652" s="30" t="str">
        <f>IFERROR(__xludf.DUMMYFUNCTION("""COMPUTED_VALUE"""),"")</f>
        <v/>
      </c>
      <c r="C652" s="30" t="str">
        <f>IFERROR(__xludf.DUMMYFUNCTION("""COMPUTED_VALUE"""),"")</f>
        <v/>
      </c>
      <c r="D652" s="30"/>
      <c r="E652" s="34" t="str">
        <f>IFERROR(__xludf.DUMMYFUNCTION("""COMPUTED_VALUE"""),"")</f>
        <v/>
      </c>
      <c r="F652" s="30"/>
      <c r="G652" s="34" t="str">
        <f>IFERROR(__xludf.DUMMYFUNCTION("""COMPUTED_VALUE"""),"")</f>
        <v/>
      </c>
      <c r="H652" s="34" t="str">
        <f>IFERROR(__xludf.DUMMYFUNCTION("""COMPUTED_VALUE"""),"")</f>
        <v/>
      </c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</row>
    <row r="653">
      <c r="A653" s="30"/>
      <c r="B653" s="30" t="str">
        <f>IFERROR(__xludf.DUMMYFUNCTION("""COMPUTED_VALUE"""),"")</f>
        <v/>
      </c>
      <c r="C653" s="30" t="str">
        <f>IFERROR(__xludf.DUMMYFUNCTION("""COMPUTED_VALUE"""),"")</f>
        <v/>
      </c>
      <c r="D653" s="30"/>
      <c r="E653" s="34" t="str">
        <f>IFERROR(__xludf.DUMMYFUNCTION("""COMPUTED_VALUE"""),"")</f>
        <v/>
      </c>
      <c r="F653" s="30"/>
      <c r="G653" s="34" t="str">
        <f>IFERROR(__xludf.DUMMYFUNCTION("""COMPUTED_VALUE"""),"")</f>
        <v/>
      </c>
      <c r="H653" s="34" t="str">
        <f>IFERROR(__xludf.DUMMYFUNCTION("""COMPUTED_VALUE"""),"")</f>
        <v/>
      </c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>
      <c r="A654" s="30"/>
      <c r="B654" s="30" t="str">
        <f>IFERROR(__xludf.DUMMYFUNCTION("""COMPUTED_VALUE"""),"")</f>
        <v/>
      </c>
      <c r="C654" s="30" t="str">
        <f>IFERROR(__xludf.DUMMYFUNCTION("""COMPUTED_VALUE"""),"")</f>
        <v/>
      </c>
      <c r="D654" s="30"/>
      <c r="E654" s="34" t="str">
        <f>IFERROR(__xludf.DUMMYFUNCTION("""COMPUTED_VALUE"""),"")</f>
        <v/>
      </c>
      <c r="F654" s="30"/>
      <c r="G654" s="34" t="str">
        <f>IFERROR(__xludf.DUMMYFUNCTION("""COMPUTED_VALUE"""),"")</f>
        <v/>
      </c>
      <c r="H654" s="34" t="str">
        <f>IFERROR(__xludf.DUMMYFUNCTION("""COMPUTED_VALUE"""),"")</f>
        <v/>
      </c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</row>
    <row r="655">
      <c r="A655" s="30"/>
      <c r="B655" s="30" t="str">
        <f>IFERROR(__xludf.DUMMYFUNCTION("""COMPUTED_VALUE"""),"")</f>
        <v/>
      </c>
      <c r="C655" s="30" t="str">
        <f>IFERROR(__xludf.DUMMYFUNCTION("""COMPUTED_VALUE"""),"")</f>
        <v/>
      </c>
      <c r="D655" s="30"/>
      <c r="E655" s="34" t="str">
        <f>IFERROR(__xludf.DUMMYFUNCTION("""COMPUTED_VALUE"""),"")</f>
        <v/>
      </c>
      <c r="F655" s="30"/>
      <c r="G655" s="34" t="str">
        <f>IFERROR(__xludf.DUMMYFUNCTION("""COMPUTED_VALUE"""),"")</f>
        <v/>
      </c>
      <c r="H655" s="34" t="str">
        <f>IFERROR(__xludf.DUMMYFUNCTION("""COMPUTED_VALUE"""),"")</f>
        <v/>
      </c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</row>
    <row r="656">
      <c r="A656" s="30"/>
      <c r="B656" s="30" t="str">
        <f>IFERROR(__xludf.DUMMYFUNCTION("""COMPUTED_VALUE"""),"")</f>
        <v/>
      </c>
      <c r="C656" s="30" t="str">
        <f>IFERROR(__xludf.DUMMYFUNCTION("""COMPUTED_VALUE"""),"")</f>
        <v/>
      </c>
      <c r="D656" s="30"/>
      <c r="E656" s="34" t="str">
        <f>IFERROR(__xludf.DUMMYFUNCTION("""COMPUTED_VALUE"""),"")</f>
        <v/>
      </c>
      <c r="F656" s="30"/>
      <c r="G656" s="34" t="str">
        <f>IFERROR(__xludf.DUMMYFUNCTION("""COMPUTED_VALUE"""),"")</f>
        <v/>
      </c>
      <c r="H656" s="34" t="str">
        <f>IFERROR(__xludf.DUMMYFUNCTION("""COMPUTED_VALUE"""),"")</f>
        <v/>
      </c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</row>
    <row r="657">
      <c r="A657" s="30"/>
      <c r="B657" s="30" t="str">
        <f>IFERROR(__xludf.DUMMYFUNCTION("""COMPUTED_VALUE"""),"")</f>
        <v/>
      </c>
      <c r="C657" s="30" t="str">
        <f>IFERROR(__xludf.DUMMYFUNCTION("""COMPUTED_VALUE"""),"")</f>
        <v/>
      </c>
      <c r="D657" s="30"/>
      <c r="E657" s="34" t="str">
        <f>IFERROR(__xludf.DUMMYFUNCTION("""COMPUTED_VALUE"""),"")</f>
        <v/>
      </c>
      <c r="F657" s="30"/>
      <c r="G657" s="34" t="str">
        <f>IFERROR(__xludf.DUMMYFUNCTION("""COMPUTED_VALUE"""),"")</f>
        <v/>
      </c>
      <c r="H657" s="34" t="str">
        <f>IFERROR(__xludf.DUMMYFUNCTION("""COMPUTED_VALUE"""),"")</f>
        <v/>
      </c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</row>
    <row r="658">
      <c r="A658" s="30"/>
      <c r="B658" s="30" t="str">
        <f>IFERROR(__xludf.DUMMYFUNCTION("""COMPUTED_VALUE"""),"")</f>
        <v/>
      </c>
      <c r="C658" s="30" t="str">
        <f>IFERROR(__xludf.DUMMYFUNCTION("""COMPUTED_VALUE"""),"")</f>
        <v/>
      </c>
      <c r="D658" s="30"/>
      <c r="E658" s="34" t="str">
        <f>IFERROR(__xludf.DUMMYFUNCTION("""COMPUTED_VALUE"""),"")</f>
        <v/>
      </c>
      <c r="F658" s="30"/>
      <c r="G658" s="34" t="str">
        <f>IFERROR(__xludf.DUMMYFUNCTION("""COMPUTED_VALUE"""),"")</f>
        <v/>
      </c>
      <c r="H658" s="34" t="str">
        <f>IFERROR(__xludf.DUMMYFUNCTION("""COMPUTED_VALUE"""),"")</f>
        <v/>
      </c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</row>
    <row r="659">
      <c r="A659" s="30"/>
      <c r="B659" s="30" t="str">
        <f>IFERROR(__xludf.DUMMYFUNCTION("""COMPUTED_VALUE"""),"")</f>
        <v/>
      </c>
      <c r="C659" s="30" t="str">
        <f>IFERROR(__xludf.DUMMYFUNCTION("""COMPUTED_VALUE"""),"")</f>
        <v/>
      </c>
      <c r="D659" s="30"/>
      <c r="E659" s="34" t="str">
        <f>IFERROR(__xludf.DUMMYFUNCTION("""COMPUTED_VALUE"""),"")</f>
        <v/>
      </c>
      <c r="F659" s="30"/>
      <c r="G659" s="34" t="str">
        <f>IFERROR(__xludf.DUMMYFUNCTION("""COMPUTED_VALUE"""),"")</f>
        <v/>
      </c>
      <c r="H659" s="34" t="str">
        <f>IFERROR(__xludf.DUMMYFUNCTION("""COMPUTED_VALUE"""),"")</f>
        <v/>
      </c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</row>
    <row r="660">
      <c r="A660" s="30"/>
      <c r="B660" s="30" t="str">
        <f>IFERROR(__xludf.DUMMYFUNCTION("""COMPUTED_VALUE"""),"")</f>
        <v/>
      </c>
      <c r="C660" s="30" t="str">
        <f>IFERROR(__xludf.DUMMYFUNCTION("""COMPUTED_VALUE"""),"")</f>
        <v/>
      </c>
      <c r="D660" s="30"/>
      <c r="E660" s="34" t="str">
        <f>IFERROR(__xludf.DUMMYFUNCTION("""COMPUTED_VALUE"""),"")</f>
        <v/>
      </c>
      <c r="F660" s="30"/>
      <c r="G660" s="34" t="str">
        <f>IFERROR(__xludf.DUMMYFUNCTION("""COMPUTED_VALUE"""),"")</f>
        <v/>
      </c>
      <c r="H660" s="34" t="str">
        <f>IFERROR(__xludf.DUMMYFUNCTION("""COMPUTED_VALUE"""),"")</f>
        <v/>
      </c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</row>
    <row r="661">
      <c r="A661" s="30"/>
      <c r="B661" s="30" t="str">
        <f>IFERROR(__xludf.DUMMYFUNCTION("""COMPUTED_VALUE"""),"")</f>
        <v/>
      </c>
      <c r="C661" s="30" t="str">
        <f>IFERROR(__xludf.DUMMYFUNCTION("""COMPUTED_VALUE"""),"")</f>
        <v/>
      </c>
      <c r="D661" s="30"/>
      <c r="E661" s="34" t="str">
        <f>IFERROR(__xludf.DUMMYFUNCTION("""COMPUTED_VALUE"""),"")</f>
        <v/>
      </c>
      <c r="F661" s="30"/>
      <c r="G661" s="34" t="str">
        <f>IFERROR(__xludf.DUMMYFUNCTION("""COMPUTED_VALUE"""),"")</f>
        <v/>
      </c>
      <c r="H661" s="34" t="str">
        <f>IFERROR(__xludf.DUMMYFUNCTION("""COMPUTED_VALUE"""),"")</f>
        <v/>
      </c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>
      <c r="A662" s="30"/>
      <c r="B662" s="30" t="str">
        <f>IFERROR(__xludf.DUMMYFUNCTION("""COMPUTED_VALUE"""),"")</f>
        <v/>
      </c>
      <c r="C662" s="30" t="str">
        <f>IFERROR(__xludf.DUMMYFUNCTION("""COMPUTED_VALUE"""),"")</f>
        <v/>
      </c>
      <c r="D662" s="30"/>
      <c r="E662" s="34" t="str">
        <f>IFERROR(__xludf.DUMMYFUNCTION("""COMPUTED_VALUE"""),"")</f>
        <v/>
      </c>
      <c r="F662" s="30"/>
      <c r="G662" s="34" t="str">
        <f>IFERROR(__xludf.DUMMYFUNCTION("""COMPUTED_VALUE"""),"")</f>
        <v/>
      </c>
      <c r="H662" s="34" t="str">
        <f>IFERROR(__xludf.DUMMYFUNCTION("""COMPUTED_VALUE"""),"")</f>
        <v/>
      </c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</row>
    <row r="663">
      <c r="A663" s="30"/>
      <c r="B663" s="30" t="str">
        <f>IFERROR(__xludf.DUMMYFUNCTION("""COMPUTED_VALUE"""),"")</f>
        <v/>
      </c>
      <c r="C663" s="30" t="str">
        <f>IFERROR(__xludf.DUMMYFUNCTION("""COMPUTED_VALUE"""),"")</f>
        <v/>
      </c>
      <c r="D663" s="30"/>
      <c r="E663" s="34" t="str">
        <f>IFERROR(__xludf.DUMMYFUNCTION("""COMPUTED_VALUE"""),"")</f>
        <v/>
      </c>
      <c r="F663" s="30"/>
      <c r="G663" s="34" t="str">
        <f>IFERROR(__xludf.DUMMYFUNCTION("""COMPUTED_VALUE"""),"")</f>
        <v/>
      </c>
      <c r="H663" s="34" t="str">
        <f>IFERROR(__xludf.DUMMYFUNCTION("""COMPUTED_VALUE"""),"")</f>
        <v/>
      </c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</row>
    <row r="664">
      <c r="A664" s="30"/>
      <c r="B664" s="30" t="str">
        <f>IFERROR(__xludf.DUMMYFUNCTION("""COMPUTED_VALUE"""),"")</f>
        <v/>
      </c>
      <c r="C664" s="30" t="str">
        <f>IFERROR(__xludf.DUMMYFUNCTION("""COMPUTED_VALUE"""),"")</f>
        <v/>
      </c>
      <c r="D664" s="30"/>
      <c r="E664" s="34" t="str">
        <f>IFERROR(__xludf.DUMMYFUNCTION("""COMPUTED_VALUE"""),"")</f>
        <v/>
      </c>
      <c r="F664" s="30"/>
      <c r="G664" s="34" t="str">
        <f>IFERROR(__xludf.DUMMYFUNCTION("""COMPUTED_VALUE"""),"")</f>
        <v/>
      </c>
      <c r="H664" s="34" t="str">
        <f>IFERROR(__xludf.DUMMYFUNCTION("""COMPUTED_VALUE"""),"")</f>
        <v/>
      </c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</row>
    <row r="665">
      <c r="A665" s="30"/>
      <c r="B665" s="30" t="str">
        <f>IFERROR(__xludf.DUMMYFUNCTION("""COMPUTED_VALUE"""),"")</f>
        <v/>
      </c>
      <c r="C665" s="30" t="str">
        <f>IFERROR(__xludf.DUMMYFUNCTION("""COMPUTED_VALUE"""),"")</f>
        <v/>
      </c>
      <c r="D665" s="30"/>
      <c r="E665" s="34" t="str">
        <f>IFERROR(__xludf.DUMMYFUNCTION("""COMPUTED_VALUE"""),"")</f>
        <v/>
      </c>
      <c r="F665" s="30"/>
      <c r="G665" s="34" t="str">
        <f>IFERROR(__xludf.DUMMYFUNCTION("""COMPUTED_VALUE"""),"")</f>
        <v/>
      </c>
      <c r="H665" s="34" t="str">
        <f>IFERROR(__xludf.DUMMYFUNCTION("""COMPUTED_VALUE"""),"")</f>
        <v/>
      </c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</row>
    <row r="666">
      <c r="A666" s="30"/>
      <c r="B666" s="30" t="str">
        <f>IFERROR(__xludf.DUMMYFUNCTION("""COMPUTED_VALUE"""),"")</f>
        <v/>
      </c>
      <c r="C666" s="30" t="str">
        <f>IFERROR(__xludf.DUMMYFUNCTION("""COMPUTED_VALUE"""),"")</f>
        <v/>
      </c>
      <c r="D666" s="30"/>
      <c r="E666" s="34" t="str">
        <f>IFERROR(__xludf.DUMMYFUNCTION("""COMPUTED_VALUE"""),"")</f>
        <v/>
      </c>
      <c r="F666" s="30"/>
      <c r="G666" s="34" t="str">
        <f>IFERROR(__xludf.DUMMYFUNCTION("""COMPUTED_VALUE"""),"")</f>
        <v/>
      </c>
      <c r="H666" s="34" t="str">
        <f>IFERROR(__xludf.DUMMYFUNCTION("""COMPUTED_VALUE"""),"")</f>
        <v/>
      </c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</row>
    <row r="667">
      <c r="A667" s="30"/>
      <c r="B667" s="30" t="str">
        <f>IFERROR(__xludf.DUMMYFUNCTION("""COMPUTED_VALUE"""),"")</f>
        <v/>
      </c>
      <c r="C667" s="30" t="str">
        <f>IFERROR(__xludf.DUMMYFUNCTION("""COMPUTED_VALUE"""),"")</f>
        <v/>
      </c>
      <c r="D667" s="30"/>
      <c r="E667" s="34" t="str">
        <f>IFERROR(__xludf.DUMMYFUNCTION("""COMPUTED_VALUE"""),"")</f>
        <v/>
      </c>
      <c r="F667" s="30"/>
      <c r="G667" s="34" t="str">
        <f>IFERROR(__xludf.DUMMYFUNCTION("""COMPUTED_VALUE"""),"")</f>
        <v/>
      </c>
      <c r="H667" s="34" t="str">
        <f>IFERROR(__xludf.DUMMYFUNCTION("""COMPUTED_VALUE"""),"")</f>
        <v/>
      </c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</row>
    <row r="668">
      <c r="A668" s="30"/>
      <c r="B668" s="30" t="str">
        <f>IFERROR(__xludf.DUMMYFUNCTION("""COMPUTED_VALUE"""),"")</f>
        <v/>
      </c>
      <c r="C668" s="30" t="str">
        <f>IFERROR(__xludf.DUMMYFUNCTION("""COMPUTED_VALUE"""),"")</f>
        <v/>
      </c>
      <c r="D668" s="30"/>
      <c r="E668" s="34" t="str">
        <f>IFERROR(__xludf.DUMMYFUNCTION("""COMPUTED_VALUE"""),"")</f>
        <v/>
      </c>
      <c r="F668" s="30"/>
      <c r="G668" s="34" t="str">
        <f>IFERROR(__xludf.DUMMYFUNCTION("""COMPUTED_VALUE"""),"")</f>
        <v/>
      </c>
      <c r="H668" s="34" t="str">
        <f>IFERROR(__xludf.DUMMYFUNCTION("""COMPUTED_VALUE"""),"")</f>
        <v/>
      </c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</row>
    <row r="669">
      <c r="A669" s="30"/>
      <c r="B669" s="30" t="str">
        <f>IFERROR(__xludf.DUMMYFUNCTION("""COMPUTED_VALUE"""),"")</f>
        <v/>
      </c>
      <c r="C669" s="30" t="str">
        <f>IFERROR(__xludf.DUMMYFUNCTION("""COMPUTED_VALUE"""),"")</f>
        <v/>
      </c>
      <c r="D669" s="30"/>
      <c r="E669" s="34" t="str">
        <f>IFERROR(__xludf.DUMMYFUNCTION("""COMPUTED_VALUE"""),"")</f>
        <v/>
      </c>
      <c r="F669" s="30"/>
      <c r="G669" s="34" t="str">
        <f>IFERROR(__xludf.DUMMYFUNCTION("""COMPUTED_VALUE"""),"")</f>
        <v/>
      </c>
      <c r="H669" s="34" t="str">
        <f>IFERROR(__xludf.DUMMYFUNCTION("""COMPUTED_VALUE"""),"")</f>
        <v/>
      </c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</row>
    <row r="670">
      <c r="A670" s="30"/>
      <c r="B670" s="30" t="str">
        <f>IFERROR(__xludf.DUMMYFUNCTION("""COMPUTED_VALUE"""),"")</f>
        <v/>
      </c>
      <c r="C670" s="30" t="str">
        <f>IFERROR(__xludf.DUMMYFUNCTION("""COMPUTED_VALUE"""),"")</f>
        <v/>
      </c>
      <c r="D670" s="30"/>
      <c r="E670" s="34" t="str">
        <f>IFERROR(__xludf.DUMMYFUNCTION("""COMPUTED_VALUE"""),"")</f>
        <v/>
      </c>
      <c r="F670" s="30"/>
      <c r="G670" s="34" t="str">
        <f>IFERROR(__xludf.DUMMYFUNCTION("""COMPUTED_VALUE"""),"")</f>
        <v/>
      </c>
      <c r="H670" s="34" t="str">
        <f>IFERROR(__xludf.DUMMYFUNCTION("""COMPUTED_VALUE"""),"")</f>
        <v/>
      </c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</row>
    <row r="671">
      <c r="A671" s="30"/>
      <c r="B671" s="30" t="str">
        <f>IFERROR(__xludf.DUMMYFUNCTION("""COMPUTED_VALUE"""),"")</f>
        <v/>
      </c>
      <c r="C671" s="30" t="str">
        <f>IFERROR(__xludf.DUMMYFUNCTION("""COMPUTED_VALUE"""),"")</f>
        <v/>
      </c>
      <c r="D671" s="30"/>
      <c r="E671" s="34" t="str">
        <f>IFERROR(__xludf.DUMMYFUNCTION("""COMPUTED_VALUE"""),"")</f>
        <v/>
      </c>
      <c r="F671" s="30"/>
      <c r="G671" s="34" t="str">
        <f>IFERROR(__xludf.DUMMYFUNCTION("""COMPUTED_VALUE"""),"")</f>
        <v/>
      </c>
      <c r="H671" s="34" t="str">
        <f>IFERROR(__xludf.DUMMYFUNCTION("""COMPUTED_VALUE"""),"")</f>
        <v/>
      </c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</row>
    <row r="672">
      <c r="A672" s="30"/>
      <c r="B672" s="30" t="str">
        <f>IFERROR(__xludf.DUMMYFUNCTION("""COMPUTED_VALUE"""),"")</f>
        <v/>
      </c>
      <c r="C672" s="30" t="str">
        <f>IFERROR(__xludf.DUMMYFUNCTION("""COMPUTED_VALUE"""),"")</f>
        <v/>
      </c>
      <c r="D672" s="30"/>
      <c r="E672" s="34" t="str">
        <f>IFERROR(__xludf.DUMMYFUNCTION("""COMPUTED_VALUE"""),"")</f>
        <v/>
      </c>
      <c r="F672" s="30"/>
      <c r="G672" s="34" t="str">
        <f>IFERROR(__xludf.DUMMYFUNCTION("""COMPUTED_VALUE"""),"")</f>
        <v/>
      </c>
      <c r="H672" s="34" t="str">
        <f>IFERROR(__xludf.DUMMYFUNCTION("""COMPUTED_VALUE"""),"")</f>
        <v/>
      </c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</row>
    <row r="673">
      <c r="A673" s="30"/>
      <c r="B673" s="30" t="str">
        <f>IFERROR(__xludf.DUMMYFUNCTION("""COMPUTED_VALUE"""),"")</f>
        <v/>
      </c>
      <c r="C673" s="30" t="str">
        <f>IFERROR(__xludf.DUMMYFUNCTION("""COMPUTED_VALUE"""),"")</f>
        <v/>
      </c>
      <c r="D673" s="30"/>
      <c r="E673" s="34" t="str">
        <f>IFERROR(__xludf.DUMMYFUNCTION("""COMPUTED_VALUE"""),"")</f>
        <v/>
      </c>
      <c r="F673" s="30"/>
      <c r="G673" s="34" t="str">
        <f>IFERROR(__xludf.DUMMYFUNCTION("""COMPUTED_VALUE"""),"")</f>
        <v/>
      </c>
      <c r="H673" s="34" t="str">
        <f>IFERROR(__xludf.DUMMYFUNCTION("""COMPUTED_VALUE"""),"")</f>
        <v/>
      </c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</row>
    <row r="674">
      <c r="A674" s="30"/>
      <c r="B674" s="30" t="str">
        <f>IFERROR(__xludf.DUMMYFUNCTION("""COMPUTED_VALUE"""),"")</f>
        <v/>
      </c>
      <c r="C674" s="30" t="str">
        <f>IFERROR(__xludf.DUMMYFUNCTION("""COMPUTED_VALUE"""),"")</f>
        <v/>
      </c>
      <c r="D674" s="30"/>
      <c r="E674" s="34" t="str">
        <f>IFERROR(__xludf.DUMMYFUNCTION("""COMPUTED_VALUE"""),"")</f>
        <v/>
      </c>
      <c r="F674" s="30"/>
      <c r="G674" s="34" t="str">
        <f>IFERROR(__xludf.DUMMYFUNCTION("""COMPUTED_VALUE"""),"")</f>
        <v/>
      </c>
      <c r="H674" s="34" t="str">
        <f>IFERROR(__xludf.DUMMYFUNCTION("""COMPUTED_VALUE"""),"")</f>
        <v/>
      </c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</row>
    <row r="675">
      <c r="A675" s="30"/>
      <c r="B675" s="30" t="str">
        <f>IFERROR(__xludf.DUMMYFUNCTION("""COMPUTED_VALUE"""),"")</f>
        <v/>
      </c>
      <c r="C675" s="30" t="str">
        <f>IFERROR(__xludf.DUMMYFUNCTION("""COMPUTED_VALUE"""),"")</f>
        <v/>
      </c>
      <c r="D675" s="30"/>
      <c r="E675" s="34" t="str">
        <f>IFERROR(__xludf.DUMMYFUNCTION("""COMPUTED_VALUE"""),"")</f>
        <v/>
      </c>
      <c r="F675" s="30"/>
      <c r="G675" s="34" t="str">
        <f>IFERROR(__xludf.DUMMYFUNCTION("""COMPUTED_VALUE"""),"")</f>
        <v/>
      </c>
      <c r="H675" s="34" t="str">
        <f>IFERROR(__xludf.DUMMYFUNCTION("""COMPUTED_VALUE"""),"")</f>
        <v/>
      </c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</row>
    <row r="676">
      <c r="A676" s="30"/>
      <c r="B676" s="30" t="str">
        <f>IFERROR(__xludf.DUMMYFUNCTION("""COMPUTED_VALUE"""),"")</f>
        <v/>
      </c>
      <c r="C676" s="30" t="str">
        <f>IFERROR(__xludf.DUMMYFUNCTION("""COMPUTED_VALUE"""),"")</f>
        <v/>
      </c>
      <c r="D676" s="30"/>
      <c r="E676" s="34" t="str">
        <f>IFERROR(__xludf.DUMMYFUNCTION("""COMPUTED_VALUE"""),"")</f>
        <v/>
      </c>
      <c r="F676" s="30"/>
      <c r="G676" s="34" t="str">
        <f>IFERROR(__xludf.DUMMYFUNCTION("""COMPUTED_VALUE"""),"")</f>
        <v/>
      </c>
      <c r="H676" s="34" t="str">
        <f>IFERROR(__xludf.DUMMYFUNCTION("""COMPUTED_VALUE"""),"")</f>
        <v/>
      </c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</row>
    <row r="677">
      <c r="A677" s="30"/>
      <c r="B677" s="30" t="str">
        <f>IFERROR(__xludf.DUMMYFUNCTION("""COMPUTED_VALUE"""),"")</f>
        <v/>
      </c>
      <c r="C677" s="30" t="str">
        <f>IFERROR(__xludf.DUMMYFUNCTION("""COMPUTED_VALUE"""),"")</f>
        <v/>
      </c>
      <c r="D677" s="30"/>
      <c r="E677" s="34" t="str">
        <f>IFERROR(__xludf.DUMMYFUNCTION("""COMPUTED_VALUE"""),"")</f>
        <v/>
      </c>
      <c r="F677" s="30"/>
      <c r="G677" s="34" t="str">
        <f>IFERROR(__xludf.DUMMYFUNCTION("""COMPUTED_VALUE"""),"")</f>
        <v/>
      </c>
      <c r="H677" s="34" t="str">
        <f>IFERROR(__xludf.DUMMYFUNCTION("""COMPUTED_VALUE"""),"")</f>
        <v/>
      </c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</row>
    <row r="678">
      <c r="A678" s="30"/>
      <c r="B678" s="30" t="str">
        <f>IFERROR(__xludf.DUMMYFUNCTION("""COMPUTED_VALUE"""),"")</f>
        <v/>
      </c>
      <c r="C678" s="30" t="str">
        <f>IFERROR(__xludf.DUMMYFUNCTION("""COMPUTED_VALUE"""),"")</f>
        <v/>
      </c>
      <c r="D678" s="30"/>
      <c r="E678" s="34" t="str">
        <f>IFERROR(__xludf.DUMMYFUNCTION("""COMPUTED_VALUE"""),"")</f>
        <v/>
      </c>
      <c r="F678" s="30"/>
      <c r="G678" s="34" t="str">
        <f>IFERROR(__xludf.DUMMYFUNCTION("""COMPUTED_VALUE"""),"")</f>
        <v/>
      </c>
      <c r="H678" s="34" t="str">
        <f>IFERROR(__xludf.DUMMYFUNCTION("""COMPUTED_VALUE"""),"")</f>
        <v/>
      </c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</row>
    <row r="679">
      <c r="A679" s="30"/>
      <c r="B679" s="30" t="str">
        <f>IFERROR(__xludf.DUMMYFUNCTION("""COMPUTED_VALUE"""),"")</f>
        <v/>
      </c>
      <c r="C679" s="30" t="str">
        <f>IFERROR(__xludf.DUMMYFUNCTION("""COMPUTED_VALUE"""),"")</f>
        <v/>
      </c>
      <c r="D679" s="30"/>
      <c r="E679" s="34" t="str">
        <f>IFERROR(__xludf.DUMMYFUNCTION("""COMPUTED_VALUE"""),"")</f>
        <v/>
      </c>
      <c r="F679" s="30"/>
      <c r="G679" s="34" t="str">
        <f>IFERROR(__xludf.DUMMYFUNCTION("""COMPUTED_VALUE"""),"")</f>
        <v/>
      </c>
      <c r="H679" s="34" t="str">
        <f>IFERROR(__xludf.DUMMYFUNCTION("""COMPUTED_VALUE"""),"")</f>
        <v/>
      </c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</row>
    <row r="680">
      <c r="A680" s="30"/>
      <c r="B680" s="30" t="str">
        <f>IFERROR(__xludf.DUMMYFUNCTION("""COMPUTED_VALUE"""),"")</f>
        <v/>
      </c>
      <c r="C680" s="30" t="str">
        <f>IFERROR(__xludf.DUMMYFUNCTION("""COMPUTED_VALUE"""),"")</f>
        <v/>
      </c>
      <c r="D680" s="30"/>
      <c r="E680" s="34" t="str">
        <f>IFERROR(__xludf.DUMMYFUNCTION("""COMPUTED_VALUE"""),"")</f>
        <v/>
      </c>
      <c r="F680" s="30"/>
      <c r="G680" s="34" t="str">
        <f>IFERROR(__xludf.DUMMYFUNCTION("""COMPUTED_VALUE"""),"")</f>
        <v/>
      </c>
      <c r="H680" s="34" t="str">
        <f>IFERROR(__xludf.DUMMYFUNCTION("""COMPUTED_VALUE"""),"")</f>
        <v/>
      </c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</row>
    <row r="681">
      <c r="A681" s="30"/>
      <c r="B681" s="30" t="str">
        <f>IFERROR(__xludf.DUMMYFUNCTION("""COMPUTED_VALUE"""),"")</f>
        <v/>
      </c>
      <c r="C681" s="30" t="str">
        <f>IFERROR(__xludf.DUMMYFUNCTION("""COMPUTED_VALUE"""),"")</f>
        <v/>
      </c>
      <c r="D681" s="30"/>
      <c r="E681" s="34" t="str">
        <f>IFERROR(__xludf.DUMMYFUNCTION("""COMPUTED_VALUE"""),"")</f>
        <v/>
      </c>
      <c r="F681" s="30"/>
      <c r="G681" s="34" t="str">
        <f>IFERROR(__xludf.DUMMYFUNCTION("""COMPUTED_VALUE"""),"")</f>
        <v/>
      </c>
      <c r="H681" s="34" t="str">
        <f>IFERROR(__xludf.DUMMYFUNCTION("""COMPUTED_VALUE"""),"")</f>
        <v/>
      </c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</row>
    <row r="682">
      <c r="A682" s="30"/>
      <c r="B682" s="30" t="str">
        <f>IFERROR(__xludf.DUMMYFUNCTION("""COMPUTED_VALUE"""),"")</f>
        <v/>
      </c>
      <c r="C682" s="30" t="str">
        <f>IFERROR(__xludf.DUMMYFUNCTION("""COMPUTED_VALUE"""),"")</f>
        <v/>
      </c>
      <c r="D682" s="30"/>
      <c r="E682" s="34" t="str">
        <f>IFERROR(__xludf.DUMMYFUNCTION("""COMPUTED_VALUE"""),"")</f>
        <v/>
      </c>
      <c r="F682" s="30"/>
      <c r="G682" s="34" t="str">
        <f>IFERROR(__xludf.DUMMYFUNCTION("""COMPUTED_VALUE"""),"")</f>
        <v/>
      </c>
      <c r="H682" s="34" t="str">
        <f>IFERROR(__xludf.DUMMYFUNCTION("""COMPUTED_VALUE"""),"")</f>
        <v/>
      </c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</row>
    <row r="683">
      <c r="A683" s="30"/>
      <c r="B683" s="30" t="str">
        <f>IFERROR(__xludf.DUMMYFUNCTION("""COMPUTED_VALUE"""),"")</f>
        <v/>
      </c>
      <c r="C683" s="30" t="str">
        <f>IFERROR(__xludf.DUMMYFUNCTION("""COMPUTED_VALUE"""),"")</f>
        <v/>
      </c>
      <c r="D683" s="30"/>
      <c r="E683" s="34" t="str">
        <f>IFERROR(__xludf.DUMMYFUNCTION("""COMPUTED_VALUE"""),"")</f>
        <v/>
      </c>
      <c r="F683" s="30"/>
      <c r="G683" s="34" t="str">
        <f>IFERROR(__xludf.DUMMYFUNCTION("""COMPUTED_VALUE"""),"")</f>
        <v/>
      </c>
      <c r="H683" s="34" t="str">
        <f>IFERROR(__xludf.DUMMYFUNCTION("""COMPUTED_VALUE"""),"")</f>
        <v/>
      </c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</row>
    <row r="684">
      <c r="A684" s="30"/>
      <c r="B684" s="30" t="str">
        <f>IFERROR(__xludf.DUMMYFUNCTION("""COMPUTED_VALUE"""),"")</f>
        <v/>
      </c>
      <c r="C684" s="30" t="str">
        <f>IFERROR(__xludf.DUMMYFUNCTION("""COMPUTED_VALUE"""),"")</f>
        <v/>
      </c>
      <c r="D684" s="30"/>
      <c r="E684" s="34" t="str">
        <f>IFERROR(__xludf.DUMMYFUNCTION("""COMPUTED_VALUE"""),"")</f>
        <v/>
      </c>
      <c r="F684" s="30"/>
      <c r="G684" s="34" t="str">
        <f>IFERROR(__xludf.DUMMYFUNCTION("""COMPUTED_VALUE"""),"")</f>
        <v/>
      </c>
      <c r="H684" s="34" t="str">
        <f>IFERROR(__xludf.DUMMYFUNCTION("""COMPUTED_VALUE"""),"")</f>
        <v/>
      </c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</row>
    <row r="685">
      <c r="A685" s="30"/>
      <c r="B685" s="30" t="str">
        <f>IFERROR(__xludf.DUMMYFUNCTION("""COMPUTED_VALUE"""),"")</f>
        <v/>
      </c>
      <c r="C685" s="30" t="str">
        <f>IFERROR(__xludf.DUMMYFUNCTION("""COMPUTED_VALUE"""),"")</f>
        <v/>
      </c>
      <c r="D685" s="30"/>
      <c r="E685" s="34" t="str">
        <f>IFERROR(__xludf.DUMMYFUNCTION("""COMPUTED_VALUE"""),"")</f>
        <v/>
      </c>
      <c r="F685" s="30"/>
      <c r="G685" s="34" t="str">
        <f>IFERROR(__xludf.DUMMYFUNCTION("""COMPUTED_VALUE"""),"")</f>
        <v/>
      </c>
      <c r="H685" s="34" t="str">
        <f>IFERROR(__xludf.DUMMYFUNCTION("""COMPUTED_VALUE"""),"")</f>
        <v/>
      </c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</row>
    <row r="686">
      <c r="A686" s="30"/>
      <c r="B686" s="30" t="str">
        <f>IFERROR(__xludf.DUMMYFUNCTION("""COMPUTED_VALUE"""),"")</f>
        <v/>
      </c>
      <c r="C686" s="30" t="str">
        <f>IFERROR(__xludf.DUMMYFUNCTION("""COMPUTED_VALUE"""),"")</f>
        <v/>
      </c>
      <c r="D686" s="30"/>
      <c r="E686" s="34" t="str">
        <f>IFERROR(__xludf.DUMMYFUNCTION("""COMPUTED_VALUE"""),"")</f>
        <v/>
      </c>
      <c r="F686" s="30"/>
      <c r="G686" s="34" t="str">
        <f>IFERROR(__xludf.DUMMYFUNCTION("""COMPUTED_VALUE"""),"")</f>
        <v/>
      </c>
      <c r="H686" s="34" t="str">
        <f>IFERROR(__xludf.DUMMYFUNCTION("""COMPUTED_VALUE"""),"")</f>
        <v/>
      </c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</row>
    <row r="687">
      <c r="A687" s="30"/>
      <c r="B687" s="30" t="str">
        <f>IFERROR(__xludf.DUMMYFUNCTION("""COMPUTED_VALUE"""),"")</f>
        <v/>
      </c>
      <c r="C687" s="30" t="str">
        <f>IFERROR(__xludf.DUMMYFUNCTION("""COMPUTED_VALUE"""),"")</f>
        <v/>
      </c>
      <c r="D687" s="30"/>
      <c r="E687" s="34" t="str">
        <f>IFERROR(__xludf.DUMMYFUNCTION("""COMPUTED_VALUE"""),"")</f>
        <v/>
      </c>
      <c r="F687" s="30"/>
      <c r="G687" s="34" t="str">
        <f>IFERROR(__xludf.DUMMYFUNCTION("""COMPUTED_VALUE"""),"")</f>
        <v/>
      </c>
      <c r="H687" s="34" t="str">
        <f>IFERROR(__xludf.DUMMYFUNCTION("""COMPUTED_VALUE"""),"")</f>
        <v/>
      </c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</row>
    <row r="688">
      <c r="A688" s="30"/>
      <c r="B688" s="30" t="str">
        <f>IFERROR(__xludf.DUMMYFUNCTION("""COMPUTED_VALUE"""),"")</f>
        <v/>
      </c>
      <c r="C688" s="30" t="str">
        <f>IFERROR(__xludf.DUMMYFUNCTION("""COMPUTED_VALUE"""),"")</f>
        <v/>
      </c>
      <c r="D688" s="30"/>
      <c r="E688" s="34" t="str">
        <f>IFERROR(__xludf.DUMMYFUNCTION("""COMPUTED_VALUE"""),"")</f>
        <v/>
      </c>
      <c r="F688" s="30"/>
      <c r="G688" s="34" t="str">
        <f>IFERROR(__xludf.DUMMYFUNCTION("""COMPUTED_VALUE"""),"")</f>
        <v/>
      </c>
      <c r="H688" s="34" t="str">
        <f>IFERROR(__xludf.DUMMYFUNCTION("""COMPUTED_VALUE"""),"")</f>
        <v/>
      </c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</row>
    <row r="689">
      <c r="A689" s="30"/>
      <c r="B689" s="30" t="str">
        <f>IFERROR(__xludf.DUMMYFUNCTION("""COMPUTED_VALUE"""),"")</f>
        <v/>
      </c>
      <c r="C689" s="30" t="str">
        <f>IFERROR(__xludf.DUMMYFUNCTION("""COMPUTED_VALUE"""),"")</f>
        <v/>
      </c>
      <c r="D689" s="30"/>
      <c r="E689" s="34" t="str">
        <f>IFERROR(__xludf.DUMMYFUNCTION("""COMPUTED_VALUE"""),"")</f>
        <v/>
      </c>
      <c r="F689" s="30"/>
      <c r="G689" s="34" t="str">
        <f>IFERROR(__xludf.DUMMYFUNCTION("""COMPUTED_VALUE"""),"")</f>
        <v/>
      </c>
      <c r="H689" s="34" t="str">
        <f>IFERROR(__xludf.DUMMYFUNCTION("""COMPUTED_VALUE"""),"")</f>
        <v/>
      </c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</row>
    <row r="690">
      <c r="A690" s="30"/>
      <c r="B690" s="30" t="str">
        <f>IFERROR(__xludf.DUMMYFUNCTION("""COMPUTED_VALUE"""),"")</f>
        <v/>
      </c>
      <c r="C690" s="30" t="str">
        <f>IFERROR(__xludf.DUMMYFUNCTION("""COMPUTED_VALUE"""),"")</f>
        <v/>
      </c>
      <c r="D690" s="30"/>
      <c r="E690" s="34" t="str">
        <f>IFERROR(__xludf.DUMMYFUNCTION("""COMPUTED_VALUE"""),"")</f>
        <v/>
      </c>
      <c r="F690" s="30"/>
      <c r="G690" s="34" t="str">
        <f>IFERROR(__xludf.DUMMYFUNCTION("""COMPUTED_VALUE"""),"")</f>
        <v/>
      </c>
      <c r="H690" s="34" t="str">
        <f>IFERROR(__xludf.DUMMYFUNCTION("""COMPUTED_VALUE"""),"")</f>
        <v/>
      </c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</row>
    <row r="691">
      <c r="A691" s="30"/>
      <c r="B691" s="30" t="str">
        <f>IFERROR(__xludf.DUMMYFUNCTION("""COMPUTED_VALUE"""),"")</f>
        <v/>
      </c>
      <c r="C691" s="30" t="str">
        <f>IFERROR(__xludf.DUMMYFUNCTION("""COMPUTED_VALUE"""),"")</f>
        <v/>
      </c>
      <c r="D691" s="30"/>
      <c r="E691" s="34" t="str">
        <f>IFERROR(__xludf.DUMMYFUNCTION("""COMPUTED_VALUE"""),"")</f>
        <v/>
      </c>
      <c r="F691" s="30"/>
      <c r="G691" s="34" t="str">
        <f>IFERROR(__xludf.DUMMYFUNCTION("""COMPUTED_VALUE"""),"")</f>
        <v/>
      </c>
      <c r="H691" s="34" t="str">
        <f>IFERROR(__xludf.DUMMYFUNCTION("""COMPUTED_VALUE"""),"")</f>
        <v/>
      </c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</row>
    <row r="692">
      <c r="A692" s="30"/>
      <c r="B692" s="30" t="str">
        <f>IFERROR(__xludf.DUMMYFUNCTION("""COMPUTED_VALUE"""),"")</f>
        <v/>
      </c>
      <c r="C692" s="30" t="str">
        <f>IFERROR(__xludf.DUMMYFUNCTION("""COMPUTED_VALUE"""),"")</f>
        <v/>
      </c>
      <c r="D692" s="30"/>
      <c r="E692" s="34" t="str">
        <f>IFERROR(__xludf.DUMMYFUNCTION("""COMPUTED_VALUE"""),"")</f>
        <v/>
      </c>
      <c r="F692" s="30"/>
      <c r="G692" s="34" t="str">
        <f>IFERROR(__xludf.DUMMYFUNCTION("""COMPUTED_VALUE"""),"")</f>
        <v/>
      </c>
      <c r="H692" s="34" t="str">
        <f>IFERROR(__xludf.DUMMYFUNCTION("""COMPUTED_VALUE"""),"")</f>
        <v/>
      </c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</row>
    <row r="693">
      <c r="A693" s="30"/>
      <c r="B693" s="30" t="str">
        <f>IFERROR(__xludf.DUMMYFUNCTION("""COMPUTED_VALUE"""),"")</f>
        <v/>
      </c>
      <c r="C693" s="30" t="str">
        <f>IFERROR(__xludf.DUMMYFUNCTION("""COMPUTED_VALUE"""),"")</f>
        <v/>
      </c>
      <c r="D693" s="30"/>
      <c r="E693" s="34" t="str">
        <f>IFERROR(__xludf.DUMMYFUNCTION("""COMPUTED_VALUE"""),"")</f>
        <v/>
      </c>
      <c r="F693" s="30"/>
      <c r="G693" s="34" t="str">
        <f>IFERROR(__xludf.DUMMYFUNCTION("""COMPUTED_VALUE"""),"")</f>
        <v/>
      </c>
      <c r="H693" s="34" t="str">
        <f>IFERROR(__xludf.DUMMYFUNCTION("""COMPUTED_VALUE"""),"")</f>
        <v/>
      </c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</row>
    <row r="694">
      <c r="A694" s="30"/>
      <c r="B694" s="30" t="str">
        <f>IFERROR(__xludf.DUMMYFUNCTION("""COMPUTED_VALUE"""),"")</f>
        <v/>
      </c>
      <c r="C694" s="30" t="str">
        <f>IFERROR(__xludf.DUMMYFUNCTION("""COMPUTED_VALUE"""),"")</f>
        <v/>
      </c>
      <c r="D694" s="30"/>
      <c r="E694" s="34" t="str">
        <f>IFERROR(__xludf.DUMMYFUNCTION("""COMPUTED_VALUE"""),"")</f>
        <v/>
      </c>
      <c r="F694" s="30"/>
      <c r="G694" s="34" t="str">
        <f>IFERROR(__xludf.DUMMYFUNCTION("""COMPUTED_VALUE"""),"")</f>
        <v/>
      </c>
      <c r="H694" s="34" t="str">
        <f>IFERROR(__xludf.DUMMYFUNCTION("""COMPUTED_VALUE"""),"")</f>
        <v/>
      </c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</row>
    <row r="695">
      <c r="A695" s="30"/>
      <c r="B695" s="30" t="str">
        <f>IFERROR(__xludf.DUMMYFUNCTION("""COMPUTED_VALUE"""),"")</f>
        <v/>
      </c>
      <c r="C695" s="30" t="str">
        <f>IFERROR(__xludf.DUMMYFUNCTION("""COMPUTED_VALUE"""),"")</f>
        <v/>
      </c>
      <c r="D695" s="30"/>
      <c r="E695" s="34" t="str">
        <f>IFERROR(__xludf.DUMMYFUNCTION("""COMPUTED_VALUE"""),"")</f>
        <v/>
      </c>
      <c r="F695" s="30"/>
      <c r="G695" s="34" t="str">
        <f>IFERROR(__xludf.DUMMYFUNCTION("""COMPUTED_VALUE"""),"")</f>
        <v/>
      </c>
      <c r="H695" s="34" t="str">
        <f>IFERROR(__xludf.DUMMYFUNCTION("""COMPUTED_VALUE"""),"")</f>
        <v/>
      </c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</row>
    <row r="696">
      <c r="A696" s="30"/>
      <c r="B696" s="30" t="str">
        <f>IFERROR(__xludf.DUMMYFUNCTION("""COMPUTED_VALUE"""),"")</f>
        <v/>
      </c>
      <c r="C696" s="30" t="str">
        <f>IFERROR(__xludf.DUMMYFUNCTION("""COMPUTED_VALUE"""),"")</f>
        <v/>
      </c>
      <c r="D696" s="30"/>
      <c r="E696" s="34" t="str">
        <f>IFERROR(__xludf.DUMMYFUNCTION("""COMPUTED_VALUE"""),"")</f>
        <v/>
      </c>
      <c r="F696" s="30"/>
      <c r="G696" s="34" t="str">
        <f>IFERROR(__xludf.DUMMYFUNCTION("""COMPUTED_VALUE"""),"")</f>
        <v/>
      </c>
      <c r="H696" s="34" t="str">
        <f>IFERROR(__xludf.DUMMYFUNCTION("""COMPUTED_VALUE"""),"")</f>
        <v/>
      </c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</row>
    <row r="697">
      <c r="A697" s="30"/>
      <c r="B697" s="30" t="str">
        <f>IFERROR(__xludf.DUMMYFUNCTION("""COMPUTED_VALUE"""),"")</f>
        <v/>
      </c>
      <c r="C697" s="30" t="str">
        <f>IFERROR(__xludf.DUMMYFUNCTION("""COMPUTED_VALUE"""),"")</f>
        <v/>
      </c>
      <c r="D697" s="30"/>
      <c r="E697" s="34" t="str">
        <f>IFERROR(__xludf.DUMMYFUNCTION("""COMPUTED_VALUE"""),"")</f>
        <v/>
      </c>
      <c r="F697" s="30"/>
      <c r="G697" s="34" t="str">
        <f>IFERROR(__xludf.DUMMYFUNCTION("""COMPUTED_VALUE"""),"")</f>
        <v/>
      </c>
      <c r="H697" s="34" t="str">
        <f>IFERROR(__xludf.DUMMYFUNCTION("""COMPUTED_VALUE"""),"")</f>
        <v/>
      </c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</row>
    <row r="698">
      <c r="A698" s="30"/>
      <c r="B698" s="30" t="str">
        <f>IFERROR(__xludf.DUMMYFUNCTION("""COMPUTED_VALUE"""),"")</f>
        <v/>
      </c>
      <c r="C698" s="30" t="str">
        <f>IFERROR(__xludf.DUMMYFUNCTION("""COMPUTED_VALUE"""),"")</f>
        <v/>
      </c>
      <c r="D698" s="30"/>
      <c r="E698" s="34" t="str">
        <f>IFERROR(__xludf.DUMMYFUNCTION("""COMPUTED_VALUE"""),"")</f>
        <v/>
      </c>
      <c r="F698" s="30"/>
      <c r="G698" s="34" t="str">
        <f>IFERROR(__xludf.DUMMYFUNCTION("""COMPUTED_VALUE"""),"")</f>
        <v/>
      </c>
      <c r="H698" s="34" t="str">
        <f>IFERROR(__xludf.DUMMYFUNCTION("""COMPUTED_VALUE"""),"")</f>
        <v/>
      </c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</row>
    <row r="699">
      <c r="A699" s="30"/>
      <c r="B699" s="30" t="str">
        <f>IFERROR(__xludf.DUMMYFUNCTION("""COMPUTED_VALUE"""),"")</f>
        <v/>
      </c>
      <c r="C699" s="30" t="str">
        <f>IFERROR(__xludf.DUMMYFUNCTION("""COMPUTED_VALUE"""),"")</f>
        <v/>
      </c>
      <c r="D699" s="30"/>
      <c r="E699" s="34" t="str">
        <f>IFERROR(__xludf.DUMMYFUNCTION("""COMPUTED_VALUE"""),"")</f>
        <v/>
      </c>
      <c r="F699" s="30"/>
      <c r="G699" s="34" t="str">
        <f>IFERROR(__xludf.DUMMYFUNCTION("""COMPUTED_VALUE"""),"")</f>
        <v/>
      </c>
      <c r="H699" s="34" t="str">
        <f>IFERROR(__xludf.DUMMYFUNCTION("""COMPUTED_VALUE"""),"")</f>
        <v/>
      </c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</row>
    <row r="700">
      <c r="A700" s="30"/>
      <c r="B700" s="30" t="str">
        <f>IFERROR(__xludf.DUMMYFUNCTION("""COMPUTED_VALUE"""),"")</f>
        <v/>
      </c>
      <c r="C700" s="30" t="str">
        <f>IFERROR(__xludf.DUMMYFUNCTION("""COMPUTED_VALUE"""),"")</f>
        <v/>
      </c>
      <c r="D700" s="30"/>
      <c r="E700" s="34" t="str">
        <f>IFERROR(__xludf.DUMMYFUNCTION("""COMPUTED_VALUE"""),"")</f>
        <v/>
      </c>
      <c r="F700" s="30"/>
      <c r="G700" s="34" t="str">
        <f>IFERROR(__xludf.DUMMYFUNCTION("""COMPUTED_VALUE"""),"")</f>
        <v/>
      </c>
      <c r="H700" s="34" t="str">
        <f>IFERROR(__xludf.DUMMYFUNCTION("""COMPUTED_VALUE"""),"")</f>
        <v/>
      </c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</row>
    <row r="701">
      <c r="A701" s="30"/>
      <c r="B701" s="30" t="str">
        <f>IFERROR(__xludf.DUMMYFUNCTION("""COMPUTED_VALUE"""),"")</f>
        <v/>
      </c>
      <c r="C701" s="30" t="str">
        <f>IFERROR(__xludf.DUMMYFUNCTION("""COMPUTED_VALUE"""),"")</f>
        <v/>
      </c>
      <c r="D701" s="30"/>
      <c r="E701" s="34" t="str">
        <f>IFERROR(__xludf.DUMMYFUNCTION("""COMPUTED_VALUE"""),"")</f>
        <v/>
      </c>
      <c r="F701" s="30"/>
      <c r="G701" s="34" t="str">
        <f>IFERROR(__xludf.DUMMYFUNCTION("""COMPUTED_VALUE"""),"")</f>
        <v/>
      </c>
      <c r="H701" s="34" t="str">
        <f>IFERROR(__xludf.DUMMYFUNCTION("""COMPUTED_VALUE"""),"")</f>
        <v/>
      </c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</row>
    <row r="702">
      <c r="A702" s="30"/>
      <c r="B702" s="30" t="str">
        <f>IFERROR(__xludf.DUMMYFUNCTION("""COMPUTED_VALUE"""),"")</f>
        <v/>
      </c>
      <c r="C702" s="30" t="str">
        <f>IFERROR(__xludf.DUMMYFUNCTION("""COMPUTED_VALUE"""),"")</f>
        <v/>
      </c>
      <c r="D702" s="30"/>
      <c r="E702" s="34" t="str">
        <f>IFERROR(__xludf.DUMMYFUNCTION("""COMPUTED_VALUE"""),"")</f>
        <v/>
      </c>
      <c r="F702" s="30"/>
      <c r="G702" s="34" t="str">
        <f>IFERROR(__xludf.DUMMYFUNCTION("""COMPUTED_VALUE"""),"")</f>
        <v/>
      </c>
      <c r="H702" s="34" t="str">
        <f>IFERROR(__xludf.DUMMYFUNCTION("""COMPUTED_VALUE"""),"")</f>
        <v/>
      </c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</row>
    <row r="703">
      <c r="A703" s="30"/>
      <c r="B703" s="30" t="str">
        <f>IFERROR(__xludf.DUMMYFUNCTION("""COMPUTED_VALUE"""),"")</f>
        <v/>
      </c>
      <c r="C703" s="30" t="str">
        <f>IFERROR(__xludf.DUMMYFUNCTION("""COMPUTED_VALUE"""),"")</f>
        <v/>
      </c>
      <c r="D703" s="30"/>
      <c r="E703" s="34" t="str">
        <f>IFERROR(__xludf.DUMMYFUNCTION("""COMPUTED_VALUE"""),"")</f>
        <v/>
      </c>
      <c r="F703" s="30"/>
      <c r="G703" s="34" t="str">
        <f>IFERROR(__xludf.DUMMYFUNCTION("""COMPUTED_VALUE"""),"")</f>
        <v/>
      </c>
      <c r="H703" s="34" t="str">
        <f>IFERROR(__xludf.DUMMYFUNCTION("""COMPUTED_VALUE"""),"")</f>
        <v/>
      </c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</row>
    <row r="704">
      <c r="A704" s="30"/>
      <c r="B704" s="30" t="str">
        <f>IFERROR(__xludf.DUMMYFUNCTION("""COMPUTED_VALUE"""),"")</f>
        <v/>
      </c>
      <c r="C704" s="30" t="str">
        <f>IFERROR(__xludf.DUMMYFUNCTION("""COMPUTED_VALUE"""),"")</f>
        <v/>
      </c>
      <c r="D704" s="30"/>
      <c r="E704" s="34" t="str">
        <f>IFERROR(__xludf.DUMMYFUNCTION("""COMPUTED_VALUE"""),"")</f>
        <v/>
      </c>
      <c r="F704" s="30"/>
      <c r="G704" s="34" t="str">
        <f>IFERROR(__xludf.DUMMYFUNCTION("""COMPUTED_VALUE"""),"")</f>
        <v/>
      </c>
      <c r="H704" s="34" t="str">
        <f>IFERROR(__xludf.DUMMYFUNCTION("""COMPUTED_VALUE"""),"")</f>
        <v/>
      </c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</row>
    <row r="705">
      <c r="A705" s="30"/>
      <c r="B705" s="30" t="str">
        <f>IFERROR(__xludf.DUMMYFUNCTION("""COMPUTED_VALUE"""),"")</f>
        <v/>
      </c>
      <c r="C705" s="30" t="str">
        <f>IFERROR(__xludf.DUMMYFUNCTION("""COMPUTED_VALUE"""),"")</f>
        <v/>
      </c>
      <c r="D705" s="30"/>
      <c r="E705" s="34" t="str">
        <f>IFERROR(__xludf.DUMMYFUNCTION("""COMPUTED_VALUE"""),"")</f>
        <v/>
      </c>
      <c r="F705" s="30"/>
      <c r="G705" s="34" t="str">
        <f>IFERROR(__xludf.DUMMYFUNCTION("""COMPUTED_VALUE"""),"")</f>
        <v/>
      </c>
      <c r="H705" s="34" t="str">
        <f>IFERROR(__xludf.DUMMYFUNCTION("""COMPUTED_VALUE"""),"")</f>
        <v/>
      </c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</row>
    <row r="706">
      <c r="A706" s="30"/>
      <c r="B706" s="30" t="str">
        <f>IFERROR(__xludf.DUMMYFUNCTION("""COMPUTED_VALUE"""),"")</f>
        <v/>
      </c>
      <c r="C706" s="30" t="str">
        <f>IFERROR(__xludf.DUMMYFUNCTION("""COMPUTED_VALUE"""),"")</f>
        <v/>
      </c>
      <c r="D706" s="30"/>
      <c r="E706" s="34" t="str">
        <f>IFERROR(__xludf.DUMMYFUNCTION("""COMPUTED_VALUE"""),"")</f>
        <v/>
      </c>
      <c r="F706" s="30"/>
      <c r="G706" s="34" t="str">
        <f>IFERROR(__xludf.DUMMYFUNCTION("""COMPUTED_VALUE"""),"")</f>
        <v/>
      </c>
      <c r="H706" s="34" t="str">
        <f>IFERROR(__xludf.DUMMYFUNCTION("""COMPUTED_VALUE"""),"")</f>
        <v/>
      </c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>
      <c r="A707" s="30"/>
      <c r="B707" s="30" t="str">
        <f>IFERROR(__xludf.DUMMYFUNCTION("""COMPUTED_VALUE"""),"")</f>
        <v/>
      </c>
      <c r="C707" s="30" t="str">
        <f>IFERROR(__xludf.DUMMYFUNCTION("""COMPUTED_VALUE"""),"")</f>
        <v/>
      </c>
      <c r="D707" s="30"/>
      <c r="E707" s="34" t="str">
        <f>IFERROR(__xludf.DUMMYFUNCTION("""COMPUTED_VALUE"""),"")</f>
        <v/>
      </c>
      <c r="F707" s="30"/>
      <c r="G707" s="34" t="str">
        <f>IFERROR(__xludf.DUMMYFUNCTION("""COMPUTED_VALUE"""),"")</f>
        <v/>
      </c>
      <c r="H707" s="34" t="str">
        <f>IFERROR(__xludf.DUMMYFUNCTION("""COMPUTED_VALUE"""),"")</f>
        <v/>
      </c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</row>
    <row r="708">
      <c r="A708" s="30"/>
      <c r="B708" s="30" t="str">
        <f>IFERROR(__xludf.DUMMYFUNCTION("""COMPUTED_VALUE"""),"")</f>
        <v/>
      </c>
      <c r="C708" s="30" t="str">
        <f>IFERROR(__xludf.DUMMYFUNCTION("""COMPUTED_VALUE"""),"")</f>
        <v/>
      </c>
      <c r="D708" s="30"/>
      <c r="E708" s="34" t="str">
        <f>IFERROR(__xludf.DUMMYFUNCTION("""COMPUTED_VALUE"""),"")</f>
        <v/>
      </c>
      <c r="F708" s="30"/>
      <c r="G708" s="34" t="str">
        <f>IFERROR(__xludf.DUMMYFUNCTION("""COMPUTED_VALUE"""),"")</f>
        <v/>
      </c>
      <c r="H708" s="34" t="str">
        <f>IFERROR(__xludf.DUMMYFUNCTION("""COMPUTED_VALUE"""),"")</f>
        <v/>
      </c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</row>
    <row r="709">
      <c r="A709" s="30"/>
      <c r="B709" s="30" t="str">
        <f>IFERROR(__xludf.DUMMYFUNCTION("""COMPUTED_VALUE"""),"")</f>
        <v/>
      </c>
      <c r="C709" s="30" t="str">
        <f>IFERROR(__xludf.DUMMYFUNCTION("""COMPUTED_VALUE"""),"")</f>
        <v/>
      </c>
      <c r="D709" s="30"/>
      <c r="E709" s="34" t="str">
        <f>IFERROR(__xludf.DUMMYFUNCTION("""COMPUTED_VALUE"""),"")</f>
        <v/>
      </c>
      <c r="F709" s="30"/>
      <c r="G709" s="34" t="str">
        <f>IFERROR(__xludf.DUMMYFUNCTION("""COMPUTED_VALUE"""),"")</f>
        <v/>
      </c>
      <c r="H709" s="34" t="str">
        <f>IFERROR(__xludf.DUMMYFUNCTION("""COMPUTED_VALUE"""),"")</f>
        <v/>
      </c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</row>
    <row r="710">
      <c r="A710" s="30"/>
      <c r="B710" s="30" t="str">
        <f>IFERROR(__xludf.DUMMYFUNCTION("""COMPUTED_VALUE"""),"")</f>
        <v/>
      </c>
      <c r="C710" s="30" t="str">
        <f>IFERROR(__xludf.DUMMYFUNCTION("""COMPUTED_VALUE"""),"")</f>
        <v/>
      </c>
      <c r="D710" s="30"/>
      <c r="E710" s="34" t="str">
        <f>IFERROR(__xludf.DUMMYFUNCTION("""COMPUTED_VALUE"""),"")</f>
        <v/>
      </c>
      <c r="F710" s="30"/>
      <c r="G710" s="34" t="str">
        <f>IFERROR(__xludf.DUMMYFUNCTION("""COMPUTED_VALUE"""),"")</f>
        <v/>
      </c>
      <c r="H710" s="34" t="str">
        <f>IFERROR(__xludf.DUMMYFUNCTION("""COMPUTED_VALUE"""),"")</f>
        <v/>
      </c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</row>
    <row r="711">
      <c r="A711" s="30"/>
      <c r="B711" s="30" t="str">
        <f>IFERROR(__xludf.DUMMYFUNCTION("""COMPUTED_VALUE"""),"")</f>
        <v/>
      </c>
      <c r="C711" s="30" t="str">
        <f>IFERROR(__xludf.DUMMYFUNCTION("""COMPUTED_VALUE"""),"")</f>
        <v/>
      </c>
      <c r="D711" s="30"/>
      <c r="E711" s="34" t="str">
        <f>IFERROR(__xludf.DUMMYFUNCTION("""COMPUTED_VALUE"""),"")</f>
        <v/>
      </c>
      <c r="F711" s="30"/>
      <c r="G711" s="34" t="str">
        <f>IFERROR(__xludf.DUMMYFUNCTION("""COMPUTED_VALUE"""),"")</f>
        <v/>
      </c>
      <c r="H711" s="34" t="str">
        <f>IFERROR(__xludf.DUMMYFUNCTION("""COMPUTED_VALUE"""),"")</f>
        <v/>
      </c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</row>
    <row r="712">
      <c r="A712" s="30"/>
      <c r="B712" s="30" t="str">
        <f>IFERROR(__xludf.DUMMYFUNCTION("""COMPUTED_VALUE"""),"")</f>
        <v/>
      </c>
      <c r="C712" s="30" t="str">
        <f>IFERROR(__xludf.DUMMYFUNCTION("""COMPUTED_VALUE"""),"")</f>
        <v/>
      </c>
      <c r="D712" s="30"/>
      <c r="E712" s="34" t="str">
        <f>IFERROR(__xludf.DUMMYFUNCTION("""COMPUTED_VALUE"""),"")</f>
        <v/>
      </c>
      <c r="F712" s="30"/>
      <c r="G712" s="34" t="str">
        <f>IFERROR(__xludf.DUMMYFUNCTION("""COMPUTED_VALUE"""),"")</f>
        <v/>
      </c>
      <c r="H712" s="34" t="str">
        <f>IFERROR(__xludf.DUMMYFUNCTION("""COMPUTED_VALUE"""),"")</f>
        <v/>
      </c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</row>
    <row r="713">
      <c r="A713" s="30"/>
      <c r="B713" s="30" t="str">
        <f>IFERROR(__xludf.DUMMYFUNCTION("""COMPUTED_VALUE"""),"")</f>
        <v/>
      </c>
      <c r="C713" s="30" t="str">
        <f>IFERROR(__xludf.DUMMYFUNCTION("""COMPUTED_VALUE"""),"")</f>
        <v/>
      </c>
      <c r="D713" s="30"/>
      <c r="E713" s="34" t="str">
        <f>IFERROR(__xludf.DUMMYFUNCTION("""COMPUTED_VALUE"""),"")</f>
        <v/>
      </c>
      <c r="F713" s="30"/>
      <c r="G713" s="34" t="str">
        <f>IFERROR(__xludf.DUMMYFUNCTION("""COMPUTED_VALUE"""),"")</f>
        <v/>
      </c>
      <c r="H713" s="34" t="str">
        <f>IFERROR(__xludf.DUMMYFUNCTION("""COMPUTED_VALUE"""),"")</f>
        <v/>
      </c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</row>
    <row r="714">
      <c r="A714" s="30"/>
      <c r="B714" s="30" t="str">
        <f>IFERROR(__xludf.DUMMYFUNCTION("""COMPUTED_VALUE"""),"")</f>
        <v/>
      </c>
      <c r="C714" s="30" t="str">
        <f>IFERROR(__xludf.DUMMYFUNCTION("""COMPUTED_VALUE"""),"")</f>
        <v/>
      </c>
      <c r="D714" s="30"/>
      <c r="E714" s="34" t="str">
        <f>IFERROR(__xludf.DUMMYFUNCTION("""COMPUTED_VALUE"""),"")</f>
        <v/>
      </c>
      <c r="F714" s="30"/>
      <c r="G714" s="34" t="str">
        <f>IFERROR(__xludf.DUMMYFUNCTION("""COMPUTED_VALUE"""),"")</f>
        <v/>
      </c>
      <c r="H714" s="34" t="str">
        <f>IFERROR(__xludf.DUMMYFUNCTION("""COMPUTED_VALUE"""),"")</f>
        <v/>
      </c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</row>
    <row r="715">
      <c r="A715" s="30"/>
      <c r="B715" s="30" t="str">
        <f>IFERROR(__xludf.DUMMYFUNCTION("""COMPUTED_VALUE"""),"")</f>
        <v/>
      </c>
      <c r="C715" s="30" t="str">
        <f>IFERROR(__xludf.DUMMYFUNCTION("""COMPUTED_VALUE"""),"")</f>
        <v/>
      </c>
      <c r="D715" s="30"/>
      <c r="E715" s="34" t="str">
        <f>IFERROR(__xludf.DUMMYFUNCTION("""COMPUTED_VALUE"""),"")</f>
        <v/>
      </c>
      <c r="F715" s="30"/>
      <c r="G715" s="34" t="str">
        <f>IFERROR(__xludf.DUMMYFUNCTION("""COMPUTED_VALUE"""),"")</f>
        <v/>
      </c>
      <c r="H715" s="34" t="str">
        <f>IFERROR(__xludf.DUMMYFUNCTION("""COMPUTED_VALUE"""),"")</f>
        <v/>
      </c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</row>
    <row r="716">
      <c r="A716" s="30"/>
      <c r="B716" s="30" t="str">
        <f>IFERROR(__xludf.DUMMYFUNCTION("""COMPUTED_VALUE"""),"")</f>
        <v/>
      </c>
      <c r="C716" s="30" t="str">
        <f>IFERROR(__xludf.DUMMYFUNCTION("""COMPUTED_VALUE"""),"")</f>
        <v/>
      </c>
      <c r="D716" s="30"/>
      <c r="E716" s="34" t="str">
        <f>IFERROR(__xludf.DUMMYFUNCTION("""COMPUTED_VALUE"""),"")</f>
        <v/>
      </c>
      <c r="F716" s="30"/>
      <c r="G716" s="34" t="str">
        <f>IFERROR(__xludf.DUMMYFUNCTION("""COMPUTED_VALUE"""),"")</f>
        <v/>
      </c>
      <c r="H716" s="34" t="str">
        <f>IFERROR(__xludf.DUMMYFUNCTION("""COMPUTED_VALUE"""),"")</f>
        <v/>
      </c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</row>
    <row r="717">
      <c r="A717" s="30"/>
      <c r="B717" s="30" t="str">
        <f>IFERROR(__xludf.DUMMYFUNCTION("""COMPUTED_VALUE"""),"")</f>
        <v/>
      </c>
      <c r="C717" s="30" t="str">
        <f>IFERROR(__xludf.DUMMYFUNCTION("""COMPUTED_VALUE"""),"")</f>
        <v/>
      </c>
      <c r="D717" s="30"/>
      <c r="E717" s="34" t="str">
        <f>IFERROR(__xludf.DUMMYFUNCTION("""COMPUTED_VALUE"""),"")</f>
        <v/>
      </c>
      <c r="F717" s="30"/>
      <c r="G717" s="34" t="str">
        <f>IFERROR(__xludf.DUMMYFUNCTION("""COMPUTED_VALUE"""),"")</f>
        <v/>
      </c>
      <c r="H717" s="34" t="str">
        <f>IFERROR(__xludf.DUMMYFUNCTION("""COMPUTED_VALUE"""),"")</f>
        <v/>
      </c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</row>
    <row r="718">
      <c r="A718" s="30"/>
      <c r="B718" s="30" t="str">
        <f>IFERROR(__xludf.DUMMYFUNCTION("""COMPUTED_VALUE"""),"")</f>
        <v/>
      </c>
      <c r="C718" s="30" t="str">
        <f>IFERROR(__xludf.DUMMYFUNCTION("""COMPUTED_VALUE"""),"")</f>
        <v/>
      </c>
      <c r="D718" s="30"/>
      <c r="E718" s="34" t="str">
        <f>IFERROR(__xludf.DUMMYFUNCTION("""COMPUTED_VALUE"""),"")</f>
        <v/>
      </c>
      <c r="F718" s="30"/>
      <c r="G718" s="34" t="str">
        <f>IFERROR(__xludf.DUMMYFUNCTION("""COMPUTED_VALUE"""),"")</f>
        <v/>
      </c>
      <c r="H718" s="34" t="str">
        <f>IFERROR(__xludf.DUMMYFUNCTION("""COMPUTED_VALUE"""),"")</f>
        <v/>
      </c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</row>
    <row r="719">
      <c r="A719" s="30"/>
      <c r="B719" s="30" t="str">
        <f>IFERROR(__xludf.DUMMYFUNCTION("""COMPUTED_VALUE"""),"")</f>
        <v/>
      </c>
      <c r="C719" s="30" t="str">
        <f>IFERROR(__xludf.DUMMYFUNCTION("""COMPUTED_VALUE"""),"")</f>
        <v/>
      </c>
      <c r="D719" s="30"/>
      <c r="E719" s="34" t="str">
        <f>IFERROR(__xludf.DUMMYFUNCTION("""COMPUTED_VALUE"""),"")</f>
        <v/>
      </c>
      <c r="F719" s="30"/>
      <c r="G719" s="34" t="str">
        <f>IFERROR(__xludf.DUMMYFUNCTION("""COMPUTED_VALUE"""),"")</f>
        <v/>
      </c>
      <c r="H719" s="34" t="str">
        <f>IFERROR(__xludf.DUMMYFUNCTION("""COMPUTED_VALUE"""),"")</f>
        <v/>
      </c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</row>
    <row r="720">
      <c r="A720" s="30"/>
      <c r="B720" s="30" t="str">
        <f>IFERROR(__xludf.DUMMYFUNCTION("""COMPUTED_VALUE"""),"")</f>
        <v/>
      </c>
      <c r="C720" s="30" t="str">
        <f>IFERROR(__xludf.DUMMYFUNCTION("""COMPUTED_VALUE"""),"")</f>
        <v/>
      </c>
      <c r="D720" s="30"/>
      <c r="E720" s="34" t="str">
        <f>IFERROR(__xludf.DUMMYFUNCTION("""COMPUTED_VALUE"""),"")</f>
        <v/>
      </c>
      <c r="F720" s="30"/>
      <c r="G720" s="34" t="str">
        <f>IFERROR(__xludf.DUMMYFUNCTION("""COMPUTED_VALUE"""),"")</f>
        <v/>
      </c>
      <c r="H720" s="34" t="str">
        <f>IFERROR(__xludf.DUMMYFUNCTION("""COMPUTED_VALUE"""),"")</f>
        <v/>
      </c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</row>
    <row r="721">
      <c r="A721" s="30"/>
      <c r="B721" s="30" t="str">
        <f>IFERROR(__xludf.DUMMYFUNCTION("""COMPUTED_VALUE"""),"")</f>
        <v/>
      </c>
      <c r="C721" s="30" t="str">
        <f>IFERROR(__xludf.DUMMYFUNCTION("""COMPUTED_VALUE"""),"")</f>
        <v/>
      </c>
      <c r="D721" s="30"/>
      <c r="E721" s="34" t="str">
        <f>IFERROR(__xludf.DUMMYFUNCTION("""COMPUTED_VALUE"""),"")</f>
        <v/>
      </c>
      <c r="F721" s="30"/>
      <c r="G721" s="34" t="str">
        <f>IFERROR(__xludf.DUMMYFUNCTION("""COMPUTED_VALUE"""),"")</f>
        <v/>
      </c>
      <c r="H721" s="34" t="str">
        <f>IFERROR(__xludf.DUMMYFUNCTION("""COMPUTED_VALUE"""),"")</f>
        <v/>
      </c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</row>
    <row r="722">
      <c r="A722" s="30"/>
      <c r="B722" s="30" t="str">
        <f>IFERROR(__xludf.DUMMYFUNCTION("""COMPUTED_VALUE"""),"")</f>
        <v/>
      </c>
      <c r="C722" s="30" t="str">
        <f>IFERROR(__xludf.DUMMYFUNCTION("""COMPUTED_VALUE"""),"")</f>
        <v/>
      </c>
      <c r="D722" s="30"/>
      <c r="E722" s="34" t="str">
        <f>IFERROR(__xludf.DUMMYFUNCTION("""COMPUTED_VALUE"""),"")</f>
        <v/>
      </c>
      <c r="F722" s="30"/>
      <c r="G722" s="34" t="str">
        <f>IFERROR(__xludf.DUMMYFUNCTION("""COMPUTED_VALUE"""),"")</f>
        <v/>
      </c>
      <c r="H722" s="34" t="str">
        <f>IFERROR(__xludf.DUMMYFUNCTION("""COMPUTED_VALUE"""),"")</f>
        <v/>
      </c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>
      <c r="A723" s="30"/>
      <c r="B723" s="30" t="str">
        <f>IFERROR(__xludf.DUMMYFUNCTION("""COMPUTED_VALUE"""),"")</f>
        <v/>
      </c>
      <c r="C723" s="30" t="str">
        <f>IFERROR(__xludf.DUMMYFUNCTION("""COMPUTED_VALUE"""),"")</f>
        <v/>
      </c>
      <c r="D723" s="30"/>
      <c r="E723" s="34" t="str">
        <f>IFERROR(__xludf.DUMMYFUNCTION("""COMPUTED_VALUE"""),"")</f>
        <v/>
      </c>
      <c r="F723" s="30"/>
      <c r="G723" s="34" t="str">
        <f>IFERROR(__xludf.DUMMYFUNCTION("""COMPUTED_VALUE"""),"")</f>
        <v/>
      </c>
      <c r="H723" s="34" t="str">
        <f>IFERROR(__xludf.DUMMYFUNCTION("""COMPUTED_VALUE"""),"")</f>
        <v/>
      </c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</row>
    <row r="724">
      <c r="A724" s="30"/>
      <c r="B724" s="30" t="str">
        <f>IFERROR(__xludf.DUMMYFUNCTION("""COMPUTED_VALUE"""),"")</f>
        <v/>
      </c>
      <c r="C724" s="30" t="str">
        <f>IFERROR(__xludf.DUMMYFUNCTION("""COMPUTED_VALUE"""),"")</f>
        <v/>
      </c>
      <c r="D724" s="30"/>
      <c r="E724" s="34" t="str">
        <f>IFERROR(__xludf.DUMMYFUNCTION("""COMPUTED_VALUE"""),"")</f>
        <v/>
      </c>
      <c r="F724" s="30"/>
      <c r="G724" s="34" t="str">
        <f>IFERROR(__xludf.DUMMYFUNCTION("""COMPUTED_VALUE"""),"")</f>
        <v/>
      </c>
      <c r="H724" s="34" t="str">
        <f>IFERROR(__xludf.DUMMYFUNCTION("""COMPUTED_VALUE"""),"")</f>
        <v/>
      </c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</row>
    <row r="725">
      <c r="A725" s="30"/>
      <c r="B725" s="30" t="str">
        <f>IFERROR(__xludf.DUMMYFUNCTION("""COMPUTED_VALUE"""),"")</f>
        <v/>
      </c>
      <c r="C725" s="30" t="str">
        <f>IFERROR(__xludf.DUMMYFUNCTION("""COMPUTED_VALUE"""),"")</f>
        <v/>
      </c>
      <c r="D725" s="30"/>
      <c r="E725" s="34" t="str">
        <f>IFERROR(__xludf.DUMMYFUNCTION("""COMPUTED_VALUE"""),"")</f>
        <v/>
      </c>
      <c r="F725" s="30"/>
      <c r="G725" s="34" t="str">
        <f>IFERROR(__xludf.DUMMYFUNCTION("""COMPUTED_VALUE"""),"")</f>
        <v/>
      </c>
      <c r="H725" s="34" t="str">
        <f>IFERROR(__xludf.DUMMYFUNCTION("""COMPUTED_VALUE"""),"")</f>
        <v/>
      </c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</row>
    <row r="726">
      <c r="A726" s="30"/>
      <c r="B726" s="30" t="str">
        <f>IFERROR(__xludf.DUMMYFUNCTION("""COMPUTED_VALUE"""),"")</f>
        <v/>
      </c>
      <c r="C726" s="30" t="str">
        <f>IFERROR(__xludf.DUMMYFUNCTION("""COMPUTED_VALUE"""),"")</f>
        <v/>
      </c>
      <c r="D726" s="30"/>
      <c r="E726" s="34" t="str">
        <f>IFERROR(__xludf.DUMMYFUNCTION("""COMPUTED_VALUE"""),"")</f>
        <v/>
      </c>
      <c r="F726" s="30"/>
      <c r="G726" s="34" t="str">
        <f>IFERROR(__xludf.DUMMYFUNCTION("""COMPUTED_VALUE"""),"")</f>
        <v/>
      </c>
      <c r="H726" s="34" t="str">
        <f>IFERROR(__xludf.DUMMYFUNCTION("""COMPUTED_VALUE"""),"")</f>
        <v/>
      </c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</row>
    <row r="727">
      <c r="A727" s="30"/>
      <c r="B727" s="30" t="str">
        <f>IFERROR(__xludf.DUMMYFUNCTION("""COMPUTED_VALUE"""),"")</f>
        <v/>
      </c>
      <c r="C727" s="30" t="str">
        <f>IFERROR(__xludf.DUMMYFUNCTION("""COMPUTED_VALUE"""),"")</f>
        <v/>
      </c>
      <c r="D727" s="30"/>
      <c r="E727" s="34" t="str">
        <f>IFERROR(__xludf.DUMMYFUNCTION("""COMPUTED_VALUE"""),"")</f>
        <v/>
      </c>
      <c r="F727" s="30"/>
      <c r="G727" s="34" t="str">
        <f>IFERROR(__xludf.DUMMYFUNCTION("""COMPUTED_VALUE"""),"")</f>
        <v/>
      </c>
      <c r="H727" s="34" t="str">
        <f>IFERROR(__xludf.DUMMYFUNCTION("""COMPUTED_VALUE"""),"")</f>
        <v/>
      </c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</row>
    <row r="728">
      <c r="A728" s="30"/>
      <c r="B728" s="30" t="str">
        <f>IFERROR(__xludf.DUMMYFUNCTION("""COMPUTED_VALUE"""),"")</f>
        <v/>
      </c>
      <c r="C728" s="30" t="str">
        <f>IFERROR(__xludf.DUMMYFUNCTION("""COMPUTED_VALUE"""),"")</f>
        <v/>
      </c>
      <c r="D728" s="30"/>
      <c r="E728" s="34" t="str">
        <f>IFERROR(__xludf.DUMMYFUNCTION("""COMPUTED_VALUE"""),"")</f>
        <v/>
      </c>
      <c r="F728" s="30"/>
      <c r="G728" s="34" t="str">
        <f>IFERROR(__xludf.DUMMYFUNCTION("""COMPUTED_VALUE"""),"")</f>
        <v/>
      </c>
      <c r="H728" s="34" t="str">
        <f>IFERROR(__xludf.DUMMYFUNCTION("""COMPUTED_VALUE"""),"")</f>
        <v/>
      </c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</row>
    <row r="729">
      <c r="A729" s="30"/>
      <c r="B729" s="30" t="str">
        <f>IFERROR(__xludf.DUMMYFUNCTION("""COMPUTED_VALUE"""),"")</f>
        <v/>
      </c>
      <c r="C729" s="30" t="str">
        <f>IFERROR(__xludf.DUMMYFUNCTION("""COMPUTED_VALUE"""),"")</f>
        <v/>
      </c>
      <c r="D729" s="30"/>
      <c r="E729" s="34" t="str">
        <f>IFERROR(__xludf.DUMMYFUNCTION("""COMPUTED_VALUE"""),"")</f>
        <v/>
      </c>
      <c r="F729" s="30"/>
      <c r="G729" s="34" t="str">
        <f>IFERROR(__xludf.DUMMYFUNCTION("""COMPUTED_VALUE"""),"")</f>
        <v/>
      </c>
      <c r="H729" s="34" t="str">
        <f>IFERROR(__xludf.DUMMYFUNCTION("""COMPUTED_VALUE"""),"")</f>
        <v/>
      </c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</row>
    <row r="730">
      <c r="A730" s="30"/>
      <c r="B730" s="30" t="str">
        <f>IFERROR(__xludf.DUMMYFUNCTION("""COMPUTED_VALUE"""),"")</f>
        <v/>
      </c>
      <c r="C730" s="30" t="str">
        <f>IFERROR(__xludf.DUMMYFUNCTION("""COMPUTED_VALUE"""),"")</f>
        <v/>
      </c>
      <c r="D730" s="30"/>
      <c r="E730" s="34" t="str">
        <f>IFERROR(__xludf.DUMMYFUNCTION("""COMPUTED_VALUE"""),"")</f>
        <v/>
      </c>
      <c r="F730" s="30"/>
      <c r="G730" s="34" t="str">
        <f>IFERROR(__xludf.DUMMYFUNCTION("""COMPUTED_VALUE"""),"")</f>
        <v/>
      </c>
      <c r="H730" s="34" t="str">
        <f>IFERROR(__xludf.DUMMYFUNCTION("""COMPUTED_VALUE"""),"")</f>
        <v/>
      </c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</row>
    <row r="731">
      <c r="A731" s="30"/>
      <c r="B731" s="30" t="str">
        <f>IFERROR(__xludf.DUMMYFUNCTION("""COMPUTED_VALUE"""),"")</f>
        <v/>
      </c>
      <c r="C731" s="30" t="str">
        <f>IFERROR(__xludf.DUMMYFUNCTION("""COMPUTED_VALUE"""),"")</f>
        <v/>
      </c>
      <c r="D731" s="30"/>
      <c r="E731" s="34" t="str">
        <f>IFERROR(__xludf.DUMMYFUNCTION("""COMPUTED_VALUE"""),"")</f>
        <v/>
      </c>
      <c r="F731" s="30"/>
      <c r="G731" s="34" t="str">
        <f>IFERROR(__xludf.DUMMYFUNCTION("""COMPUTED_VALUE"""),"")</f>
        <v/>
      </c>
      <c r="H731" s="34" t="str">
        <f>IFERROR(__xludf.DUMMYFUNCTION("""COMPUTED_VALUE"""),"")</f>
        <v/>
      </c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</row>
    <row r="732">
      <c r="A732" s="30"/>
      <c r="B732" s="30" t="str">
        <f>IFERROR(__xludf.DUMMYFUNCTION("""COMPUTED_VALUE"""),"")</f>
        <v/>
      </c>
      <c r="C732" s="30" t="str">
        <f>IFERROR(__xludf.DUMMYFUNCTION("""COMPUTED_VALUE"""),"")</f>
        <v/>
      </c>
      <c r="D732" s="30"/>
      <c r="E732" s="34" t="str">
        <f>IFERROR(__xludf.DUMMYFUNCTION("""COMPUTED_VALUE"""),"")</f>
        <v/>
      </c>
      <c r="F732" s="30"/>
      <c r="G732" s="34" t="str">
        <f>IFERROR(__xludf.DUMMYFUNCTION("""COMPUTED_VALUE"""),"")</f>
        <v/>
      </c>
      <c r="H732" s="34" t="str">
        <f>IFERROR(__xludf.DUMMYFUNCTION("""COMPUTED_VALUE"""),"")</f>
        <v/>
      </c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</row>
    <row r="733">
      <c r="A733" s="30"/>
      <c r="B733" s="30" t="str">
        <f>IFERROR(__xludf.DUMMYFUNCTION("""COMPUTED_VALUE"""),"")</f>
        <v/>
      </c>
      <c r="C733" s="30" t="str">
        <f>IFERROR(__xludf.DUMMYFUNCTION("""COMPUTED_VALUE"""),"")</f>
        <v/>
      </c>
      <c r="D733" s="30"/>
      <c r="E733" s="34" t="str">
        <f>IFERROR(__xludf.DUMMYFUNCTION("""COMPUTED_VALUE"""),"")</f>
        <v/>
      </c>
      <c r="F733" s="30"/>
      <c r="G733" s="34" t="str">
        <f>IFERROR(__xludf.DUMMYFUNCTION("""COMPUTED_VALUE"""),"")</f>
        <v/>
      </c>
      <c r="H733" s="34" t="str">
        <f>IFERROR(__xludf.DUMMYFUNCTION("""COMPUTED_VALUE"""),"")</f>
        <v/>
      </c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</row>
    <row r="734">
      <c r="A734" s="30"/>
      <c r="B734" s="30" t="str">
        <f>IFERROR(__xludf.DUMMYFUNCTION("""COMPUTED_VALUE"""),"")</f>
        <v/>
      </c>
      <c r="C734" s="30" t="str">
        <f>IFERROR(__xludf.DUMMYFUNCTION("""COMPUTED_VALUE"""),"")</f>
        <v/>
      </c>
      <c r="D734" s="30"/>
      <c r="E734" s="34" t="str">
        <f>IFERROR(__xludf.DUMMYFUNCTION("""COMPUTED_VALUE"""),"")</f>
        <v/>
      </c>
      <c r="F734" s="30"/>
      <c r="G734" s="34" t="str">
        <f>IFERROR(__xludf.DUMMYFUNCTION("""COMPUTED_VALUE"""),"")</f>
        <v/>
      </c>
      <c r="H734" s="34" t="str">
        <f>IFERROR(__xludf.DUMMYFUNCTION("""COMPUTED_VALUE"""),"")</f>
        <v/>
      </c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>
      <c r="A735" s="30"/>
      <c r="B735" s="30" t="str">
        <f>IFERROR(__xludf.DUMMYFUNCTION("""COMPUTED_VALUE"""),"")</f>
        <v/>
      </c>
      <c r="C735" s="30" t="str">
        <f>IFERROR(__xludf.DUMMYFUNCTION("""COMPUTED_VALUE"""),"")</f>
        <v/>
      </c>
      <c r="D735" s="30"/>
      <c r="E735" s="34" t="str">
        <f>IFERROR(__xludf.DUMMYFUNCTION("""COMPUTED_VALUE"""),"")</f>
        <v/>
      </c>
      <c r="F735" s="30"/>
      <c r="G735" s="34" t="str">
        <f>IFERROR(__xludf.DUMMYFUNCTION("""COMPUTED_VALUE"""),"")</f>
        <v/>
      </c>
      <c r="H735" s="34" t="str">
        <f>IFERROR(__xludf.DUMMYFUNCTION("""COMPUTED_VALUE"""),"")</f>
        <v/>
      </c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</row>
    <row r="736">
      <c r="A736" s="30"/>
      <c r="B736" s="30" t="str">
        <f>IFERROR(__xludf.DUMMYFUNCTION("""COMPUTED_VALUE"""),"")</f>
        <v/>
      </c>
      <c r="C736" s="30" t="str">
        <f>IFERROR(__xludf.DUMMYFUNCTION("""COMPUTED_VALUE"""),"")</f>
        <v/>
      </c>
      <c r="D736" s="30"/>
      <c r="E736" s="34" t="str">
        <f>IFERROR(__xludf.DUMMYFUNCTION("""COMPUTED_VALUE"""),"")</f>
        <v/>
      </c>
      <c r="F736" s="30"/>
      <c r="G736" s="34" t="str">
        <f>IFERROR(__xludf.DUMMYFUNCTION("""COMPUTED_VALUE"""),"")</f>
        <v/>
      </c>
      <c r="H736" s="34" t="str">
        <f>IFERROR(__xludf.DUMMYFUNCTION("""COMPUTED_VALUE"""),"")</f>
        <v/>
      </c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</row>
    <row r="737">
      <c r="A737" s="30"/>
      <c r="B737" s="30" t="str">
        <f>IFERROR(__xludf.DUMMYFUNCTION("""COMPUTED_VALUE"""),"")</f>
        <v/>
      </c>
      <c r="C737" s="30" t="str">
        <f>IFERROR(__xludf.DUMMYFUNCTION("""COMPUTED_VALUE"""),"")</f>
        <v/>
      </c>
      <c r="D737" s="30"/>
      <c r="E737" s="34" t="str">
        <f>IFERROR(__xludf.DUMMYFUNCTION("""COMPUTED_VALUE"""),"")</f>
        <v/>
      </c>
      <c r="F737" s="30"/>
      <c r="G737" s="34" t="str">
        <f>IFERROR(__xludf.DUMMYFUNCTION("""COMPUTED_VALUE"""),"")</f>
        <v/>
      </c>
      <c r="H737" s="34" t="str">
        <f>IFERROR(__xludf.DUMMYFUNCTION("""COMPUTED_VALUE"""),"")</f>
        <v/>
      </c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</row>
    <row r="738">
      <c r="A738" s="30"/>
      <c r="B738" s="30" t="str">
        <f>IFERROR(__xludf.DUMMYFUNCTION("""COMPUTED_VALUE"""),"")</f>
        <v/>
      </c>
      <c r="C738" s="30" t="str">
        <f>IFERROR(__xludf.DUMMYFUNCTION("""COMPUTED_VALUE"""),"")</f>
        <v/>
      </c>
      <c r="D738" s="30"/>
      <c r="E738" s="34" t="str">
        <f>IFERROR(__xludf.DUMMYFUNCTION("""COMPUTED_VALUE"""),"")</f>
        <v/>
      </c>
      <c r="F738" s="30"/>
      <c r="G738" s="34" t="str">
        <f>IFERROR(__xludf.DUMMYFUNCTION("""COMPUTED_VALUE"""),"")</f>
        <v/>
      </c>
      <c r="H738" s="34" t="str">
        <f>IFERROR(__xludf.DUMMYFUNCTION("""COMPUTED_VALUE"""),"")</f>
        <v/>
      </c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</row>
    <row r="739">
      <c r="A739" s="30"/>
      <c r="B739" s="30" t="str">
        <f>IFERROR(__xludf.DUMMYFUNCTION("""COMPUTED_VALUE"""),"")</f>
        <v/>
      </c>
      <c r="C739" s="30" t="str">
        <f>IFERROR(__xludf.DUMMYFUNCTION("""COMPUTED_VALUE"""),"")</f>
        <v/>
      </c>
      <c r="D739" s="30"/>
      <c r="E739" s="34" t="str">
        <f>IFERROR(__xludf.DUMMYFUNCTION("""COMPUTED_VALUE"""),"")</f>
        <v/>
      </c>
      <c r="F739" s="30"/>
      <c r="G739" s="34" t="str">
        <f>IFERROR(__xludf.DUMMYFUNCTION("""COMPUTED_VALUE"""),"")</f>
        <v/>
      </c>
      <c r="H739" s="34" t="str">
        <f>IFERROR(__xludf.DUMMYFUNCTION("""COMPUTED_VALUE"""),"")</f>
        <v/>
      </c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</row>
    <row r="740">
      <c r="A740" s="30"/>
      <c r="B740" s="30" t="str">
        <f>IFERROR(__xludf.DUMMYFUNCTION("""COMPUTED_VALUE"""),"")</f>
        <v/>
      </c>
      <c r="C740" s="30" t="str">
        <f>IFERROR(__xludf.DUMMYFUNCTION("""COMPUTED_VALUE"""),"")</f>
        <v/>
      </c>
      <c r="D740" s="30"/>
      <c r="E740" s="34" t="str">
        <f>IFERROR(__xludf.DUMMYFUNCTION("""COMPUTED_VALUE"""),"")</f>
        <v/>
      </c>
      <c r="F740" s="30"/>
      <c r="G740" s="34" t="str">
        <f>IFERROR(__xludf.DUMMYFUNCTION("""COMPUTED_VALUE"""),"")</f>
        <v/>
      </c>
      <c r="H740" s="34" t="str">
        <f>IFERROR(__xludf.DUMMYFUNCTION("""COMPUTED_VALUE"""),"")</f>
        <v/>
      </c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</row>
    <row r="741">
      <c r="A741" s="30"/>
      <c r="B741" s="30" t="str">
        <f>IFERROR(__xludf.DUMMYFUNCTION("""COMPUTED_VALUE"""),"")</f>
        <v/>
      </c>
      <c r="C741" s="30" t="str">
        <f>IFERROR(__xludf.DUMMYFUNCTION("""COMPUTED_VALUE"""),"")</f>
        <v/>
      </c>
      <c r="D741" s="30"/>
      <c r="E741" s="34" t="str">
        <f>IFERROR(__xludf.DUMMYFUNCTION("""COMPUTED_VALUE"""),"")</f>
        <v/>
      </c>
      <c r="F741" s="30"/>
      <c r="G741" s="34" t="str">
        <f>IFERROR(__xludf.DUMMYFUNCTION("""COMPUTED_VALUE"""),"")</f>
        <v/>
      </c>
      <c r="H741" s="34" t="str">
        <f>IFERROR(__xludf.DUMMYFUNCTION("""COMPUTED_VALUE"""),"")</f>
        <v/>
      </c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</row>
    <row r="742">
      <c r="A742" s="30"/>
      <c r="B742" s="30" t="str">
        <f>IFERROR(__xludf.DUMMYFUNCTION("""COMPUTED_VALUE"""),"")</f>
        <v/>
      </c>
      <c r="C742" s="30" t="str">
        <f>IFERROR(__xludf.DUMMYFUNCTION("""COMPUTED_VALUE"""),"")</f>
        <v/>
      </c>
      <c r="D742" s="30"/>
      <c r="E742" s="34" t="str">
        <f>IFERROR(__xludf.DUMMYFUNCTION("""COMPUTED_VALUE"""),"")</f>
        <v/>
      </c>
      <c r="F742" s="30"/>
      <c r="G742" s="34" t="str">
        <f>IFERROR(__xludf.DUMMYFUNCTION("""COMPUTED_VALUE"""),"")</f>
        <v/>
      </c>
      <c r="H742" s="34" t="str">
        <f>IFERROR(__xludf.DUMMYFUNCTION("""COMPUTED_VALUE"""),"")</f>
        <v/>
      </c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</row>
    <row r="743">
      <c r="A743" s="30"/>
      <c r="B743" s="30" t="str">
        <f>IFERROR(__xludf.DUMMYFUNCTION("""COMPUTED_VALUE"""),"")</f>
        <v/>
      </c>
      <c r="C743" s="30" t="str">
        <f>IFERROR(__xludf.DUMMYFUNCTION("""COMPUTED_VALUE"""),"")</f>
        <v/>
      </c>
      <c r="D743" s="30"/>
      <c r="E743" s="34" t="str">
        <f>IFERROR(__xludf.DUMMYFUNCTION("""COMPUTED_VALUE"""),"")</f>
        <v/>
      </c>
      <c r="F743" s="30"/>
      <c r="G743" s="34" t="str">
        <f>IFERROR(__xludf.DUMMYFUNCTION("""COMPUTED_VALUE"""),"")</f>
        <v/>
      </c>
      <c r="H743" s="34" t="str">
        <f>IFERROR(__xludf.DUMMYFUNCTION("""COMPUTED_VALUE"""),"")</f>
        <v/>
      </c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</row>
    <row r="744">
      <c r="A744" s="30"/>
      <c r="B744" s="30" t="str">
        <f>IFERROR(__xludf.DUMMYFUNCTION("""COMPUTED_VALUE"""),"")</f>
        <v/>
      </c>
      <c r="C744" s="30" t="str">
        <f>IFERROR(__xludf.DUMMYFUNCTION("""COMPUTED_VALUE"""),"")</f>
        <v/>
      </c>
      <c r="D744" s="30"/>
      <c r="E744" s="34" t="str">
        <f>IFERROR(__xludf.DUMMYFUNCTION("""COMPUTED_VALUE"""),"")</f>
        <v/>
      </c>
      <c r="F744" s="30"/>
      <c r="G744" s="34" t="str">
        <f>IFERROR(__xludf.DUMMYFUNCTION("""COMPUTED_VALUE"""),"")</f>
        <v/>
      </c>
      <c r="H744" s="34" t="str">
        <f>IFERROR(__xludf.DUMMYFUNCTION("""COMPUTED_VALUE"""),"")</f>
        <v/>
      </c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</row>
    <row r="745">
      <c r="A745" s="30"/>
      <c r="B745" s="30" t="str">
        <f>IFERROR(__xludf.DUMMYFUNCTION("""COMPUTED_VALUE"""),"")</f>
        <v/>
      </c>
      <c r="C745" s="30" t="str">
        <f>IFERROR(__xludf.DUMMYFUNCTION("""COMPUTED_VALUE"""),"")</f>
        <v/>
      </c>
      <c r="D745" s="30"/>
      <c r="E745" s="34" t="str">
        <f>IFERROR(__xludf.DUMMYFUNCTION("""COMPUTED_VALUE"""),"")</f>
        <v/>
      </c>
      <c r="F745" s="30"/>
      <c r="G745" s="34" t="str">
        <f>IFERROR(__xludf.DUMMYFUNCTION("""COMPUTED_VALUE"""),"")</f>
        <v/>
      </c>
      <c r="H745" s="34" t="str">
        <f>IFERROR(__xludf.DUMMYFUNCTION("""COMPUTED_VALUE"""),"")</f>
        <v/>
      </c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</row>
    <row r="746">
      <c r="A746" s="30"/>
      <c r="B746" s="30" t="str">
        <f>IFERROR(__xludf.DUMMYFUNCTION("""COMPUTED_VALUE"""),"")</f>
        <v/>
      </c>
      <c r="C746" s="30" t="str">
        <f>IFERROR(__xludf.DUMMYFUNCTION("""COMPUTED_VALUE"""),"")</f>
        <v/>
      </c>
      <c r="D746" s="30"/>
      <c r="E746" s="34" t="str">
        <f>IFERROR(__xludf.DUMMYFUNCTION("""COMPUTED_VALUE"""),"")</f>
        <v/>
      </c>
      <c r="F746" s="30"/>
      <c r="G746" s="34" t="str">
        <f>IFERROR(__xludf.DUMMYFUNCTION("""COMPUTED_VALUE"""),"")</f>
        <v/>
      </c>
      <c r="H746" s="34" t="str">
        <f>IFERROR(__xludf.DUMMYFUNCTION("""COMPUTED_VALUE"""),"")</f>
        <v/>
      </c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</row>
    <row r="747">
      <c r="A747" s="30"/>
      <c r="B747" s="30" t="str">
        <f>IFERROR(__xludf.DUMMYFUNCTION("""COMPUTED_VALUE"""),"")</f>
        <v/>
      </c>
      <c r="C747" s="30" t="str">
        <f>IFERROR(__xludf.DUMMYFUNCTION("""COMPUTED_VALUE"""),"")</f>
        <v/>
      </c>
      <c r="D747" s="30"/>
      <c r="E747" s="34" t="str">
        <f>IFERROR(__xludf.DUMMYFUNCTION("""COMPUTED_VALUE"""),"")</f>
        <v/>
      </c>
      <c r="F747" s="30"/>
      <c r="G747" s="34" t="str">
        <f>IFERROR(__xludf.DUMMYFUNCTION("""COMPUTED_VALUE"""),"")</f>
        <v/>
      </c>
      <c r="H747" s="34" t="str">
        <f>IFERROR(__xludf.DUMMYFUNCTION("""COMPUTED_VALUE"""),"")</f>
        <v/>
      </c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</row>
    <row r="748">
      <c r="A748" s="30"/>
      <c r="B748" s="30" t="str">
        <f>IFERROR(__xludf.DUMMYFUNCTION("""COMPUTED_VALUE"""),"")</f>
        <v/>
      </c>
      <c r="C748" s="30" t="str">
        <f>IFERROR(__xludf.DUMMYFUNCTION("""COMPUTED_VALUE"""),"")</f>
        <v/>
      </c>
      <c r="D748" s="30"/>
      <c r="E748" s="34" t="str">
        <f>IFERROR(__xludf.DUMMYFUNCTION("""COMPUTED_VALUE"""),"")</f>
        <v/>
      </c>
      <c r="F748" s="30"/>
      <c r="G748" s="34" t="str">
        <f>IFERROR(__xludf.DUMMYFUNCTION("""COMPUTED_VALUE"""),"")</f>
        <v/>
      </c>
      <c r="H748" s="34" t="str">
        <f>IFERROR(__xludf.DUMMYFUNCTION("""COMPUTED_VALUE"""),"")</f>
        <v/>
      </c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</row>
    <row r="749">
      <c r="A749" s="30"/>
      <c r="B749" s="30" t="str">
        <f>IFERROR(__xludf.DUMMYFUNCTION("""COMPUTED_VALUE"""),"")</f>
        <v/>
      </c>
      <c r="C749" s="30" t="str">
        <f>IFERROR(__xludf.DUMMYFUNCTION("""COMPUTED_VALUE"""),"")</f>
        <v/>
      </c>
      <c r="D749" s="30"/>
      <c r="E749" s="34" t="str">
        <f>IFERROR(__xludf.DUMMYFUNCTION("""COMPUTED_VALUE"""),"")</f>
        <v/>
      </c>
      <c r="F749" s="30"/>
      <c r="G749" s="34" t="str">
        <f>IFERROR(__xludf.DUMMYFUNCTION("""COMPUTED_VALUE"""),"")</f>
        <v/>
      </c>
      <c r="H749" s="34" t="str">
        <f>IFERROR(__xludf.DUMMYFUNCTION("""COMPUTED_VALUE"""),"")</f>
        <v/>
      </c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</row>
    <row r="750">
      <c r="A750" s="30"/>
      <c r="B750" s="30" t="str">
        <f>IFERROR(__xludf.DUMMYFUNCTION("""COMPUTED_VALUE"""),"")</f>
        <v/>
      </c>
      <c r="C750" s="30" t="str">
        <f>IFERROR(__xludf.DUMMYFUNCTION("""COMPUTED_VALUE"""),"")</f>
        <v/>
      </c>
      <c r="D750" s="30"/>
      <c r="E750" s="34" t="str">
        <f>IFERROR(__xludf.DUMMYFUNCTION("""COMPUTED_VALUE"""),"")</f>
        <v/>
      </c>
      <c r="F750" s="30"/>
      <c r="G750" s="34" t="str">
        <f>IFERROR(__xludf.DUMMYFUNCTION("""COMPUTED_VALUE"""),"")</f>
        <v/>
      </c>
      <c r="H750" s="34" t="str">
        <f>IFERROR(__xludf.DUMMYFUNCTION("""COMPUTED_VALUE"""),"")</f>
        <v/>
      </c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</row>
    <row r="751">
      <c r="A751" s="30"/>
      <c r="B751" s="30" t="str">
        <f>IFERROR(__xludf.DUMMYFUNCTION("""COMPUTED_VALUE"""),"")</f>
        <v/>
      </c>
      <c r="C751" s="30" t="str">
        <f>IFERROR(__xludf.DUMMYFUNCTION("""COMPUTED_VALUE"""),"")</f>
        <v/>
      </c>
      <c r="D751" s="30"/>
      <c r="E751" s="34" t="str">
        <f>IFERROR(__xludf.DUMMYFUNCTION("""COMPUTED_VALUE"""),"")</f>
        <v/>
      </c>
      <c r="F751" s="30"/>
      <c r="G751" s="34" t="str">
        <f>IFERROR(__xludf.DUMMYFUNCTION("""COMPUTED_VALUE"""),"")</f>
        <v/>
      </c>
      <c r="H751" s="34" t="str">
        <f>IFERROR(__xludf.DUMMYFUNCTION("""COMPUTED_VALUE"""),"")</f>
        <v/>
      </c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</row>
    <row r="752">
      <c r="A752" s="30"/>
      <c r="B752" s="30" t="str">
        <f>IFERROR(__xludf.DUMMYFUNCTION("""COMPUTED_VALUE"""),"")</f>
        <v/>
      </c>
      <c r="C752" s="30" t="str">
        <f>IFERROR(__xludf.DUMMYFUNCTION("""COMPUTED_VALUE"""),"")</f>
        <v/>
      </c>
      <c r="D752" s="30"/>
      <c r="E752" s="34" t="str">
        <f>IFERROR(__xludf.DUMMYFUNCTION("""COMPUTED_VALUE"""),"")</f>
        <v/>
      </c>
      <c r="F752" s="30"/>
      <c r="G752" s="34" t="str">
        <f>IFERROR(__xludf.DUMMYFUNCTION("""COMPUTED_VALUE"""),"")</f>
        <v/>
      </c>
      <c r="H752" s="34" t="str">
        <f>IFERROR(__xludf.DUMMYFUNCTION("""COMPUTED_VALUE"""),"")</f>
        <v/>
      </c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</row>
    <row r="753">
      <c r="A753" s="30"/>
      <c r="B753" s="30" t="str">
        <f>IFERROR(__xludf.DUMMYFUNCTION("""COMPUTED_VALUE"""),"")</f>
        <v/>
      </c>
      <c r="C753" s="30" t="str">
        <f>IFERROR(__xludf.DUMMYFUNCTION("""COMPUTED_VALUE"""),"")</f>
        <v/>
      </c>
      <c r="D753" s="30"/>
      <c r="E753" s="34" t="str">
        <f>IFERROR(__xludf.DUMMYFUNCTION("""COMPUTED_VALUE"""),"")</f>
        <v/>
      </c>
      <c r="F753" s="30"/>
      <c r="G753" s="34" t="str">
        <f>IFERROR(__xludf.DUMMYFUNCTION("""COMPUTED_VALUE"""),"")</f>
        <v/>
      </c>
      <c r="H753" s="34" t="str">
        <f>IFERROR(__xludf.DUMMYFUNCTION("""COMPUTED_VALUE"""),"")</f>
        <v/>
      </c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</row>
    <row r="754">
      <c r="A754" s="30"/>
      <c r="B754" s="30" t="str">
        <f>IFERROR(__xludf.DUMMYFUNCTION("""COMPUTED_VALUE"""),"")</f>
        <v/>
      </c>
      <c r="C754" s="30" t="str">
        <f>IFERROR(__xludf.DUMMYFUNCTION("""COMPUTED_VALUE"""),"")</f>
        <v/>
      </c>
      <c r="D754" s="30"/>
      <c r="E754" s="34" t="str">
        <f>IFERROR(__xludf.DUMMYFUNCTION("""COMPUTED_VALUE"""),"")</f>
        <v/>
      </c>
      <c r="F754" s="30"/>
      <c r="G754" s="34" t="str">
        <f>IFERROR(__xludf.DUMMYFUNCTION("""COMPUTED_VALUE"""),"")</f>
        <v/>
      </c>
      <c r="H754" s="34" t="str">
        <f>IFERROR(__xludf.DUMMYFUNCTION("""COMPUTED_VALUE"""),"")</f>
        <v/>
      </c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</row>
    <row r="755">
      <c r="A755" s="30"/>
      <c r="B755" s="30" t="str">
        <f>IFERROR(__xludf.DUMMYFUNCTION("""COMPUTED_VALUE"""),"")</f>
        <v/>
      </c>
      <c r="C755" s="30" t="str">
        <f>IFERROR(__xludf.DUMMYFUNCTION("""COMPUTED_VALUE"""),"")</f>
        <v/>
      </c>
      <c r="D755" s="30"/>
      <c r="E755" s="34" t="str">
        <f>IFERROR(__xludf.DUMMYFUNCTION("""COMPUTED_VALUE"""),"")</f>
        <v/>
      </c>
      <c r="F755" s="30"/>
      <c r="G755" s="34" t="str">
        <f>IFERROR(__xludf.DUMMYFUNCTION("""COMPUTED_VALUE"""),"")</f>
        <v/>
      </c>
      <c r="H755" s="34" t="str">
        <f>IFERROR(__xludf.DUMMYFUNCTION("""COMPUTED_VALUE"""),"")</f>
        <v/>
      </c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</row>
    <row r="756">
      <c r="A756" s="30"/>
      <c r="B756" s="30" t="str">
        <f>IFERROR(__xludf.DUMMYFUNCTION("""COMPUTED_VALUE"""),"")</f>
        <v/>
      </c>
      <c r="C756" s="30" t="str">
        <f>IFERROR(__xludf.DUMMYFUNCTION("""COMPUTED_VALUE"""),"")</f>
        <v/>
      </c>
      <c r="D756" s="30"/>
      <c r="E756" s="34" t="str">
        <f>IFERROR(__xludf.DUMMYFUNCTION("""COMPUTED_VALUE"""),"")</f>
        <v/>
      </c>
      <c r="F756" s="30"/>
      <c r="G756" s="34" t="str">
        <f>IFERROR(__xludf.DUMMYFUNCTION("""COMPUTED_VALUE"""),"")</f>
        <v/>
      </c>
      <c r="H756" s="34" t="str">
        <f>IFERROR(__xludf.DUMMYFUNCTION("""COMPUTED_VALUE"""),"")</f>
        <v/>
      </c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</row>
    <row r="757">
      <c r="A757" s="30"/>
      <c r="B757" s="30" t="str">
        <f>IFERROR(__xludf.DUMMYFUNCTION("""COMPUTED_VALUE"""),"")</f>
        <v/>
      </c>
      <c r="C757" s="30" t="str">
        <f>IFERROR(__xludf.DUMMYFUNCTION("""COMPUTED_VALUE"""),"")</f>
        <v/>
      </c>
      <c r="D757" s="30"/>
      <c r="E757" s="34" t="str">
        <f>IFERROR(__xludf.DUMMYFUNCTION("""COMPUTED_VALUE"""),"")</f>
        <v/>
      </c>
      <c r="F757" s="30"/>
      <c r="G757" s="34" t="str">
        <f>IFERROR(__xludf.DUMMYFUNCTION("""COMPUTED_VALUE"""),"")</f>
        <v/>
      </c>
      <c r="H757" s="34" t="str">
        <f>IFERROR(__xludf.DUMMYFUNCTION("""COMPUTED_VALUE"""),"")</f>
        <v/>
      </c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</row>
    <row r="758">
      <c r="A758" s="30"/>
      <c r="B758" s="30" t="str">
        <f>IFERROR(__xludf.DUMMYFUNCTION("""COMPUTED_VALUE"""),"")</f>
        <v/>
      </c>
      <c r="C758" s="30" t="str">
        <f>IFERROR(__xludf.DUMMYFUNCTION("""COMPUTED_VALUE"""),"")</f>
        <v/>
      </c>
      <c r="D758" s="30"/>
      <c r="E758" s="34" t="str">
        <f>IFERROR(__xludf.DUMMYFUNCTION("""COMPUTED_VALUE"""),"")</f>
        <v/>
      </c>
      <c r="F758" s="30"/>
      <c r="G758" s="34" t="str">
        <f>IFERROR(__xludf.DUMMYFUNCTION("""COMPUTED_VALUE"""),"")</f>
        <v/>
      </c>
      <c r="H758" s="34" t="str">
        <f>IFERROR(__xludf.DUMMYFUNCTION("""COMPUTED_VALUE"""),"")</f>
        <v/>
      </c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</row>
    <row r="759">
      <c r="A759" s="30"/>
      <c r="B759" s="30" t="str">
        <f>IFERROR(__xludf.DUMMYFUNCTION("""COMPUTED_VALUE"""),"")</f>
        <v/>
      </c>
      <c r="C759" s="30" t="str">
        <f>IFERROR(__xludf.DUMMYFUNCTION("""COMPUTED_VALUE"""),"")</f>
        <v/>
      </c>
      <c r="D759" s="30"/>
      <c r="E759" s="34" t="str">
        <f>IFERROR(__xludf.DUMMYFUNCTION("""COMPUTED_VALUE"""),"")</f>
        <v/>
      </c>
      <c r="F759" s="30"/>
      <c r="G759" s="34" t="str">
        <f>IFERROR(__xludf.DUMMYFUNCTION("""COMPUTED_VALUE"""),"")</f>
        <v/>
      </c>
      <c r="H759" s="34" t="str">
        <f>IFERROR(__xludf.DUMMYFUNCTION("""COMPUTED_VALUE"""),"")</f>
        <v/>
      </c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</row>
    <row r="760">
      <c r="A760" s="30"/>
      <c r="B760" s="30" t="str">
        <f>IFERROR(__xludf.DUMMYFUNCTION("""COMPUTED_VALUE"""),"")</f>
        <v/>
      </c>
      <c r="C760" s="30" t="str">
        <f>IFERROR(__xludf.DUMMYFUNCTION("""COMPUTED_VALUE"""),"")</f>
        <v/>
      </c>
      <c r="D760" s="30"/>
      <c r="E760" s="34" t="str">
        <f>IFERROR(__xludf.DUMMYFUNCTION("""COMPUTED_VALUE"""),"")</f>
        <v/>
      </c>
      <c r="F760" s="30"/>
      <c r="G760" s="34" t="str">
        <f>IFERROR(__xludf.DUMMYFUNCTION("""COMPUTED_VALUE"""),"")</f>
        <v/>
      </c>
      <c r="H760" s="34" t="str">
        <f>IFERROR(__xludf.DUMMYFUNCTION("""COMPUTED_VALUE"""),"")</f>
        <v/>
      </c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</row>
    <row r="761">
      <c r="A761" s="30"/>
      <c r="B761" s="30" t="str">
        <f>IFERROR(__xludf.DUMMYFUNCTION("""COMPUTED_VALUE"""),"")</f>
        <v/>
      </c>
      <c r="C761" s="30" t="str">
        <f>IFERROR(__xludf.DUMMYFUNCTION("""COMPUTED_VALUE"""),"")</f>
        <v/>
      </c>
      <c r="D761" s="30"/>
      <c r="E761" s="34" t="str">
        <f>IFERROR(__xludf.DUMMYFUNCTION("""COMPUTED_VALUE"""),"")</f>
        <v/>
      </c>
      <c r="F761" s="30"/>
      <c r="G761" s="34" t="str">
        <f>IFERROR(__xludf.DUMMYFUNCTION("""COMPUTED_VALUE"""),"")</f>
        <v/>
      </c>
      <c r="H761" s="34" t="str">
        <f>IFERROR(__xludf.DUMMYFUNCTION("""COMPUTED_VALUE"""),"")</f>
        <v/>
      </c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</row>
    <row r="762">
      <c r="A762" s="30"/>
      <c r="B762" s="30" t="str">
        <f>IFERROR(__xludf.DUMMYFUNCTION("""COMPUTED_VALUE"""),"")</f>
        <v/>
      </c>
      <c r="C762" s="30" t="str">
        <f>IFERROR(__xludf.DUMMYFUNCTION("""COMPUTED_VALUE"""),"")</f>
        <v/>
      </c>
      <c r="D762" s="30"/>
      <c r="E762" s="34" t="str">
        <f>IFERROR(__xludf.DUMMYFUNCTION("""COMPUTED_VALUE"""),"")</f>
        <v/>
      </c>
      <c r="F762" s="30"/>
      <c r="G762" s="34" t="str">
        <f>IFERROR(__xludf.DUMMYFUNCTION("""COMPUTED_VALUE"""),"")</f>
        <v/>
      </c>
      <c r="H762" s="34" t="str">
        <f>IFERROR(__xludf.DUMMYFUNCTION("""COMPUTED_VALUE"""),"")</f>
        <v/>
      </c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</row>
    <row r="763">
      <c r="A763" s="30"/>
      <c r="B763" s="30" t="str">
        <f>IFERROR(__xludf.DUMMYFUNCTION("""COMPUTED_VALUE"""),"")</f>
        <v/>
      </c>
      <c r="C763" s="30" t="str">
        <f>IFERROR(__xludf.DUMMYFUNCTION("""COMPUTED_VALUE"""),"")</f>
        <v/>
      </c>
      <c r="D763" s="30"/>
      <c r="E763" s="34" t="str">
        <f>IFERROR(__xludf.DUMMYFUNCTION("""COMPUTED_VALUE"""),"")</f>
        <v/>
      </c>
      <c r="F763" s="30"/>
      <c r="G763" s="34" t="str">
        <f>IFERROR(__xludf.DUMMYFUNCTION("""COMPUTED_VALUE"""),"")</f>
        <v/>
      </c>
      <c r="H763" s="34" t="str">
        <f>IFERROR(__xludf.DUMMYFUNCTION("""COMPUTED_VALUE"""),"")</f>
        <v/>
      </c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</row>
    <row r="764">
      <c r="A764" s="30"/>
      <c r="B764" s="30" t="str">
        <f>IFERROR(__xludf.DUMMYFUNCTION("""COMPUTED_VALUE"""),"")</f>
        <v/>
      </c>
      <c r="C764" s="30" t="str">
        <f>IFERROR(__xludf.DUMMYFUNCTION("""COMPUTED_VALUE"""),"")</f>
        <v/>
      </c>
      <c r="D764" s="30"/>
      <c r="E764" s="34" t="str">
        <f>IFERROR(__xludf.DUMMYFUNCTION("""COMPUTED_VALUE"""),"")</f>
        <v/>
      </c>
      <c r="F764" s="30"/>
      <c r="G764" s="34" t="str">
        <f>IFERROR(__xludf.DUMMYFUNCTION("""COMPUTED_VALUE"""),"")</f>
        <v/>
      </c>
      <c r="H764" s="34" t="str">
        <f>IFERROR(__xludf.DUMMYFUNCTION("""COMPUTED_VALUE"""),"")</f>
        <v/>
      </c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</row>
    <row r="765">
      <c r="A765" s="30"/>
      <c r="B765" s="30" t="str">
        <f>IFERROR(__xludf.DUMMYFUNCTION("""COMPUTED_VALUE"""),"")</f>
        <v/>
      </c>
      <c r="C765" s="30" t="str">
        <f>IFERROR(__xludf.DUMMYFUNCTION("""COMPUTED_VALUE"""),"")</f>
        <v/>
      </c>
      <c r="D765" s="30"/>
      <c r="E765" s="34" t="str">
        <f>IFERROR(__xludf.DUMMYFUNCTION("""COMPUTED_VALUE"""),"")</f>
        <v/>
      </c>
      <c r="F765" s="30"/>
      <c r="G765" s="34" t="str">
        <f>IFERROR(__xludf.DUMMYFUNCTION("""COMPUTED_VALUE"""),"")</f>
        <v/>
      </c>
      <c r="H765" s="34" t="str">
        <f>IFERROR(__xludf.DUMMYFUNCTION("""COMPUTED_VALUE"""),"")</f>
        <v/>
      </c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</row>
    <row r="766">
      <c r="A766" s="30"/>
      <c r="B766" s="30" t="str">
        <f>IFERROR(__xludf.DUMMYFUNCTION("""COMPUTED_VALUE"""),"")</f>
        <v/>
      </c>
      <c r="C766" s="30" t="str">
        <f>IFERROR(__xludf.DUMMYFUNCTION("""COMPUTED_VALUE"""),"")</f>
        <v/>
      </c>
      <c r="D766" s="30"/>
      <c r="E766" s="34" t="str">
        <f>IFERROR(__xludf.DUMMYFUNCTION("""COMPUTED_VALUE"""),"")</f>
        <v/>
      </c>
      <c r="F766" s="30"/>
      <c r="G766" s="34" t="str">
        <f>IFERROR(__xludf.DUMMYFUNCTION("""COMPUTED_VALUE"""),"")</f>
        <v/>
      </c>
      <c r="H766" s="34" t="str">
        <f>IFERROR(__xludf.DUMMYFUNCTION("""COMPUTED_VALUE"""),"")</f>
        <v/>
      </c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</row>
    <row r="767">
      <c r="A767" s="30"/>
      <c r="B767" s="30" t="str">
        <f>IFERROR(__xludf.DUMMYFUNCTION("""COMPUTED_VALUE"""),"")</f>
        <v/>
      </c>
      <c r="C767" s="30" t="str">
        <f>IFERROR(__xludf.DUMMYFUNCTION("""COMPUTED_VALUE"""),"")</f>
        <v/>
      </c>
      <c r="D767" s="30"/>
      <c r="E767" s="34" t="str">
        <f>IFERROR(__xludf.DUMMYFUNCTION("""COMPUTED_VALUE"""),"")</f>
        <v/>
      </c>
      <c r="F767" s="30"/>
      <c r="G767" s="34" t="str">
        <f>IFERROR(__xludf.DUMMYFUNCTION("""COMPUTED_VALUE"""),"")</f>
        <v/>
      </c>
      <c r="H767" s="34" t="str">
        <f>IFERROR(__xludf.DUMMYFUNCTION("""COMPUTED_VALUE"""),"")</f>
        <v/>
      </c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</row>
    <row r="768">
      <c r="A768" s="30"/>
      <c r="B768" s="30" t="str">
        <f>IFERROR(__xludf.DUMMYFUNCTION("""COMPUTED_VALUE"""),"")</f>
        <v/>
      </c>
      <c r="C768" s="30" t="str">
        <f>IFERROR(__xludf.DUMMYFUNCTION("""COMPUTED_VALUE"""),"")</f>
        <v/>
      </c>
      <c r="D768" s="30"/>
      <c r="E768" s="34" t="str">
        <f>IFERROR(__xludf.DUMMYFUNCTION("""COMPUTED_VALUE"""),"")</f>
        <v/>
      </c>
      <c r="F768" s="30"/>
      <c r="G768" s="34" t="str">
        <f>IFERROR(__xludf.DUMMYFUNCTION("""COMPUTED_VALUE"""),"")</f>
        <v/>
      </c>
      <c r="H768" s="34" t="str">
        <f>IFERROR(__xludf.DUMMYFUNCTION("""COMPUTED_VALUE"""),"")</f>
        <v/>
      </c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</row>
    <row r="769">
      <c r="A769" s="30"/>
      <c r="B769" s="30" t="str">
        <f>IFERROR(__xludf.DUMMYFUNCTION("""COMPUTED_VALUE"""),"")</f>
        <v/>
      </c>
      <c r="C769" s="30" t="str">
        <f>IFERROR(__xludf.DUMMYFUNCTION("""COMPUTED_VALUE"""),"")</f>
        <v/>
      </c>
      <c r="D769" s="30"/>
      <c r="E769" s="34" t="str">
        <f>IFERROR(__xludf.DUMMYFUNCTION("""COMPUTED_VALUE"""),"")</f>
        <v/>
      </c>
      <c r="F769" s="30"/>
      <c r="G769" s="34" t="str">
        <f>IFERROR(__xludf.DUMMYFUNCTION("""COMPUTED_VALUE"""),"")</f>
        <v/>
      </c>
      <c r="H769" s="34" t="str">
        <f>IFERROR(__xludf.DUMMYFUNCTION("""COMPUTED_VALUE"""),"")</f>
        <v/>
      </c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</row>
    <row r="770">
      <c r="A770" s="30"/>
      <c r="B770" s="30" t="str">
        <f>IFERROR(__xludf.DUMMYFUNCTION("""COMPUTED_VALUE"""),"")</f>
        <v/>
      </c>
      <c r="C770" s="30" t="str">
        <f>IFERROR(__xludf.DUMMYFUNCTION("""COMPUTED_VALUE"""),"")</f>
        <v/>
      </c>
      <c r="D770" s="30"/>
      <c r="E770" s="34" t="str">
        <f>IFERROR(__xludf.DUMMYFUNCTION("""COMPUTED_VALUE"""),"")</f>
        <v/>
      </c>
      <c r="F770" s="30"/>
      <c r="G770" s="34" t="str">
        <f>IFERROR(__xludf.DUMMYFUNCTION("""COMPUTED_VALUE"""),"")</f>
        <v/>
      </c>
      <c r="H770" s="34" t="str">
        <f>IFERROR(__xludf.DUMMYFUNCTION("""COMPUTED_VALUE"""),"")</f>
        <v/>
      </c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</row>
    <row r="771">
      <c r="A771" s="30"/>
      <c r="B771" s="30" t="str">
        <f>IFERROR(__xludf.DUMMYFUNCTION("""COMPUTED_VALUE"""),"")</f>
        <v/>
      </c>
      <c r="C771" s="30" t="str">
        <f>IFERROR(__xludf.DUMMYFUNCTION("""COMPUTED_VALUE"""),"")</f>
        <v/>
      </c>
      <c r="D771" s="30"/>
      <c r="E771" s="34" t="str">
        <f>IFERROR(__xludf.DUMMYFUNCTION("""COMPUTED_VALUE"""),"")</f>
        <v/>
      </c>
      <c r="F771" s="30"/>
      <c r="G771" s="34" t="str">
        <f>IFERROR(__xludf.DUMMYFUNCTION("""COMPUTED_VALUE"""),"")</f>
        <v/>
      </c>
      <c r="H771" s="34" t="str">
        <f>IFERROR(__xludf.DUMMYFUNCTION("""COMPUTED_VALUE"""),"")</f>
        <v/>
      </c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</row>
    <row r="772">
      <c r="A772" s="30"/>
      <c r="B772" s="30" t="str">
        <f>IFERROR(__xludf.DUMMYFUNCTION("""COMPUTED_VALUE"""),"")</f>
        <v/>
      </c>
      <c r="C772" s="30" t="str">
        <f>IFERROR(__xludf.DUMMYFUNCTION("""COMPUTED_VALUE"""),"")</f>
        <v/>
      </c>
      <c r="D772" s="30"/>
      <c r="E772" s="34" t="str">
        <f>IFERROR(__xludf.DUMMYFUNCTION("""COMPUTED_VALUE"""),"")</f>
        <v/>
      </c>
      <c r="F772" s="30"/>
      <c r="G772" s="34" t="str">
        <f>IFERROR(__xludf.DUMMYFUNCTION("""COMPUTED_VALUE"""),"")</f>
        <v/>
      </c>
      <c r="H772" s="34" t="str">
        <f>IFERROR(__xludf.DUMMYFUNCTION("""COMPUTED_VALUE"""),"")</f>
        <v/>
      </c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</row>
    <row r="773">
      <c r="A773" s="30"/>
      <c r="B773" s="30" t="str">
        <f>IFERROR(__xludf.DUMMYFUNCTION("""COMPUTED_VALUE"""),"")</f>
        <v/>
      </c>
      <c r="C773" s="30" t="str">
        <f>IFERROR(__xludf.DUMMYFUNCTION("""COMPUTED_VALUE"""),"")</f>
        <v/>
      </c>
      <c r="D773" s="30"/>
      <c r="E773" s="34" t="str">
        <f>IFERROR(__xludf.DUMMYFUNCTION("""COMPUTED_VALUE"""),"")</f>
        <v/>
      </c>
      <c r="F773" s="30"/>
      <c r="G773" s="34" t="str">
        <f>IFERROR(__xludf.DUMMYFUNCTION("""COMPUTED_VALUE"""),"")</f>
        <v/>
      </c>
      <c r="H773" s="34" t="str">
        <f>IFERROR(__xludf.DUMMYFUNCTION("""COMPUTED_VALUE"""),"")</f>
        <v/>
      </c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</row>
    <row r="774">
      <c r="A774" s="30"/>
      <c r="B774" s="30" t="str">
        <f>IFERROR(__xludf.DUMMYFUNCTION("""COMPUTED_VALUE"""),"")</f>
        <v/>
      </c>
      <c r="C774" s="30" t="str">
        <f>IFERROR(__xludf.DUMMYFUNCTION("""COMPUTED_VALUE"""),"")</f>
        <v/>
      </c>
      <c r="D774" s="30"/>
      <c r="E774" s="34" t="str">
        <f>IFERROR(__xludf.DUMMYFUNCTION("""COMPUTED_VALUE"""),"")</f>
        <v/>
      </c>
      <c r="F774" s="30"/>
      <c r="G774" s="34" t="str">
        <f>IFERROR(__xludf.DUMMYFUNCTION("""COMPUTED_VALUE"""),"")</f>
        <v/>
      </c>
      <c r="H774" s="34" t="str">
        <f>IFERROR(__xludf.DUMMYFUNCTION("""COMPUTED_VALUE"""),"")</f>
        <v/>
      </c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</row>
    <row r="775">
      <c r="A775" s="30"/>
      <c r="B775" s="30" t="str">
        <f>IFERROR(__xludf.DUMMYFUNCTION("""COMPUTED_VALUE"""),"")</f>
        <v/>
      </c>
      <c r="C775" s="30" t="str">
        <f>IFERROR(__xludf.DUMMYFUNCTION("""COMPUTED_VALUE"""),"")</f>
        <v/>
      </c>
      <c r="D775" s="30"/>
      <c r="E775" s="34" t="str">
        <f>IFERROR(__xludf.DUMMYFUNCTION("""COMPUTED_VALUE"""),"")</f>
        <v/>
      </c>
      <c r="F775" s="30"/>
      <c r="G775" s="34" t="str">
        <f>IFERROR(__xludf.DUMMYFUNCTION("""COMPUTED_VALUE"""),"")</f>
        <v/>
      </c>
      <c r="H775" s="34" t="str">
        <f>IFERROR(__xludf.DUMMYFUNCTION("""COMPUTED_VALUE"""),"")</f>
        <v/>
      </c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</row>
    <row r="776">
      <c r="A776" s="30"/>
      <c r="B776" s="30" t="str">
        <f>IFERROR(__xludf.DUMMYFUNCTION("""COMPUTED_VALUE"""),"")</f>
        <v/>
      </c>
      <c r="C776" s="30" t="str">
        <f>IFERROR(__xludf.DUMMYFUNCTION("""COMPUTED_VALUE"""),"")</f>
        <v/>
      </c>
      <c r="D776" s="30"/>
      <c r="E776" s="34" t="str">
        <f>IFERROR(__xludf.DUMMYFUNCTION("""COMPUTED_VALUE"""),"")</f>
        <v/>
      </c>
      <c r="F776" s="30"/>
      <c r="G776" s="34" t="str">
        <f>IFERROR(__xludf.DUMMYFUNCTION("""COMPUTED_VALUE"""),"")</f>
        <v/>
      </c>
      <c r="H776" s="34" t="str">
        <f>IFERROR(__xludf.DUMMYFUNCTION("""COMPUTED_VALUE"""),"")</f>
        <v/>
      </c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</row>
    <row r="777">
      <c r="A777" s="30"/>
      <c r="B777" s="30" t="str">
        <f>IFERROR(__xludf.DUMMYFUNCTION("""COMPUTED_VALUE"""),"")</f>
        <v/>
      </c>
      <c r="C777" s="30" t="str">
        <f>IFERROR(__xludf.DUMMYFUNCTION("""COMPUTED_VALUE"""),"")</f>
        <v/>
      </c>
      <c r="D777" s="30"/>
      <c r="E777" s="34" t="str">
        <f>IFERROR(__xludf.DUMMYFUNCTION("""COMPUTED_VALUE"""),"")</f>
        <v/>
      </c>
      <c r="F777" s="30"/>
      <c r="G777" s="34" t="str">
        <f>IFERROR(__xludf.DUMMYFUNCTION("""COMPUTED_VALUE"""),"")</f>
        <v/>
      </c>
      <c r="H777" s="34" t="str">
        <f>IFERROR(__xludf.DUMMYFUNCTION("""COMPUTED_VALUE"""),"")</f>
        <v/>
      </c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</row>
    <row r="778">
      <c r="A778" s="30"/>
      <c r="B778" s="30" t="str">
        <f>IFERROR(__xludf.DUMMYFUNCTION("""COMPUTED_VALUE"""),"")</f>
        <v/>
      </c>
      <c r="C778" s="30" t="str">
        <f>IFERROR(__xludf.DUMMYFUNCTION("""COMPUTED_VALUE"""),"")</f>
        <v/>
      </c>
      <c r="D778" s="30"/>
      <c r="E778" s="34" t="str">
        <f>IFERROR(__xludf.DUMMYFUNCTION("""COMPUTED_VALUE"""),"")</f>
        <v/>
      </c>
      <c r="F778" s="30"/>
      <c r="G778" s="34" t="str">
        <f>IFERROR(__xludf.DUMMYFUNCTION("""COMPUTED_VALUE"""),"")</f>
        <v/>
      </c>
      <c r="H778" s="34" t="str">
        <f>IFERROR(__xludf.DUMMYFUNCTION("""COMPUTED_VALUE"""),"")</f>
        <v/>
      </c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</row>
    <row r="779">
      <c r="A779" s="30"/>
      <c r="B779" s="30" t="str">
        <f>IFERROR(__xludf.DUMMYFUNCTION("""COMPUTED_VALUE"""),"")</f>
        <v/>
      </c>
      <c r="C779" s="30" t="str">
        <f>IFERROR(__xludf.DUMMYFUNCTION("""COMPUTED_VALUE"""),"")</f>
        <v/>
      </c>
      <c r="D779" s="30"/>
      <c r="E779" s="34" t="str">
        <f>IFERROR(__xludf.DUMMYFUNCTION("""COMPUTED_VALUE"""),"")</f>
        <v/>
      </c>
      <c r="F779" s="30"/>
      <c r="G779" s="34" t="str">
        <f>IFERROR(__xludf.DUMMYFUNCTION("""COMPUTED_VALUE"""),"")</f>
        <v/>
      </c>
      <c r="H779" s="34" t="str">
        <f>IFERROR(__xludf.DUMMYFUNCTION("""COMPUTED_VALUE"""),"")</f>
        <v/>
      </c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</row>
    <row r="780">
      <c r="A780" s="30"/>
      <c r="B780" s="30" t="str">
        <f>IFERROR(__xludf.DUMMYFUNCTION("""COMPUTED_VALUE"""),"")</f>
        <v/>
      </c>
      <c r="C780" s="30" t="str">
        <f>IFERROR(__xludf.DUMMYFUNCTION("""COMPUTED_VALUE"""),"")</f>
        <v/>
      </c>
      <c r="D780" s="30"/>
      <c r="E780" s="34" t="str">
        <f>IFERROR(__xludf.DUMMYFUNCTION("""COMPUTED_VALUE"""),"")</f>
        <v/>
      </c>
      <c r="F780" s="30"/>
      <c r="G780" s="34" t="str">
        <f>IFERROR(__xludf.DUMMYFUNCTION("""COMPUTED_VALUE"""),"")</f>
        <v/>
      </c>
      <c r="H780" s="34" t="str">
        <f>IFERROR(__xludf.DUMMYFUNCTION("""COMPUTED_VALUE"""),"")</f>
        <v/>
      </c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</row>
    <row r="781">
      <c r="A781" s="30"/>
      <c r="B781" s="30" t="str">
        <f>IFERROR(__xludf.DUMMYFUNCTION("""COMPUTED_VALUE"""),"")</f>
        <v/>
      </c>
      <c r="C781" s="30" t="str">
        <f>IFERROR(__xludf.DUMMYFUNCTION("""COMPUTED_VALUE"""),"")</f>
        <v/>
      </c>
      <c r="D781" s="30"/>
      <c r="E781" s="34" t="str">
        <f>IFERROR(__xludf.DUMMYFUNCTION("""COMPUTED_VALUE"""),"")</f>
        <v/>
      </c>
      <c r="F781" s="30"/>
      <c r="G781" s="34" t="str">
        <f>IFERROR(__xludf.DUMMYFUNCTION("""COMPUTED_VALUE"""),"")</f>
        <v/>
      </c>
      <c r="H781" s="34" t="str">
        <f>IFERROR(__xludf.DUMMYFUNCTION("""COMPUTED_VALUE"""),"")</f>
        <v/>
      </c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</row>
    <row r="782">
      <c r="A782" s="30"/>
      <c r="B782" s="30" t="str">
        <f>IFERROR(__xludf.DUMMYFUNCTION("""COMPUTED_VALUE"""),"")</f>
        <v/>
      </c>
      <c r="C782" s="30" t="str">
        <f>IFERROR(__xludf.DUMMYFUNCTION("""COMPUTED_VALUE"""),"")</f>
        <v/>
      </c>
      <c r="D782" s="30"/>
      <c r="E782" s="34" t="str">
        <f>IFERROR(__xludf.DUMMYFUNCTION("""COMPUTED_VALUE"""),"")</f>
        <v/>
      </c>
      <c r="F782" s="30"/>
      <c r="G782" s="34" t="str">
        <f>IFERROR(__xludf.DUMMYFUNCTION("""COMPUTED_VALUE"""),"")</f>
        <v/>
      </c>
      <c r="H782" s="34" t="str">
        <f>IFERROR(__xludf.DUMMYFUNCTION("""COMPUTED_VALUE"""),"")</f>
        <v/>
      </c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</row>
    <row r="783">
      <c r="A783" s="30"/>
      <c r="B783" s="30" t="str">
        <f>IFERROR(__xludf.DUMMYFUNCTION("""COMPUTED_VALUE"""),"")</f>
        <v/>
      </c>
      <c r="C783" s="30" t="str">
        <f>IFERROR(__xludf.DUMMYFUNCTION("""COMPUTED_VALUE"""),"")</f>
        <v/>
      </c>
      <c r="D783" s="30"/>
      <c r="E783" s="34" t="str">
        <f>IFERROR(__xludf.DUMMYFUNCTION("""COMPUTED_VALUE"""),"")</f>
        <v/>
      </c>
      <c r="F783" s="30"/>
      <c r="G783" s="34" t="str">
        <f>IFERROR(__xludf.DUMMYFUNCTION("""COMPUTED_VALUE"""),"")</f>
        <v/>
      </c>
      <c r="H783" s="34" t="str">
        <f>IFERROR(__xludf.DUMMYFUNCTION("""COMPUTED_VALUE"""),"")</f>
        <v/>
      </c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</row>
    <row r="784">
      <c r="A784" s="30"/>
      <c r="B784" s="30" t="str">
        <f>IFERROR(__xludf.DUMMYFUNCTION("""COMPUTED_VALUE"""),"")</f>
        <v/>
      </c>
      <c r="C784" s="30" t="str">
        <f>IFERROR(__xludf.DUMMYFUNCTION("""COMPUTED_VALUE"""),"")</f>
        <v/>
      </c>
      <c r="D784" s="30"/>
      <c r="E784" s="34" t="str">
        <f>IFERROR(__xludf.DUMMYFUNCTION("""COMPUTED_VALUE"""),"")</f>
        <v/>
      </c>
      <c r="F784" s="30"/>
      <c r="G784" s="34" t="str">
        <f>IFERROR(__xludf.DUMMYFUNCTION("""COMPUTED_VALUE"""),"")</f>
        <v/>
      </c>
      <c r="H784" s="34" t="str">
        <f>IFERROR(__xludf.DUMMYFUNCTION("""COMPUTED_VALUE"""),"")</f>
        <v/>
      </c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</row>
    <row r="785">
      <c r="A785" s="30"/>
      <c r="B785" s="30" t="str">
        <f>IFERROR(__xludf.DUMMYFUNCTION("""COMPUTED_VALUE"""),"")</f>
        <v/>
      </c>
      <c r="C785" s="30" t="str">
        <f>IFERROR(__xludf.DUMMYFUNCTION("""COMPUTED_VALUE"""),"")</f>
        <v/>
      </c>
      <c r="D785" s="30"/>
      <c r="E785" s="34" t="str">
        <f>IFERROR(__xludf.DUMMYFUNCTION("""COMPUTED_VALUE"""),"")</f>
        <v/>
      </c>
      <c r="F785" s="30"/>
      <c r="G785" s="34" t="str">
        <f>IFERROR(__xludf.DUMMYFUNCTION("""COMPUTED_VALUE"""),"")</f>
        <v/>
      </c>
      <c r="H785" s="34" t="str">
        <f>IFERROR(__xludf.DUMMYFUNCTION("""COMPUTED_VALUE"""),"")</f>
        <v/>
      </c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</row>
    <row r="786">
      <c r="A786" s="30"/>
      <c r="B786" s="30" t="str">
        <f>IFERROR(__xludf.DUMMYFUNCTION("""COMPUTED_VALUE"""),"")</f>
        <v/>
      </c>
      <c r="C786" s="30" t="str">
        <f>IFERROR(__xludf.DUMMYFUNCTION("""COMPUTED_VALUE"""),"")</f>
        <v/>
      </c>
      <c r="D786" s="30"/>
      <c r="E786" s="34" t="str">
        <f>IFERROR(__xludf.DUMMYFUNCTION("""COMPUTED_VALUE"""),"")</f>
        <v/>
      </c>
      <c r="F786" s="30"/>
      <c r="G786" s="34" t="str">
        <f>IFERROR(__xludf.DUMMYFUNCTION("""COMPUTED_VALUE"""),"")</f>
        <v/>
      </c>
      <c r="H786" s="34" t="str">
        <f>IFERROR(__xludf.DUMMYFUNCTION("""COMPUTED_VALUE"""),"")</f>
        <v/>
      </c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</row>
    <row r="787">
      <c r="A787" s="30"/>
      <c r="B787" s="30" t="str">
        <f>IFERROR(__xludf.DUMMYFUNCTION("""COMPUTED_VALUE"""),"")</f>
        <v/>
      </c>
      <c r="C787" s="30" t="str">
        <f>IFERROR(__xludf.DUMMYFUNCTION("""COMPUTED_VALUE"""),"")</f>
        <v/>
      </c>
      <c r="D787" s="30"/>
      <c r="E787" s="34" t="str">
        <f>IFERROR(__xludf.DUMMYFUNCTION("""COMPUTED_VALUE"""),"")</f>
        <v/>
      </c>
      <c r="F787" s="30"/>
      <c r="G787" s="34" t="str">
        <f>IFERROR(__xludf.DUMMYFUNCTION("""COMPUTED_VALUE"""),"")</f>
        <v/>
      </c>
      <c r="H787" s="34" t="str">
        <f>IFERROR(__xludf.DUMMYFUNCTION("""COMPUTED_VALUE"""),"")</f>
        <v/>
      </c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</row>
    <row r="788">
      <c r="A788" s="30"/>
      <c r="B788" s="30" t="str">
        <f>IFERROR(__xludf.DUMMYFUNCTION("""COMPUTED_VALUE"""),"")</f>
        <v/>
      </c>
      <c r="C788" s="30" t="str">
        <f>IFERROR(__xludf.DUMMYFUNCTION("""COMPUTED_VALUE"""),"")</f>
        <v/>
      </c>
      <c r="D788" s="30"/>
      <c r="E788" s="34" t="str">
        <f>IFERROR(__xludf.DUMMYFUNCTION("""COMPUTED_VALUE"""),"")</f>
        <v/>
      </c>
      <c r="F788" s="30"/>
      <c r="G788" s="34" t="str">
        <f>IFERROR(__xludf.DUMMYFUNCTION("""COMPUTED_VALUE"""),"")</f>
        <v/>
      </c>
      <c r="H788" s="34" t="str">
        <f>IFERROR(__xludf.DUMMYFUNCTION("""COMPUTED_VALUE"""),"")</f>
        <v/>
      </c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</row>
    <row r="789">
      <c r="A789" s="30"/>
      <c r="B789" s="30" t="str">
        <f>IFERROR(__xludf.DUMMYFUNCTION("""COMPUTED_VALUE"""),"")</f>
        <v/>
      </c>
      <c r="C789" s="30" t="str">
        <f>IFERROR(__xludf.DUMMYFUNCTION("""COMPUTED_VALUE"""),"")</f>
        <v/>
      </c>
      <c r="D789" s="30"/>
      <c r="E789" s="34" t="str">
        <f>IFERROR(__xludf.DUMMYFUNCTION("""COMPUTED_VALUE"""),"")</f>
        <v/>
      </c>
      <c r="F789" s="30"/>
      <c r="G789" s="34" t="str">
        <f>IFERROR(__xludf.DUMMYFUNCTION("""COMPUTED_VALUE"""),"")</f>
        <v/>
      </c>
      <c r="H789" s="34" t="str">
        <f>IFERROR(__xludf.DUMMYFUNCTION("""COMPUTED_VALUE"""),"")</f>
        <v/>
      </c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</row>
    <row r="790">
      <c r="A790" s="30"/>
      <c r="B790" s="30" t="str">
        <f>IFERROR(__xludf.DUMMYFUNCTION("""COMPUTED_VALUE"""),"")</f>
        <v/>
      </c>
      <c r="C790" s="30" t="str">
        <f>IFERROR(__xludf.DUMMYFUNCTION("""COMPUTED_VALUE"""),"")</f>
        <v/>
      </c>
      <c r="D790" s="30"/>
      <c r="E790" s="34" t="str">
        <f>IFERROR(__xludf.DUMMYFUNCTION("""COMPUTED_VALUE"""),"")</f>
        <v/>
      </c>
      <c r="F790" s="30"/>
      <c r="G790" s="34" t="str">
        <f>IFERROR(__xludf.DUMMYFUNCTION("""COMPUTED_VALUE"""),"")</f>
        <v/>
      </c>
      <c r="H790" s="34" t="str">
        <f>IFERROR(__xludf.DUMMYFUNCTION("""COMPUTED_VALUE"""),"")</f>
        <v/>
      </c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</row>
    <row r="791">
      <c r="A791" s="30"/>
      <c r="B791" s="30" t="str">
        <f>IFERROR(__xludf.DUMMYFUNCTION("""COMPUTED_VALUE"""),"")</f>
        <v/>
      </c>
      <c r="C791" s="30" t="str">
        <f>IFERROR(__xludf.DUMMYFUNCTION("""COMPUTED_VALUE"""),"")</f>
        <v/>
      </c>
      <c r="D791" s="30"/>
      <c r="E791" s="34" t="str">
        <f>IFERROR(__xludf.DUMMYFUNCTION("""COMPUTED_VALUE"""),"")</f>
        <v/>
      </c>
      <c r="F791" s="30"/>
      <c r="G791" s="34" t="str">
        <f>IFERROR(__xludf.DUMMYFUNCTION("""COMPUTED_VALUE"""),"")</f>
        <v/>
      </c>
      <c r="H791" s="34" t="str">
        <f>IFERROR(__xludf.DUMMYFUNCTION("""COMPUTED_VALUE"""),"")</f>
        <v/>
      </c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</row>
    <row r="792">
      <c r="A792" s="30"/>
      <c r="B792" s="30" t="str">
        <f>IFERROR(__xludf.DUMMYFUNCTION("""COMPUTED_VALUE"""),"")</f>
        <v/>
      </c>
      <c r="C792" s="30" t="str">
        <f>IFERROR(__xludf.DUMMYFUNCTION("""COMPUTED_VALUE"""),"")</f>
        <v/>
      </c>
      <c r="D792" s="30"/>
      <c r="E792" s="34" t="str">
        <f>IFERROR(__xludf.DUMMYFUNCTION("""COMPUTED_VALUE"""),"")</f>
        <v/>
      </c>
      <c r="F792" s="30"/>
      <c r="G792" s="34" t="str">
        <f>IFERROR(__xludf.DUMMYFUNCTION("""COMPUTED_VALUE"""),"")</f>
        <v/>
      </c>
      <c r="H792" s="34" t="str">
        <f>IFERROR(__xludf.DUMMYFUNCTION("""COMPUTED_VALUE"""),"")</f>
        <v/>
      </c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</row>
    <row r="793">
      <c r="A793" s="30"/>
      <c r="B793" s="30" t="str">
        <f>IFERROR(__xludf.DUMMYFUNCTION("""COMPUTED_VALUE"""),"")</f>
        <v/>
      </c>
      <c r="C793" s="30" t="str">
        <f>IFERROR(__xludf.DUMMYFUNCTION("""COMPUTED_VALUE"""),"")</f>
        <v/>
      </c>
      <c r="D793" s="30"/>
      <c r="E793" s="34" t="str">
        <f>IFERROR(__xludf.DUMMYFUNCTION("""COMPUTED_VALUE"""),"")</f>
        <v/>
      </c>
      <c r="F793" s="30"/>
      <c r="G793" s="34" t="str">
        <f>IFERROR(__xludf.DUMMYFUNCTION("""COMPUTED_VALUE"""),"")</f>
        <v/>
      </c>
      <c r="H793" s="34" t="str">
        <f>IFERROR(__xludf.DUMMYFUNCTION("""COMPUTED_VALUE"""),"")</f>
        <v/>
      </c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</row>
    <row r="794">
      <c r="A794" s="30"/>
      <c r="B794" s="30" t="str">
        <f>IFERROR(__xludf.DUMMYFUNCTION("""COMPUTED_VALUE"""),"")</f>
        <v/>
      </c>
      <c r="C794" s="30" t="str">
        <f>IFERROR(__xludf.DUMMYFUNCTION("""COMPUTED_VALUE"""),"")</f>
        <v/>
      </c>
      <c r="D794" s="30"/>
      <c r="E794" s="34" t="str">
        <f>IFERROR(__xludf.DUMMYFUNCTION("""COMPUTED_VALUE"""),"")</f>
        <v/>
      </c>
      <c r="F794" s="30"/>
      <c r="G794" s="34" t="str">
        <f>IFERROR(__xludf.DUMMYFUNCTION("""COMPUTED_VALUE"""),"")</f>
        <v/>
      </c>
      <c r="H794" s="34" t="str">
        <f>IFERROR(__xludf.DUMMYFUNCTION("""COMPUTED_VALUE"""),"")</f>
        <v/>
      </c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</row>
    <row r="795">
      <c r="A795" s="30"/>
      <c r="B795" s="30" t="str">
        <f>IFERROR(__xludf.DUMMYFUNCTION("""COMPUTED_VALUE"""),"")</f>
        <v/>
      </c>
      <c r="C795" s="30" t="str">
        <f>IFERROR(__xludf.DUMMYFUNCTION("""COMPUTED_VALUE"""),"")</f>
        <v/>
      </c>
      <c r="D795" s="30"/>
      <c r="E795" s="34" t="str">
        <f>IFERROR(__xludf.DUMMYFUNCTION("""COMPUTED_VALUE"""),"")</f>
        <v/>
      </c>
      <c r="F795" s="30"/>
      <c r="G795" s="34" t="str">
        <f>IFERROR(__xludf.DUMMYFUNCTION("""COMPUTED_VALUE"""),"")</f>
        <v/>
      </c>
      <c r="H795" s="34" t="str">
        <f>IFERROR(__xludf.DUMMYFUNCTION("""COMPUTED_VALUE"""),"")</f>
        <v/>
      </c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</row>
    <row r="796">
      <c r="A796" s="30"/>
      <c r="B796" s="30" t="str">
        <f>IFERROR(__xludf.DUMMYFUNCTION("""COMPUTED_VALUE"""),"")</f>
        <v/>
      </c>
      <c r="C796" s="30" t="str">
        <f>IFERROR(__xludf.DUMMYFUNCTION("""COMPUTED_VALUE"""),"")</f>
        <v/>
      </c>
      <c r="D796" s="30"/>
      <c r="E796" s="34" t="str">
        <f>IFERROR(__xludf.DUMMYFUNCTION("""COMPUTED_VALUE"""),"")</f>
        <v/>
      </c>
      <c r="F796" s="30"/>
      <c r="G796" s="34" t="str">
        <f>IFERROR(__xludf.DUMMYFUNCTION("""COMPUTED_VALUE"""),"")</f>
        <v/>
      </c>
      <c r="H796" s="34" t="str">
        <f>IFERROR(__xludf.DUMMYFUNCTION("""COMPUTED_VALUE"""),"")</f>
        <v/>
      </c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</row>
    <row r="797">
      <c r="A797" s="30"/>
      <c r="B797" s="30" t="str">
        <f>IFERROR(__xludf.DUMMYFUNCTION("""COMPUTED_VALUE"""),"")</f>
        <v/>
      </c>
      <c r="C797" s="30" t="str">
        <f>IFERROR(__xludf.DUMMYFUNCTION("""COMPUTED_VALUE"""),"")</f>
        <v/>
      </c>
      <c r="D797" s="30"/>
      <c r="E797" s="34" t="str">
        <f>IFERROR(__xludf.DUMMYFUNCTION("""COMPUTED_VALUE"""),"")</f>
        <v/>
      </c>
      <c r="F797" s="30"/>
      <c r="G797" s="34" t="str">
        <f>IFERROR(__xludf.DUMMYFUNCTION("""COMPUTED_VALUE"""),"")</f>
        <v/>
      </c>
      <c r="H797" s="34" t="str">
        <f>IFERROR(__xludf.DUMMYFUNCTION("""COMPUTED_VALUE"""),"")</f>
        <v/>
      </c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</row>
    <row r="798">
      <c r="A798" s="30"/>
      <c r="B798" s="30" t="str">
        <f>IFERROR(__xludf.DUMMYFUNCTION("""COMPUTED_VALUE"""),"")</f>
        <v/>
      </c>
      <c r="C798" s="30" t="str">
        <f>IFERROR(__xludf.DUMMYFUNCTION("""COMPUTED_VALUE"""),"")</f>
        <v/>
      </c>
      <c r="D798" s="30"/>
      <c r="E798" s="34" t="str">
        <f>IFERROR(__xludf.DUMMYFUNCTION("""COMPUTED_VALUE"""),"")</f>
        <v/>
      </c>
      <c r="F798" s="30"/>
      <c r="G798" s="34" t="str">
        <f>IFERROR(__xludf.DUMMYFUNCTION("""COMPUTED_VALUE"""),"")</f>
        <v/>
      </c>
      <c r="H798" s="34" t="str">
        <f>IFERROR(__xludf.DUMMYFUNCTION("""COMPUTED_VALUE"""),"")</f>
        <v/>
      </c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</row>
    <row r="799">
      <c r="A799" s="30"/>
      <c r="B799" s="30" t="str">
        <f>IFERROR(__xludf.DUMMYFUNCTION("""COMPUTED_VALUE"""),"")</f>
        <v/>
      </c>
      <c r="C799" s="30" t="str">
        <f>IFERROR(__xludf.DUMMYFUNCTION("""COMPUTED_VALUE"""),"")</f>
        <v/>
      </c>
      <c r="D799" s="30"/>
      <c r="E799" s="34" t="str">
        <f>IFERROR(__xludf.DUMMYFUNCTION("""COMPUTED_VALUE"""),"")</f>
        <v/>
      </c>
      <c r="F799" s="30"/>
      <c r="G799" s="34" t="str">
        <f>IFERROR(__xludf.DUMMYFUNCTION("""COMPUTED_VALUE"""),"")</f>
        <v/>
      </c>
      <c r="H799" s="34" t="str">
        <f>IFERROR(__xludf.DUMMYFUNCTION("""COMPUTED_VALUE"""),"")</f>
        <v/>
      </c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</row>
    <row r="800">
      <c r="A800" s="30"/>
      <c r="B800" s="30" t="str">
        <f>IFERROR(__xludf.DUMMYFUNCTION("""COMPUTED_VALUE"""),"")</f>
        <v/>
      </c>
      <c r="C800" s="30" t="str">
        <f>IFERROR(__xludf.DUMMYFUNCTION("""COMPUTED_VALUE"""),"")</f>
        <v/>
      </c>
      <c r="D800" s="30"/>
      <c r="E800" s="34" t="str">
        <f>IFERROR(__xludf.DUMMYFUNCTION("""COMPUTED_VALUE"""),"")</f>
        <v/>
      </c>
      <c r="F800" s="30"/>
      <c r="G800" s="34" t="str">
        <f>IFERROR(__xludf.DUMMYFUNCTION("""COMPUTED_VALUE"""),"")</f>
        <v/>
      </c>
      <c r="H800" s="34" t="str">
        <f>IFERROR(__xludf.DUMMYFUNCTION("""COMPUTED_VALUE"""),"")</f>
        <v/>
      </c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</row>
    <row r="801">
      <c r="A801" s="30"/>
      <c r="B801" s="30" t="str">
        <f>IFERROR(__xludf.DUMMYFUNCTION("""COMPUTED_VALUE"""),"")</f>
        <v/>
      </c>
      <c r="C801" s="30" t="str">
        <f>IFERROR(__xludf.DUMMYFUNCTION("""COMPUTED_VALUE"""),"")</f>
        <v/>
      </c>
      <c r="D801" s="30"/>
      <c r="E801" s="34" t="str">
        <f>IFERROR(__xludf.DUMMYFUNCTION("""COMPUTED_VALUE"""),"")</f>
        <v/>
      </c>
      <c r="F801" s="30"/>
      <c r="G801" s="34" t="str">
        <f>IFERROR(__xludf.DUMMYFUNCTION("""COMPUTED_VALUE"""),"")</f>
        <v/>
      </c>
      <c r="H801" s="34" t="str">
        <f>IFERROR(__xludf.DUMMYFUNCTION("""COMPUTED_VALUE"""),"")</f>
        <v/>
      </c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</row>
    <row r="802">
      <c r="A802" s="30"/>
      <c r="B802" s="30" t="str">
        <f>IFERROR(__xludf.DUMMYFUNCTION("""COMPUTED_VALUE"""),"")</f>
        <v/>
      </c>
      <c r="C802" s="30" t="str">
        <f>IFERROR(__xludf.DUMMYFUNCTION("""COMPUTED_VALUE"""),"")</f>
        <v/>
      </c>
      <c r="D802" s="30"/>
      <c r="E802" s="34" t="str">
        <f>IFERROR(__xludf.DUMMYFUNCTION("""COMPUTED_VALUE"""),"")</f>
        <v/>
      </c>
      <c r="F802" s="30"/>
      <c r="G802" s="34" t="str">
        <f>IFERROR(__xludf.DUMMYFUNCTION("""COMPUTED_VALUE"""),"")</f>
        <v/>
      </c>
      <c r="H802" s="34" t="str">
        <f>IFERROR(__xludf.DUMMYFUNCTION("""COMPUTED_VALUE"""),"")</f>
        <v/>
      </c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</row>
    <row r="803">
      <c r="A803" s="30"/>
      <c r="B803" s="30" t="str">
        <f>IFERROR(__xludf.DUMMYFUNCTION("""COMPUTED_VALUE"""),"")</f>
        <v/>
      </c>
      <c r="C803" s="30" t="str">
        <f>IFERROR(__xludf.DUMMYFUNCTION("""COMPUTED_VALUE"""),"")</f>
        <v/>
      </c>
      <c r="D803" s="30"/>
      <c r="E803" s="34" t="str">
        <f>IFERROR(__xludf.DUMMYFUNCTION("""COMPUTED_VALUE"""),"")</f>
        <v/>
      </c>
      <c r="F803" s="30"/>
      <c r="G803" s="34" t="str">
        <f>IFERROR(__xludf.DUMMYFUNCTION("""COMPUTED_VALUE"""),"")</f>
        <v/>
      </c>
      <c r="H803" s="34" t="str">
        <f>IFERROR(__xludf.DUMMYFUNCTION("""COMPUTED_VALUE"""),"")</f>
        <v/>
      </c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</row>
    <row r="804">
      <c r="A804" s="30"/>
      <c r="B804" s="30" t="str">
        <f>IFERROR(__xludf.DUMMYFUNCTION("""COMPUTED_VALUE"""),"")</f>
        <v/>
      </c>
      <c r="C804" s="30" t="str">
        <f>IFERROR(__xludf.DUMMYFUNCTION("""COMPUTED_VALUE"""),"")</f>
        <v/>
      </c>
      <c r="D804" s="30"/>
      <c r="E804" s="34" t="str">
        <f>IFERROR(__xludf.DUMMYFUNCTION("""COMPUTED_VALUE"""),"")</f>
        <v/>
      </c>
      <c r="F804" s="30"/>
      <c r="G804" s="34" t="str">
        <f>IFERROR(__xludf.DUMMYFUNCTION("""COMPUTED_VALUE"""),"")</f>
        <v/>
      </c>
      <c r="H804" s="34" t="str">
        <f>IFERROR(__xludf.DUMMYFUNCTION("""COMPUTED_VALUE"""),"")</f>
        <v/>
      </c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</row>
    <row r="805">
      <c r="A805" s="30"/>
      <c r="B805" s="30" t="str">
        <f>IFERROR(__xludf.DUMMYFUNCTION("""COMPUTED_VALUE"""),"")</f>
        <v/>
      </c>
      <c r="C805" s="30" t="str">
        <f>IFERROR(__xludf.DUMMYFUNCTION("""COMPUTED_VALUE"""),"")</f>
        <v/>
      </c>
      <c r="D805" s="30"/>
      <c r="E805" s="34" t="str">
        <f>IFERROR(__xludf.DUMMYFUNCTION("""COMPUTED_VALUE"""),"")</f>
        <v/>
      </c>
      <c r="F805" s="30"/>
      <c r="G805" s="34" t="str">
        <f>IFERROR(__xludf.DUMMYFUNCTION("""COMPUTED_VALUE"""),"")</f>
        <v/>
      </c>
      <c r="H805" s="34" t="str">
        <f>IFERROR(__xludf.DUMMYFUNCTION("""COMPUTED_VALUE"""),"")</f>
        <v/>
      </c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</row>
    <row r="806">
      <c r="A806" s="30"/>
      <c r="B806" s="30" t="str">
        <f>IFERROR(__xludf.DUMMYFUNCTION("""COMPUTED_VALUE"""),"")</f>
        <v/>
      </c>
      <c r="C806" s="30" t="str">
        <f>IFERROR(__xludf.DUMMYFUNCTION("""COMPUTED_VALUE"""),"")</f>
        <v/>
      </c>
      <c r="D806" s="30"/>
      <c r="E806" s="34" t="str">
        <f>IFERROR(__xludf.DUMMYFUNCTION("""COMPUTED_VALUE"""),"")</f>
        <v/>
      </c>
      <c r="F806" s="30"/>
      <c r="G806" s="34" t="str">
        <f>IFERROR(__xludf.DUMMYFUNCTION("""COMPUTED_VALUE"""),"")</f>
        <v/>
      </c>
      <c r="H806" s="34" t="str">
        <f>IFERROR(__xludf.DUMMYFUNCTION("""COMPUTED_VALUE"""),"")</f>
        <v/>
      </c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</row>
    <row r="807">
      <c r="A807" s="30"/>
      <c r="B807" s="30" t="str">
        <f>IFERROR(__xludf.DUMMYFUNCTION("""COMPUTED_VALUE"""),"")</f>
        <v/>
      </c>
      <c r="C807" s="30" t="str">
        <f>IFERROR(__xludf.DUMMYFUNCTION("""COMPUTED_VALUE"""),"")</f>
        <v/>
      </c>
      <c r="D807" s="30"/>
      <c r="E807" s="34" t="str">
        <f>IFERROR(__xludf.DUMMYFUNCTION("""COMPUTED_VALUE"""),"")</f>
        <v/>
      </c>
      <c r="F807" s="30"/>
      <c r="G807" s="34" t="str">
        <f>IFERROR(__xludf.DUMMYFUNCTION("""COMPUTED_VALUE"""),"")</f>
        <v/>
      </c>
      <c r="H807" s="34" t="str">
        <f>IFERROR(__xludf.DUMMYFUNCTION("""COMPUTED_VALUE"""),"")</f>
        <v/>
      </c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</row>
    <row r="808">
      <c r="A808" s="30"/>
      <c r="B808" s="30" t="str">
        <f>IFERROR(__xludf.DUMMYFUNCTION("""COMPUTED_VALUE"""),"")</f>
        <v/>
      </c>
      <c r="C808" s="30" t="str">
        <f>IFERROR(__xludf.DUMMYFUNCTION("""COMPUTED_VALUE"""),"")</f>
        <v/>
      </c>
      <c r="D808" s="30"/>
      <c r="E808" s="34" t="str">
        <f>IFERROR(__xludf.DUMMYFUNCTION("""COMPUTED_VALUE"""),"")</f>
        <v/>
      </c>
      <c r="F808" s="30"/>
      <c r="G808" s="34" t="str">
        <f>IFERROR(__xludf.DUMMYFUNCTION("""COMPUTED_VALUE"""),"")</f>
        <v/>
      </c>
      <c r="H808" s="34" t="str">
        <f>IFERROR(__xludf.DUMMYFUNCTION("""COMPUTED_VALUE"""),"")</f>
        <v/>
      </c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</row>
    <row r="809">
      <c r="A809" s="30"/>
      <c r="B809" s="30" t="str">
        <f>IFERROR(__xludf.DUMMYFUNCTION("""COMPUTED_VALUE"""),"")</f>
        <v/>
      </c>
      <c r="C809" s="30" t="str">
        <f>IFERROR(__xludf.DUMMYFUNCTION("""COMPUTED_VALUE"""),"")</f>
        <v/>
      </c>
      <c r="D809" s="30"/>
      <c r="E809" s="34" t="str">
        <f>IFERROR(__xludf.DUMMYFUNCTION("""COMPUTED_VALUE"""),"")</f>
        <v/>
      </c>
      <c r="F809" s="30"/>
      <c r="G809" s="34" t="str">
        <f>IFERROR(__xludf.DUMMYFUNCTION("""COMPUTED_VALUE"""),"")</f>
        <v/>
      </c>
      <c r="H809" s="34" t="str">
        <f>IFERROR(__xludf.DUMMYFUNCTION("""COMPUTED_VALUE"""),"")</f>
        <v/>
      </c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</row>
    <row r="810">
      <c r="A810" s="30"/>
      <c r="B810" s="30" t="str">
        <f>IFERROR(__xludf.DUMMYFUNCTION("""COMPUTED_VALUE"""),"")</f>
        <v/>
      </c>
      <c r="C810" s="30" t="str">
        <f>IFERROR(__xludf.DUMMYFUNCTION("""COMPUTED_VALUE"""),"")</f>
        <v/>
      </c>
      <c r="D810" s="30"/>
      <c r="E810" s="34" t="str">
        <f>IFERROR(__xludf.DUMMYFUNCTION("""COMPUTED_VALUE"""),"")</f>
        <v/>
      </c>
      <c r="F810" s="30"/>
      <c r="G810" s="34" t="str">
        <f>IFERROR(__xludf.DUMMYFUNCTION("""COMPUTED_VALUE"""),"")</f>
        <v/>
      </c>
      <c r="H810" s="34" t="str">
        <f>IFERROR(__xludf.DUMMYFUNCTION("""COMPUTED_VALUE"""),"")</f>
        <v/>
      </c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</row>
    <row r="811">
      <c r="A811" s="30"/>
      <c r="B811" s="30" t="str">
        <f>IFERROR(__xludf.DUMMYFUNCTION("""COMPUTED_VALUE"""),"")</f>
        <v/>
      </c>
      <c r="C811" s="30" t="str">
        <f>IFERROR(__xludf.DUMMYFUNCTION("""COMPUTED_VALUE"""),"")</f>
        <v/>
      </c>
      <c r="D811" s="30"/>
      <c r="E811" s="34" t="str">
        <f>IFERROR(__xludf.DUMMYFUNCTION("""COMPUTED_VALUE"""),"")</f>
        <v/>
      </c>
      <c r="F811" s="30"/>
      <c r="G811" s="34" t="str">
        <f>IFERROR(__xludf.DUMMYFUNCTION("""COMPUTED_VALUE"""),"")</f>
        <v/>
      </c>
      <c r="H811" s="34" t="str">
        <f>IFERROR(__xludf.DUMMYFUNCTION("""COMPUTED_VALUE"""),"")</f>
        <v/>
      </c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</row>
    <row r="812">
      <c r="A812" s="30"/>
      <c r="B812" s="30" t="str">
        <f>IFERROR(__xludf.DUMMYFUNCTION("""COMPUTED_VALUE"""),"")</f>
        <v/>
      </c>
      <c r="C812" s="30" t="str">
        <f>IFERROR(__xludf.DUMMYFUNCTION("""COMPUTED_VALUE"""),"")</f>
        <v/>
      </c>
      <c r="D812" s="30"/>
      <c r="E812" s="34" t="str">
        <f>IFERROR(__xludf.DUMMYFUNCTION("""COMPUTED_VALUE"""),"")</f>
        <v/>
      </c>
      <c r="F812" s="30"/>
      <c r="G812" s="34" t="str">
        <f>IFERROR(__xludf.DUMMYFUNCTION("""COMPUTED_VALUE"""),"")</f>
        <v/>
      </c>
      <c r="H812" s="34" t="str">
        <f>IFERROR(__xludf.DUMMYFUNCTION("""COMPUTED_VALUE"""),"")</f>
        <v/>
      </c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</row>
    <row r="813">
      <c r="A813" s="30"/>
      <c r="B813" s="30" t="str">
        <f>IFERROR(__xludf.DUMMYFUNCTION("""COMPUTED_VALUE"""),"")</f>
        <v/>
      </c>
      <c r="C813" s="30" t="str">
        <f>IFERROR(__xludf.DUMMYFUNCTION("""COMPUTED_VALUE"""),"")</f>
        <v/>
      </c>
      <c r="D813" s="30"/>
      <c r="E813" s="34" t="str">
        <f>IFERROR(__xludf.DUMMYFUNCTION("""COMPUTED_VALUE"""),"")</f>
        <v/>
      </c>
      <c r="F813" s="30"/>
      <c r="G813" s="34" t="str">
        <f>IFERROR(__xludf.DUMMYFUNCTION("""COMPUTED_VALUE"""),"")</f>
        <v/>
      </c>
      <c r="H813" s="34" t="str">
        <f>IFERROR(__xludf.DUMMYFUNCTION("""COMPUTED_VALUE"""),"")</f>
        <v/>
      </c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>
      <c r="A814" s="30"/>
      <c r="B814" s="30" t="str">
        <f>IFERROR(__xludf.DUMMYFUNCTION("""COMPUTED_VALUE"""),"")</f>
        <v/>
      </c>
      <c r="C814" s="30" t="str">
        <f>IFERROR(__xludf.DUMMYFUNCTION("""COMPUTED_VALUE"""),"")</f>
        <v/>
      </c>
      <c r="D814" s="30"/>
      <c r="E814" s="34" t="str">
        <f>IFERROR(__xludf.DUMMYFUNCTION("""COMPUTED_VALUE"""),"")</f>
        <v/>
      </c>
      <c r="F814" s="30"/>
      <c r="G814" s="34" t="str">
        <f>IFERROR(__xludf.DUMMYFUNCTION("""COMPUTED_VALUE"""),"")</f>
        <v/>
      </c>
      <c r="H814" s="34" t="str">
        <f>IFERROR(__xludf.DUMMYFUNCTION("""COMPUTED_VALUE"""),"")</f>
        <v/>
      </c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</row>
    <row r="815">
      <c r="A815" s="30"/>
      <c r="B815" s="30" t="str">
        <f>IFERROR(__xludf.DUMMYFUNCTION("""COMPUTED_VALUE"""),"")</f>
        <v/>
      </c>
      <c r="C815" s="30" t="str">
        <f>IFERROR(__xludf.DUMMYFUNCTION("""COMPUTED_VALUE"""),"")</f>
        <v/>
      </c>
      <c r="D815" s="30"/>
      <c r="E815" s="34" t="str">
        <f>IFERROR(__xludf.DUMMYFUNCTION("""COMPUTED_VALUE"""),"")</f>
        <v/>
      </c>
      <c r="F815" s="30"/>
      <c r="G815" s="34" t="str">
        <f>IFERROR(__xludf.DUMMYFUNCTION("""COMPUTED_VALUE"""),"")</f>
        <v/>
      </c>
      <c r="H815" s="34" t="str">
        <f>IFERROR(__xludf.DUMMYFUNCTION("""COMPUTED_VALUE"""),"")</f>
        <v/>
      </c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</row>
    <row r="816">
      <c r="A816" s="30"/>
      <c r="B816" s="30" t="str">
        <f>IFERROR(__xludf.DUMMYFUNCTION("""COMPUTED_VALUE"""),"")</f>
        <v/>
      </c>
      <c r="C816" s="30" t="str">
        <f>IFERROR(__xludf.DUMMYFUNCTION("""COMPUTED_VALUE"""),"")</f>
        <v/>
      </c>
      <c r="D816" s="30"/>
      <c r="E816" s="34" t="str">
        <f>IFERROR(__xludf.DUMMYFUNCTION("""COMPUTED_VALUE"""),"")</f>
        <v/>
      </c>
      <c r="F816" s="30"/>
      <c r="G816" s="34" t="str">
        <f>IFERROR(__xludf.DUMMYFUNCTION("""COMPUTED_VALUE"""),"")</f>
        <v/>
      </c>
      <c r="H816" s="34" t="str">
        <f>IFERROR(__xludf.DUMMYFUNCTION("""COMPUTED_VALUE"""),"")</f>
        <v/>
      </c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</row>
    <row r="817">
      <c r="A817" s="30"/>
      <c r="B817" s="30" t="str">
        <f>IFERROR(__xludf.DUMMYFUNCTION("""COMPUTED_VALUE"""),"")</f>
        <v/>
      </c>
      <c r="C817" s="30" t="str">
        <f>IFERROR(__xludf.DUMMYFUNCTION("""COMPUTED_VALUE"""),"")</f>
        <v/>
      </c>
      <c r="D817" s="30"/>
      <c r="E817" s="34" t="str">
        <f>IFERROR(__xludf.DUMMYFUNCTION("""COMPUTED_VALUE"""),"")</f>
        <v/>
      </c>
      <c r="F817" s="30"/>
      <c r="G817" s="34" t="str">
        <f>IFERROR(__xludf.DUMMYFUNCTION("""COMPUTED_VALUE"""),"")</f>
        <v/>
      </c>
      <c r="H817" s="34" t="str">
        <f>IFERROR(__xludf.DUMMYFUNCTION("""COMPUTED_VALUE"""),"")</f>
        <v/>
      </c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</row>
    <row r="818">
      <c r="A818" s="30"/>
      <c r="B818" s="30" t="str">
        <f>IFERROR(__xludf.DUMMYFUNCTION("""COMPUTED_VALUE"""),"")</f>
        <v/>
      </c>
      <c r="C818" s="30" t="str">
        <f>IFERROR(__xludf.DUMMYFUNCTION("""COMPUTED_VALUE"""),"")</f>
        <v/>
      </c>
      <c r="D818" s="30"/>
      <c r="E818" s="34" t="str">
        <f>IFERROR(__xludf.DUMMYFUNCTION("""COMPUTED_VALUE"""),"")</f>
        <v/>
      </c>
      <c r="F818" s="30"/>
      <c r="G818" s="34" t="str">
        <f>IFERROR(__xludf.DUMMYFUNCTION("""COMPUTED_VALUE"""),"")</f>
        <v/>
      </c>
      <c r="H818" s="34" t="str">
        <f>IFERROR(__xludf.DUMMYFUNCTION("""COMPUTED_VALUE"""),"")</f>
        <v/>
      </c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</row>
    <row r="819">
      <c r="A819" s="30"/>
      <c r="B819" s="30" t="str">
        <f>IFERROR(__xludf.DUMMYFUNCTION("""COMPUTED_VALUE"""),"")</f>
        <v/>
      </c>
      <c r="C819" s="30" t="str">
        <f>IFERROR(__xludf.DUMMYFUNCTION("""COMPUTED_VALUE"""),"")</f>
        <v/>
      </c>
      <c r="D819" s="30"/>
      <c r="E819" s="34" t="str">
        <f>IFERROR(__xludf.DUMMYFUNCTION("""COMPUTED_VALUE"""),"")</f>
        <v/>
      </c>
      <c r="F819" s="30"/>
      <c r="G819" s="34" t="str">
        <f>IFERROR(__xludf.DUMMYFUNCTION("""COMPUTED_VALUE"""),"")</f>
        <v/>
      </c>
      <c r="H819" s="34" t="str">
        <f>IFERROR(__xludf.DUMMYFUNCTION("""COMPUTED_VALUE"""),"")</f>
        <v/>
      </c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</row>
    <row r="820">
      <c r="A820" s="30"/>
      <c r="B820" s="30" t="str">
        <f>IFERROR(__xludf.DUMMYFUNCTION("""COMPUTED_VALUE"""),"")</f>
        <v/>
      </c>
      <c r="C820" s="30" t="str">
        <f>IFERROR(__xludf.DUMMYFUNCTION("""COMPUTED_VALUE"""),"")</f>
        <v/>
      </c>
      <c r="D820" s="30"/>
      <c r="E820" s="34" t="str">
        <f>IFERROR(__xludf.DUMMYFUNCTION("""COMPUTED_VALUE"""),"")</f>
        <v/>
      </c>
      <c r="F820" s="30"/>
      <c r="G820" s="34" t="str">
        <f>IFERROR(__xludf.DUMMYFUNCTION("""COMPUTED_VALUE"""),"")</f>
        <v/>
      </c>
      <c r="H820" s="34" t="str">
        <f>IFERROR(__xludf.DUMMYFUNCTION("""COMPUTED_VALUE"""),"")</f>
        <v/>
      </c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</row>
    <row r="821">
      <c r="A821" s="30"/>
      <c r="B821" s="30" t="str">
        <f>IFERROR(__xludf.DUMMYFUNCTION("""COMPUTED_VALUE"""),"")</f>
        <v/>
      </c>
      <c r="C821" s="30" t="str">
        <f>IFERROR(__xludf.DUMMYFUNCTION("""COMPUTED_VALUE"""),"")</f>
        <v/>
      </c>
      <c r="D821" s="30"/>
      <c r="E821" s="34" t="str">
        <f>IFERROR(__xludf.DUMMYFUNCTION("""COMPUTED_VALUE"""),"")</f>
        <v/>
      </c>
      <c r="F821" s="30"/>
      <c r="G821" s="34" t="str">
        <f>IFERROR(__xludf.DUMMYFUNCTION("""COMPUTED_VALUE"""),"")</f>
        <v/>
      </c>
      <c r="H821" s="34" t="str">
        <f>IFERROR(__xludf.DUMMYFUNCTION("""COMPUTED_VALUE"""),"")</f>
        <v/>
      </c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</row>
    <row r="822">
      <c r="A822" s="30"/>
      <c r="B822" s="30" t="str">
        <f>IFERROR(__xludf.DUMMYFUNCTION("""COMPUTED_VALUE"""),"")</f>
        <v/>
      </c>
      <c r="C822" s="30" t="str">
        <f>IFERROR(__xludf.DUMMYFUNCTION("""COMPUTED_VALUE"""),"")</f>
        <v/>
      </c>
      <c r="D822" s="30"/>
      <c r="E822" s="34" t="str">
        <f>IFERROR(__xludf.DUMMYFUNCTION("""COMPUTED_VALUE"""),"")</f>
        <v/>
      </c>
      <c r="F822" s="30"/>
      <c r="G822" s="34" t="str">
        <f>IFERROR(__xludf.DUMMYFUNCTION("""COMPUTED_VALUE"""),"")</f>
        <v/>
      </c>
      <c r="H822" s="34" t="str">
        <f>IFERROR(__xludf.DUMMYFUNCTION("""COMPUTED_VALUE"""),"")</f>
        <v/>
      </c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</row>
    <row r="823">
      <c r="A823" s="30"/>
      <c r="B823" s="30" t="str">
        <f>IFERROR(__xludf.DUMMYFUNCTION("""COMPUTED_VALUE"""),"")</f>
        <v/>
      </c>
      <c r="C823" s="30" t="str">
        <f>IFERROR(__xludf.DUMMYFUNCTION("""COMPUTED_VALUE"""),"")</f>
        <v/>
      </c>
      <c r="D823" s="30"/>
      <c r="E823" s="34" t="str">
        <f>IFERROR(__xludf.DUMMYFUNCTION("""COMPUTED_VALUE"""),"")</f>
        <v/>
      </c>
      <c r="F823" s="30"/>
      <c r="G823" s="34" t="str">
        <f>IFERROR(__xludf.DUMMYFUNCTION("""COMPUTED_VALUE"""),"")</f>
        <v/>
      </c>
      <c r="H823" s="34" t="str">
        <f>IFERROR(__xludf.DUMMYFUNCTION("""COMPUTED_VALUE"""),"")</f>
        <v/>
      </c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</row>
    <row r="824">
      <c r="A824" s="30"/>
      <c r="B824" s="30" t="str">
        <f>IFERROR(__xludf.DUMMYFUNCTION("""COMPUTED_VALUE"""),"")</f>
        <v/>
      </c>
      <c r="C824" s="30" t="str">
        <f>IFERROR(__xludf.DUMMYFUNCTION("""COMPUTED_VALUE"""),"")</f>
        <v/>
      </c>
      <c r="D824" s="30"/>
      <c r="E824" s="34" t="str">
        <f>IFERROR(__xludf.DUMMYFUNCTION("""COMPUTED_VALUE"""),"")</f>
        <v/>
      </c>
      <c r="F824" s="30"/>
      <c r="G824" s="34" t="str">
        <f>IFERROR(__xludf.DUMMYFUNCTION("""COMPUTED_VALUE"""),"")</f>
        <v/>
      </c>
      <c r="H824" s="34" t="str">
        <f>IFERROR(__xludf.DUMMYFUNCTION("""COMPUTED_VALUE"""),"")</f>
        <v/>
      </c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</row>
    <row r="825">
      <c r="A825" s="30"/>
      <c r="B825" s="30" t="str">
        <f>IFERROR(__xludf.DUMMYFUNCTION("""COMPUTED_VALUE"""),"")</f>
        <v/>
      </c>
      <c r="C825" s="30" t="str">
        <f>IFERROR(__xludf.DUMMYFUNCTION("""COMPUTED_VALUE"""),"")</f>
        <v/>
      </c>
      <c r="D825" s="30"/>
      <c r="E825" s="34" t="str">
        <f>IFERROR(__xludf.DUMMYFUNCTION("""COMPUTED_VALUE"""),"")</f>
        <v/>
      </c>
      <c r="F825" s="30"/>
      <c r="G825" s="34" t="str">
        <f>IFERROR(__xludf.DUMMYFUNCTION("""COMPUTED_VALUE"""),"")</f>
        <v/>
      </c>
      <c r="H825" s="34" t="str">
        <f>IFERROR(__xludf.DUMMYFUNCTION("""COMPUTED_VALUE"""),"")</f>
        <v/>
      </c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</row>
    <row r="826">
      <c r="A826" s="30"/>
      <c r="B826" s="30" t="str">
        <f>IFERROR(__xludf.DUMMYFUNCTION("""COMPUTED_VALUE"""),"")</f>
        <v/>
      </c>
      <c r="C826" s="30" t="str">
        <f>IFERROR(__xludf.DUMMYFUNCTION("""COMPUTED_VALUE"""),"")</f>
        <v/>
      </c>
      <c r="D826" s="30"/>
      <c r="E826" s="34" t="str">
        <f>IFERROR(__xludf.DUMMYFUNCTION("""COMPUTED_VALUE"""),"")</f>
        <v/>
      </c>
      <c r="F826" s="30"/>
      <c r="G826" s="34" t="str">
        <f>IFERROR(__xludf.DUMMYFUNCTION("""COMPUTED_VALUE"""),"")</f>
        <v/>
      </c>
      <c r="H826" s="34" t="str">
        <f>IFERROR(__xludf.DUMMYFUNCTION("""COMPUTED_VALUE"""),"")</f>
        <v/>
      </c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</row>
    <row r="827">
      <c r="A827" s="30"/>
      <c r="B827" s="30" t="str">
        <f>IFERROR(__xludf.DUMMYFUNCTION("""COMPUTED_VALUE"""),"")</f>
        <v/>
      </c>
      <c r="C827" s="30" t="str">
        <f>IFERROR(__xludf.DUMMYFUNCTION("""COMPUTED_VALUE"""),"")</f>
        <v/>
      </c>
      <c r="D827" s="30"/>
      <c r="E827" s="34" t="str">
        <f>IFERROR(__xludf.DUMMYFUNCTION("""COMPUTED_VALUE"""),"")</f>
        <v/>
      </c>
      <c r="F827" s="30"/>
      <c r="G827" s="34" t="str">
        <f>IFERROR(__xludf.DUMMYFUNCTION("""COMPUTED_VALUE"""),"")</f>
        <v/>
      </c>
      <c r="H827" s="34" t="str">
        <f>IFERROR(__xludf.DUMMYFUNCTION("""COMPUTED_VALUE"""),"")</f>
        <v/>
      </c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</row>
    <row r="828">
      <c r="A828" s="30"/>
      <c r="B828" s="30" t="str">
        <f>IFERROR(__xludf.DUMMYFUNCTION("""COMPUTED_VALUE"""),"")</f>
        <v/>
      </c>
      <c r="C828" s="30" t="str">
        <f>IFERROR(__xludf.DUMMYFUNCTION("""COMPUTED_VALUE"""),"")</f>
        <v/>
      </c>
      <c r="D828" s="30"/>
      <c r="E828" s="34" t="str">
        <f>IFERROR(__xludf.DUMMYFUNCTION("""COMPUTED_VALUE"""),"")</f>
        <v/>
      </c>
      <c r="F828" s="30"/>
      <c r="G828" s="34" t="str">
        <f>IFERROR(__xludf.DUMMYFUNCTION("""COMPUTED_VALUE"""),"")</f>
        <v/>
      </c>
      <c r="H828" s="34" t="str">
        <f>IFERROR(__xludf.DUMMYFUNCTION("""COMPUTED_VALUE"""),"")</f>
        <v/>
      </c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</row>
    <row r="829">
      <c r="A829" s="30"/>
      <c r="B829" s="30" t="str">
        <f>IFERROR(__xludf.DUMMYFUNCTION("""COMPUTED_VALUE"""),"")</f>
        <v/>
      </c>
      <c r="C829" s="30" t="str">
        <f>IFERROR(__xludf.DUMMYFUNCTION("""COMPUTED_VALUE"""),"")</f>
        <v/>
      </c>
      <c r="D829" s="30"/>
      <c r="E829" s="34" t="str">
        <f>IFERROR(__xludf.DUMMYFUNCTION("""COMPUTED_VALUE"""),"")</f>
        <v/>
      </c>
      <c r="F829" s="30"/>
      <c r="G829" s="34" t="str">
        <f>IFERROR(__xludf.DUMMYFUNCTION("""COMPUTED_VALUE"""),"")</f>
        <v/>
      </c>
      <c r="H829" s="34" t="str">
        <f>IFERROR(__xludf.DUMMYFUNCTION("""COMPUTED_VALUE"""),"")</f>
        <v/>
      </c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>
      <c r="A830" s="30"/>
      <c r="B830" s="30" t="str">
        <f>IFERROR(__xludf.DUMMYFUNCTION("""COMPUTED_VALUE"""),"")</f>
        <v/>
      </c>
      <c r="C830" s="30" t="str">
        <f>IFERROR(__xludf.DUMMYFUNCTION("""COMPUTED_VALUE"""),"")</f>
        <v/>
      </c>
      <c r="D830" s="30"/>
      <c r="E830" s="34" t="str">
        <f>IFERROR(__xludf.DUMMYFUNCTION("""COMPUTED_VALUE"""),"")</f>
        <v/>
      </c>
      <c r="F830" s="30"/>
      <c r="G830" s="34" t="str">
        <f>IFERROR(__xludf.DUMMYFUNCTION("""COMPUTED_VALUE"""),"")</f>
        <v/>
      </c>
      <c r="H830" s="34" t="str">
        <f>IFERROR(__xludf.DUMMYFUNCTION("""COMPUTED_VALUE"""),"")</f>
        <v/>
      </c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</row>
    <row r="831">
      <c r="A831" s="30"/>
      <c r="B831" s="30" t="str">
        <f>IFERROR(__xludf.DUMMYFUNCTION("""COMPUTED_VALUE"""),"")</f>
        <v/>
      </c>
      <c r="C831" s="30" t="str">
        <f>IFERROR(__xludf.DUMMYFUNCTION("""COMPUTED_VALUE"""),"")</f>
        <v/>
      </c>
      <c r="D831" s="30"/>
      <c r="E831" s="34" t="str">
        <f>IFERROR(__xludf.DUMMYFUNCTION("""COMPUTED_VALUE"""),"")</f>
        <v/>
      </c>
      <c r="F831" s="30"/>
      <c r="G831" s="34" t="str">
        <f>IFERROR(__xludf.DUMMYFUNCTION("""COMPUTED_VALUE"""),"")</f>
        <v/>
      </c>
      <c r="H831" s="34" t="str">
        <f>IFERROR(__xludf.DUMMYFUNCTION("""COMPUTED_VALUE"""),"")</f>
        <v/>
      </c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</row>
    <row r="832">
      <c r="A832" s="30"/>
      <c r="B832" s="30" t="str">
        <f>IFERROR(__xludf.DUMMYFUNCTION("""COMPUTED_VALUE"""),"")</f>
        <v/>
      </c>
      <c r="C832" s="30" t="str">
        <f>IFERROR(__xludf.DUMMYFUNCTION("""COMPUTED_VALUE"""),"")</f>
        <v/>
      </c>
      <c r="D832" s="30"/>
      <c r="E832" s="34" t="str">
        <f>IFERROR(__xludf.DUMMYFUNCTION("""COMPUTED_VALUE"""),"")</f>
        <v/>
      </c>
      <c r="F832" s="30"/>
      <c r="G832" s="34" t="str">
        <f>IFERROR(__xludf.DUMMYFUNCTION("""COMPUTED_VALUE"""),"")</f>
        <v/>
      </c>
      <c r="H832" s="34" t="str">
        <f>IFERROR(__xludf.DUMMYFUNCTION("""COMPUTED_VALUE"""),"")</f>
        <v/>
      </c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</row>
    <row r="833">
      <c r="A833" s="30"/>
      <c r="B833" s="30" t="str">
        <f>IFERROR(__xludf.DUMMYFUNCTION("""COMPUTED_VALUE"""),"")</f>
        <v/>
      </c>
      <c r="C833" s="30" t="str">
        <f>IFERROR(__xludf.DUMMYFUNCTION("""COMPUTED_VALUE"""),"")</f>
        <v/>
      </c>
      <c r="D833" s="30"/>
      <c r="E833" s="34" t="str">
        <f>IFERROR(__xludf.DUMMYFUNCTION("""COMPUTED_VALUE"""),"")</f>
        <v/>
      </c>
      <c r="F833" s="30"/>
      <c r="G833" s="34" t="str">
        <f>IFERROR(__xludf.DUMMYFUNCTION("""COMPUTED_VALUE"""),"")</f>
        <v/>
      </c>
      <c r="H833" s="34" t="str">
        <f>IFERROR(__xludf.DUMMYFUNCTION("""COMPUTED_VALUE"""),"")</f>
        <v/>
      </c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</row>
    <row r="834">
      <c r="A834" s="30"/>
      <c r="B834" s="30" t="str">
        <f>IFERROR(__xludf.DUMMYFUNCTION("""COMPUTED_VALUE"""),"")</f>
        <v/>
      </c>
      <c r="C834" s="30" t="str">
        <f>IFERROR(__xludf.DUMMYFUNCTION("""COMPUTED_VALUE"""),"")</f>
        <v/>
      </c>
      <c r="D834" s="30"/>
      <c r="E834" s="34" t="str">
        <f>IFERROR(__xludf.DUMMYFUNCTION("""COMPUTED_VALUE"""),"")</f>
        <v/>
      </c>
      <c r="F834" s="30"/>
      <c r="G834" s="34" t="str">
        <f>IFERROR(__xludf.DUMMYFUNCTION("""COMPUTED_VALUE"""),"")</f>
        <v/>
      </c>
      <c r="H834" s="34" t="str">
        <f>IFERROR(__xludf.DUMMYFUNCTION("""COMPUTED_VALUE"""),"")</f>
        <v/>
      </c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</row>
    <row r="835">
      <c r="A835" s="30"/>
      <c r="B835" s="30" t="str">
        <f>IFERROR(__xludf.DUMMYFUNCTION("""COMPUTED_VALUE"""),"")</f>
        <v/>
      </c>
      <c r="C835" s="30" t="str">
        <f>IFERROR(__xludf.DUMMYFUNCTION("""COMPUTED_VALUE"""),"")</f>
        <v/>
      </c>
      <c r="D835" s="30"/>
      <c r="E835" s="34" t="str">
        <f>IFERROR(__xludf.DUMMYFUNCTION("""COMPUTED_VALUE"""),"")</f>
        <v/>
      </c>
      <c r="F835" s="30"/>
      <c r="G835" s="34" t="str">
        <f>IFERROR(__xludf.DUMMYFUNCTION("""COMPUTED_VALUE"""),"")</f>
        <v/>
      </c>
      <c r="H835" s="34" t="str">
        <f>IFERROR(__xludf.DUMMYFUNCTION("""COMPUTED_VALUE"""),"")</f>
        <v/>
      </c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</row>
    <row r="836">
      <c r="A836" s="30"/>
      <c r="B836" s="30" t="str">
        <f>IFERROR(__xludf.DUMMYFUNCTION("""COMPUTED_VALUE"""),"")</f>
        <v/>
      </c>
      <c r="C836" s="30" t="str">
        <f>IFERROR(__xludf.DUMMYFUNCTION("""COMPUTED_VALUE"""),"")</f>
        <v/>
      </c>
      <c r="D836" s="30"/>
      <c r="E836" s="34" t="str">
        <f>IFERROR(__xludf.DUMMYFUNCTION("""COMPUTED_VALUE"""),"")</f>
        <v/>
      </c>
      <c r="F836" s="30"/>
      <c r="G836" s="34" t="str">
        <f>IFERROR(__xludf.DUMMYFUNCTION("""COMPUTED_VALUE"""),"")</f>
        <v/>
      </c>
      <c r="H836" s="34" t="str">
        <f>IFERROR(__xludf.DUMMYFUNCTION("""COMPUTED_VALUE"""),"")</f>
        <v/>
      </c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</row>
    <row r="837">
      <c r="A837" s="30"/>
      <c r="B837" s="30" t="str">
        <f>IFERROR(__xludf.DUMMYFUNCTION("""COMPUTED_VALUE"""),"")</f>
        <v/>
      </c>
      <c r="C837" s="30" t="str">
        <f>IFERROR(__xludf.DUMMYFUNCTION("""COMPUTED_VALUE"""),"")</f>
        <v/>
      </c>
      <c r="D837" s="30"/>
      <c r="E837" s="34" t="str">
        <f>IFERROR(__xludf.DUMMYFUNCTION("""COMPUTED_VALUE"""),"")</f>
        <v/>
      </c>
      <c r="F837" s="30"/>
      <c r="G837" s="34" t="str">
        <f>IFERROR(__xludf.DUMMYFUNCTION("""COMPUTED_VALUE"""),"")</f>
        <v/>
      </c>
      <c r="H837" s="34" t="str">
        <f>IFERROR(__xludf.DUMMYFUNCTION("""COMPUTED_VALUE"""),"")</f>
        <v/>
      </c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</row>
    <row r="838">
      <c r="A838" s="30"/>
      <c r="B838" s="30" t="str">
        <f>IFERROR(__xludf.DUMMYFUNCTION("""COMPUTED_VALUE"""),"")</f>
        <v/>
      </c>
      <c r="C838" s="30" t="str">
        <f>IFERROR(__xludf.DUMMYFUNCTION("""COMPUTED_VALUE"""),"")</f>
        <v/>
      </c>
      <c r="D838" s="30"/>
      <c r="E838" s="34" t="str">
        <f>IFERROR(__xludf.DUMMYFUNCTION("""COMPUTED_VALUE"""),"")</f>
        <v/>
      </c>
      <c r="F838" s="30"/>
      <c r="G838" s="34" t="str">
        <f>IFERROR(__xludf.DUMMYFUNCTION("""COMPUTED_VALUE"""),"")</f>
        <v/>
      </c>
      <c r="H838" s="34" t="str">
        <f>IFERROR(__xludf.DUMMYFUNCTION("""COMPUTED_VALUE"""),"")</f>
        <v/>
      </c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</row>
    <row r="839">
      <c r="A839" s="30"/>
      <c r="B839" s="30" t="str">
        <f>IFERROR(__xludf.DUMMYFUNCTION("""COMPUTED_VALUE"""),"")</f>
        <v/>
      </c>
      <c r="C839" s="30" t="str">
        <f>IFERROR(__xludf.DUMMYFUNCTION("""COMPUTED_VALUE"""),"")</f>
        <v/>
      </c>
      <c r="D839" s="30"/>
      <c r="E839" s="34" t="str">
        <f>IFERROR(__xludf.DUMMYFUNCTION("""COMPUTED_VALUE"""),"")</f>
        <v/>
      </c>
      <c r="F839" s="30"/>
      <c r="G839" s="34" t="str">
        <f>IFERROR(__xludf.DUMMYFUNCTION("""COMPUTED_VALUE"""),"")</f>
        <v/>
      </c>
      <c r="H839" s="34" t="str">
        <f>IFERROR(__xludf.DUMMYFUNCTION("""COMPUTED_VALUE"""),"")</f>
        <v/>
      </c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</row>
    <row r="840">
      <c r="A840" s="30"/>
      <c r="B840" s="30" t="str">
        <f>IFERROR(__xludf.DUMMYFUNCTION("""COMPUTED_VALUE"""),"")</f>
        <v/>
      </c>
      <c r="C840" s="30" t="str">
        <f>IFERROR(__xludf.DUMMYFUNCTION("""COMPUTED_VALUE"""),"")</f>
        <v/>
      </c>
      <c r="D840" s="30"/>
      <c r="E840" s="34" t="str">
        <f>IFERROR(__xludf.DUMMYFUNCTION("""COMPUTED_VALUE"""),"")</f>
        <v/>
      </c>
      <c r="F840" s="30"/>
      <c r="G840" s="34" t="str">
        <f>IFERROR(__xludf.DUMMYFUNCTION("""COMPUTED_VALUE"""),"")</f>
        <v/>
      </c>
      <c r="H840" s="34" t="str">
        <f>IFERROR(__xludf.DUMMYFUNCTION("""COMPUTED_VALUE"""),"")</f>
        <v/>
      </c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</row>
    <row r="841">
      <c r="A841" s="30"/>
      <c r="B841" s="30" t="str">
        <f>IFERROR(__xludf.DUMMYFUNCTION("""COMPUTED_VALUE"""),"")</f>
        <v/>
      </c>
      <c r="C841" s="30" t="str">
        <f>IFERROR(__xludf.DUMMYFUNCTION("""COMPUTED_VALUE"""),"")</f>
        <v/>
      </c>
      <c r="D841" s="30"/>
      <c r="E841" s="34" t="str">
        <f>IFERROR(__xludf.DUMMYFUNCTION("""COMPUTED_VALUE"""),"")</f>
        <v/>
      </c>
      <c r="F841" s="30"/>
      <c r="G841" s="34" t="str">
        <f>IFERROR(__xludf.DUMMYFUNCTION("""COMPUTED_VALUE"""),"")</f>
        <v/>
      </c>
      <c r="H841" s="34" t="str">
        <f>IFERROR(__xludf.DUMMYFUNCTION("""COMPUTED_VALUE"""),"")</f>
        <v/>
      </c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</row>
    <row r="842">
      <c r="A842" s="30"/>
      <c r="B842" s="30" t="str">
        <f>IFERROR(__xludf.DUMMYFUNCTION("""COMPUTED_VALUE"""),"")</f>
        <v/>
      </c>
      <c r="C842" s="30" t="str">
        <f>IFERROR(__xludf.DUMMYFUNCTION("""COMPUTED_VALUE"""),"")</f>
        <v/>
      </c>
      <c r="D842" s="30"/>
      <c r="E842" s="34" t="str">
        <f>IFERROR(__xludf.DUMMYFUNCTION("""COMPUTED_VALUE"""),"")</f>
        <v/>
      </c>
      <c r="F842" s="30"/>
      <c r="G842" s="34" t="str">
        <f>IFERROR(__xludf.DUMMYFUNCTION("""COMPUTED_VALUE"""),"")</f>
        <v/>
      </c>
      <c r="H842" s="34" t="str">
        <f>IFERROR(__xludf.DUMMYFUNCTION("""COMPUTED_VALUE"""),"")</f>
        <v/>
      </c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</row>
    <row r="843">
      <c r="A843" s="30"/>
      <c r="B843" s="30" t="str">
        <f>IFERROR(__xludf.DUMMYFUNCTION("""COMPUTED_VALUE"""),"")</f>
        <v/>
      </c>
      <c r="C843" s="30" t="str">
        <f>IFERROR(__xludf.DUMMYFUNCTION("""COMPUTED_VALUE"""),"")</f>
        <v/>
      </c>
      <c r="D843" s="30"/>
      <c r="E843" s="34" t="str">
        <f>IFERROR(__xludf.DUMMYFUNCTION("""COMPUTED_VALUE"""),"")</f>
        <v/>
      </c>
      <c r="F843" s="30"/>
      <c r="G843" s="34" t="str">
        <f>IFERROR(__xludf.DUMMYFUNCTION("""COMPUTED_VALUE"""),"")</f>
        <v/>
      </c>
      <c r="H843" s="34" t="str">
        <f>IFERROR(__xludf.DUMMYFUNCTION("""COMPUTED_VALUE"""),"")</f>
        <v/>
      </c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</row>
    <row r="844">
      <c r="A844" s="30"/>
      <c r="B844" s="30" t="str">
        <f>IFERROR(__xludf.DUMMYFUNCTION("""COMPUTED_VALUE"""),"")</f>
        <v/>
      </c>
      <c r="C844" s="30" t="str">
        <f>IFERROR(__xludf.DUMMYFUNCTION("""COMPUTED_VALUE"""),"")</f>
        <v/>
      </c>
      <c r="D844" s="30"/>
      <c r="E844" s="34" t="str">
        <f>IFERROR(__xludf.DUMMYFUNCTION("""COMPUTED_VALUE"""),"")</f>
        <v/>
      </c>
      <c r="F844" s="30"/>
      <c r="G844" s="34" t="str">
        <f>IFERROR(__xludf.DUMMYFUNCTION("""COMPUTED_VALUE"""),"")</f>
        <v/>
      </c>
      <c r="H844" s="34" t="str">
        <f>IFERROR(__xludf.DUMMYFUNCTION("""COMPUTED_VALUE"""),"")</f>
        <v/>
      </c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</row>
    <row r="845">
      <c r="A845" s="30"/>
      <c r="B845" s="30" t="str">
        <f>IFERROR(__xludf.DUMMYFUNCTION("""COMPUTED_VALUE"""),"")</f>
        <v/>
      </c>
      <c r="C845" s="30" t="str">
        <f>IFERROR(__xludf.DUMMYFUNCTION("""COMPUTED_VALUE"""),"")</f>
        <v/>
      </c>
      <c r="D845" s="30"/>
      <c r="E845" s="34" t="str">
        <f>IFERROR(__xludf.DUMMYFUNCTION("""COMPUTED_VALUE"""),"")</f>
        <v/>
      </c>
      <c r="F845" s="30"/>
      <c r="G845" s="34" t="str">
        <f>IFERROR(__xludf.DUMMYFUNCTION("""COMPUTED_VALUE"""),"")</f>
        <v/>
      </c>
      <c r="H845" s="34" t="str">
        <f>IFERROR(__xludf.DUMMYFUNCTION("""COMPUTED_VALUE"""),"")</f>
        <v/>
      </c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</row>
    <row r="846">
      <c r="A846" s="30"/>
      <c r="B846" s="30" t="str">
        <f>IFERROR(__xludf.DUMMYFUNCTION("""COMPUTED_VALUE"""),"")</f>
        <v/>
      </c>
      <c r="C846" s="30" t="str">
        <f>IFERROR(__xludf.DUMMYFUNCTION("""COMPUTED_VALUE"""),"")</f>
        <v/>
      </c>
      <c r="D846" s="30"/>
      <c r="E846" s="34" t="str">
        <f>IFERROR(__xludf.DUMMYFUNCTION("""COMPUTED_VALUE"""),"")</f>
        <v/>
      </c>
      <c r="F846" s="30"/>
      <c r="G846" s="34" t="str">
        <f>IFERROR(__xludf.DUMMYFUNCTION("""COMPUTED_VALUE"""),"")</f>
        <v/>
      </c>
      <c r="H846" s="34" t="str">
        <f>IFERROR(__xludf.DUMMYFUNCTION("""COMPUTED_VALUE"""),"")</f>
        <v/>
      </c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</row>
    <row r="847">
      <c r="A847" s="30"/>
      <c r="B847" s="30" t="str">
        <f>IFERROR(__xludf.DUMMYFUNCTION("""COMPUTED_VALUE"""),"")</f>
        <v/>
      </c>
      <c r="C847" s="30" t="str">
        <f>IFERROR(__xludf.DUMMYFUNCTION("""COMPUTED_VALUE"""),"")</f>
        <v/>
      </c>
      <c r="D847" s="30"/>
      <c r="E847" s="34" t="str">
        <f>IFERROR(__xludf.DUMMYFUNCTION("""COMPUTED_VALUE"""),"")</f>
        <v/>
      </c>
      <c r="F847" s="30"/>
      <c r="G847" s="34" t="str">
        <f>IFERROR(__xludf.DUMMYFUNCTION("""COMPUTED_VALUE"""),"")</f>
        <v/>
      </c>
      <c r="H847" s="34" t="str">
        <f>IFERROR(__xludf.DUMMYFUNCTION("""COMPUTED_VALUE"""),"")</f>
        <v/>
      </c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</row>
    <row r="848">
      <c r="A848" s="30"/>
      <c r="B848" s="30" t="str">
        <f>IFERROR(__xludf.DUMMYFUNCTION("""COMPUTED_VALUE"""),"")</f>
        <v/>
      </c>
      <c r="C848" s="30" t="str">
        <f>IFERROR(__xludf.DUMMYFUNCTION("""COMPUTED_VALUE"""),"")</f>
        <v/>
      </c>
      <c r="D848" s="30"/>
      <c r="E848" s="34" t="str">
        <f>IFERROR(__xludf.DUMMYFUNCTION("""COMPUTED_VALUE"""),"")</f>
        <v/>
      </c>
      <c r="F848" s="30"/>
      <c r="G848" s="34" t="str">
        <f>IFERROR(__xludf.DUMMYFUNCTION("""COMPUTED_VALUE"""),"")</f>
        <v/>
      </c>
      <c r="H848" s="34" t="str">
        <f>IFERROR(__xludf.DUMMYFUNCTION("""COMPUTED_VALUE"""),"")</f>
        <v/>
      </c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</row>
    <row r="849">
      <c r="A849" s="30"/>
      <c r="B849" s="30" t="str">
        <f>IFERROR(__xludf.DUMMYFUNCTION("""COMPUTED_VALUE"""),"")</f>
        <v/>
      </c>
      <c r="C849" s="30" t="str">
        <f>IFERROR(__xludf.DUMMYFUNCTION("""COMPUTED_VALUE"""),"")</f>
        <v/>
      </c>
      <c r="D849" s="30"/>
      <c r="E849" s="34" t="str">
        <f>IFERROR(__xludf.DUMMYFUNCTION("""COMPUTED_VALUE"""),"")</f>
        <v/>
      </c>
      <c r="F849" s="30"/>
      <c r="G849" s="34" t="str">
        <f>IFERROR(__xludf.DUMMYFUNCTION("""COMPUTED_VALUE"""),"")</f>
        <v/>
      </c>
      <c r="H849" s="34" t="str">
        <f>IFERROR(__xludf.DUMMYFUNCTION("""COMPUTED_VALUE"""),"")</f>
        <v/>
      </c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</row>
    <row r="850">
      <c r="A850" s="30"/>
      <c r="B850" s="30" t="str">
        <f>IFERROR(__xludf.DUMMYFUNCTION("""COMPUTED_VALUE"""),"")</f>
        <v/>
      </c>
      <c r="C850" s="30" t="str">
        <f>IFERROR(__xludf.DUMMYFUNCTION("""COMPUTED_VALUE"""),"")</f>
        <v/>
      </c>
      <c r="D850" s="30"/>
      <c r="E850" s="34" t="str">
        <f>IFERROR(__xludf.DUMMYFUNCTION("""COMPUTED_VALUE"""),"")</f>
        <v/>
      </c>
      <c r="F850" s="30"/>
      <c r="G850" s="34" t="str">
        <f>IFERROR(__xludf.DUMMYFUNCTION("""COMPUTED_VALUE"""),"")</f>
        <v/>
      </c>
      <c r="H850" s="34" t="str">
        <f>IFERROR(__xludf.DUMMYFUNCTION("""COMPUTED_VALUE"""),"")</f>
        <v/>
      </c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</row>
    <row r="851">
      <c r="A851" s="30"/>
      <c r="B851" s="30" t="str">
        <f>IFERROR(__xludf.DUMMYFUNCTION("""COMPUTED_VALUE"""),"")</f>
        <v/>
      </c>
      <c r="C851" s="30" t="str">
        <f>IFERROR(__xludf.DUMMYFUNCTION("""COMPUTED_VALUE"""),"")</f>
        <v/>
      </c>
      <c r="D851" s="30"/>
      <c r="E851" s="34" t="str">
        <f>IFERROR(__xludf.DUMMYFUNCTION("""COMPUTED_VALUE"""),"")</f>
        <v/>
      </c>
      <c r="F851" s="30"/>
      <c r="G851" s="34" t="str">
        <f>IFERROR(__xludf.DUMMYFUNCTION("""COMPUTED_VALUE"""),"")</f>
        <v/>
      </c>
      <c r="H851" s="34" t="str">
        <f>IFERROR(__xludf.DUMMYFUNCTION("""COMPUTED_VALUE"""),"")</f>
        <v/>
      </c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</row>
    <row r="852">
      <c r="A852" s="30"/>
      <c r="B852" s="30" t="str">
        <f>IFERROR(__xludf.DUMMYFUNCTION("""COMPUTED_VALUE"""),"")</f>
        <v/>
      </c>
      <c r="C852" s="30" t="str">
        <f>IFERROR(__xludf.DUMMYFUNCTION("""COMPUTED_VALUE"""),"")</f>
        <v/>
      </c>
      <c r="D852" s="30"/>
      <c r="E852" s="34" t="str">
        <f>IFERROR(__xludf.DUMMYFUNCTION("""COMPUTED_VALUE"""),"")</f>
        <v/>
      </c>
      <c r="F852" s="30"/>
      <c r="G852" s="34" t="str">
        <f>IFERROR(__xludf.DUMMYFUNCTION("""COMPUTED_VALUE"""),"")</f>
        <v/>
      </c>
      <c r="H852" s="34" t="str">
        <f>IFERROR(__xludf.DUMMYFUNCTION("""COMPUTED_VALUE"""),"")</f>
        <v/>
      </c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</row>
    <row r="853">
      <c r="A853" s="30"/>
      <c r="B853" s="30" t="str">
        <f>IFERROR(__xludf.DUMMYFUNCTION("""COMPUTED_VALUE"""),"")</f>
        <v/>
      </c>
      <c r="C853" s="30" t="str">
        <f>IFERROR(__xludf.DUMMYFUNCTION("""COMPUTED_VALUE"""),"")</f>
        <v/>
      </c>
      <c r="D853" s="30"/>
      <c r="E853" s="34" t="str">
        <f>IFERROR(__xludf.DUMMYFUNCTION("""COMPUTED_VALUE"""),"")</f>
        <v/>
      </c>
      <c r="F853" s="30"/>
      <c r="G853" s="34" t="str">
        <f>IFERROR(__xludf.DUMMYFUNCTION("""COMPUTED_VALUE"""),"")</f>
        <v/>
      </c>
      <c r="H853" s="34" t="str">
        <f>IFERROR(__xludf.DUMMYFUNCTION("""COMPUTED_VALUE"""),"")</f>
        <v/>
      </c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</row>
    <row r="854">
      <c r="A854" s="30"/>
      <c r="B854" s="30" t="str">
        <f>IFERROR(__xludf.DUMMYFUNCTION("""COMPUTED_VALUE"""),"")</f>
        <v/>
      </c>
      <c r="C854" s="30" t="str">
        <f>IFERROR(__xludf.DUMMYFUNCTION("""COMPUTED_VALUE"""),"")</f>
        <v/>
      </c>
      <c r="D854" s="30"/>
      <c r="E854" s="34" t="str">
        <f>IFERROR(__xludf.DUMMYFUNCTION("""COMPUTED_VALUE"""),"")</f>
        <v/>
      </c>
      <c r="F854" s="30"/>
      <c r="G854" s="34" t="str">
        <f>IFERROR(__xludf.DUMMYFUNCTION("""COMPUTED_VALUE"""),"")</f>
        <v/>
      </c>
      <c r="H854" s="34" t="str">
        <f>IFERROR(__xludf.DUMMYFUNCTION("""COMPUTED_VALUE"""),"")</f>
        <v/>
      </c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</row>
    <row r="855">
      <c r="A855" s="30"/>
      <c r="B855" s="30" t="str">
        <f>IFERROR(__xludf.DUMMYFUNCTION("""COMPUTED_VALUE"""),"")</f>
        <v/>
      </c>
      <c r="C855" s="30" t="str">
        <f>IFERROR(__xludf.DUMMYFUNCTION("""COMPUTED_VALUE"""),"")</f>
        <v/>
      </c>
      <c r="D855" s="30"/>
      <c r="E855" s="34" t="str">
        <f>IFERROR(__xludf.DUMMYFUNCTION("""COMPUTED_VALUE"""),"")</f>
        <v/>
      </c>
      <c r="F855" s="30"/>
      <c r="G855" s="34" t="str">
        <f>IFERROR(__xludf.DUMMYFUNCTION("""COMPUTED_VALUE"""),"")</f>
        <v/>
      </c>
      <c r="H855" s="34" t="str">
        <f>IFERROR(__xludf.DUMMYFUNCTION("""COMPUTED_VALUE"""),"")</f>
        <v/>
      </c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</row>
    <row r="856">
      <c r="A856" s="30"/>
      <c r="B856" s="30" t="str">
        <f>IFERROR(__xludf.DUMMYFUNCTION("""COMPUTED_VALUE"""),"")</f>
        <v/>
      </c>
      <c r="C856" s="30" t="str">
        <f>IFERROR(__xludf.DUMMYFUNCTION("""COMPUTED_VALUE"""),"")</f>
        <v/>
      </c>
      <c r="D856" s="30"/>
      <c r="E856" s="34" t="str">
        <f>IFERROR(__xludf.DUMMYFUNCTION("""COMPUTED_VALUE"""),"")</f>
        <v/>
      </c>
      <c r="F856" s="30"/>
      <c r="G856" s="34" t="str">
        <f>IFERROR(__xludf.DUMMYFUNCTION("""COMPUTED_VALUE"""),"")</f>
        <v/>
      </c>
      <c r="H856" s="34" t="str">
        <f>IFERROR(__xludf.DUMMYFUNCTION("""COMPUTED_VALUE"""),"")</f>
        <v/>
      </c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</row>
    <row r="857">
      <c r="A857" s="30"/>
      <c r="B857" s="30" t="str">
        <f>IFERROR(__xludf.DUMMYFUNCTION("""COMPUTED_VALUE"""),"")</f>
        <v/>
      </c>
      <c r="C857" s="30" t="str">
        <f>IFERROR(__xludf.DUMMYFUNCTION("""COMPUTED_VALUE"""),"")</f>
        <v/>
      </c>
      <c r="D857" s="30"/>
      <c r="E857" s="34" t="str">
        <f>IFERROR(__xludf.DUMMYFUNCTION("""COMPUTED_VALUE"""),"")</f>
        <v/>
      </c>
      <c r="F857" s="30"/>
      <c r="G857" s="34" t="str">
        <f>IFERROR(__xludf.DUMMYFUNCTION("""COMPUTED_VALUE"""),"")</f>
        <v/>
      </c>
      <c r="H857" s="34" t="str">
        <f>IFERROR(__xludf.DUMMYFUNCTION("""COMPUTED_VALUE"""),"")</f>
        <v/>
      </c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</row>
    <row r="858">
      <c r="A858" s="30"/>
      <c r="B858" s="30" t="str">
        <f>IFERROR(__xludf.DUMMYFUNCTION("""COMPUTED_VALUE"""),"")</f>
        <v/>
      </c>
      <c r="C858" s="30" t="str">
        <f>IFERROR(__xludf.DUMMYFUNCTION("""COMPUTED_VALUE"""),"")</f>
        <v/>
      </c>
      <c r="D858" s="30"/>
      <c r="E858" s="34" t="str">
        <f>IFERROR(__xludf.DUMMYFUNCTION("""COMPUTED_VALUE"""),"")</f>
        <v/>
      </c>
      <c r="F858" s="30"/>
      <c r="G858" s="34" t="str">
        <f>IFERROR(__xludf.DUMMYFUNCTION("""COMPUTED_VALUE"""),"")</f>
        <v/>
      </c>
      <c r="H858" s="34" t="str">
        <f>IFERROR(__xludf.DUMMYFUNCTION("""COMPUTED_VALUE"""),"")</f>
        <v/>
      </c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</row>
    <row r="859">
      <c r="A859" s="30"/>
      <c r="B859" s="30" t="str">
        <f>IFERROR(__xludf.DUMMYFUNCTION("""COMPUTED_VALUE"""),"")</f>
        <v/>
      </c>
      <c r="C859" s="30" t="str">
        <f>IFERROR(__xludf.DUMMYFUNCTION("""COMPUTED_VALUE"""),"")</f>
        <v/>
      </c>
      <c r="D859" s="30"/>
      <c r="E859" s="34" t="str">
        <f>IFERROR(__xludf.DUMMYFUNCTION("""COMPUTED_VALUE"""),"")</f>
        <v/>
      </c>
      <c r="F859" s="30"/>
      <c r="G859" s="34" t="str">
        <f>IFERROR(__xludf.DUMMYFUNCTION("""COMPUTED_VALUE"""),"")</f>
        <v/>
      </c>
      <c r="H859" s="34" t="str">
        <f>IFERROR(__xludf.DUMMYFUNCTION("""COMPUTED_VALUE"""),"")</f>
        <v/>
      </c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</row>
    <row r="860">
      <c r="A860" s="30"/>
      <c r="B860" s="30" t="str">
        <f>IFERROR(__xludf.DUMMYFUNCTION("""COMPUTED_VALUE"""),"")</f>
        <v/>
      </c>
      <c r="C860" s="30" t="str">
        <f>IFERROR(__xludf.DUMMYFUNCTION("""COMPUTED_VALUE"""),"")</f>
        <v/>
      </c>
      <c r="D860" s="30"/>
      <c r="E860" s="34" t="str">
        <f>IFERROR(__xludf.DUMMYFUNCTION("""COMPUTED_VALUE"""),"")</f>
        <v/>
      </c>
      <c r="F860" s="30"/>
      <c r="G860" s="34" t="str">
        <f>IFERROR(__xludf.DUMMYFUNCTION("""COMPUTED_VALUE"""),"")</f>
        <v/>
      </c>
      <c r="H860" s="34" t="str">
        <f>IFERROR(__xludf.DUMMYFUNCTION("""COMPUTED_VALUE"""),"")</f>
        <v/>
      </c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</row>
    <row r="861">
      <c r="A861" s="30"/>
      <c r="B861" s="30" t="str">
        <f>IFERROR(__xludf.DUMMYFUNCTION("""COMPUTED_VALUE"""),"")</f>
        <v/>
      </c>
      <c r="C861" s="30" t="str">
        <f>IFERROR(__xludf.DUMMYFUNCTION("""COMPUTED_VALUE"""),"")</f>
        <v/>
      </c>
      <c r="D861" s="30"/>
      <c r="E861" s="34" t="str">
        <f>IFERROR(__xludf.DUMMYFUNCTION("""COMPUTED_VALUE"""),"")</f>
        <v/>
      </c>
      <c r="F861" s="30"/>
      <c r="G861" s="34" t="str">
        <f>IFERROR(__xludf.DUMMYFUNCTION("""COMPUTED_VALUE"""),"")</f>
        <v/>
      </c>
      <c r="H861" s="34" t="str">
        <f>IFERROR(__xludf.DUMMYFUNCTION("""COMPUTED_VALUE"""),"")</f>
        <v/>
      </c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</row>
    <row r="862">
      <c r="A862" s="30"/>
      <c r="B862" s="30" t="str">
        <f>IFERROR(__xludf.DUMMYFUNCTION("""COMPUTED_VALUE"""),"")</f>
        <v/>
      </c>
      <c r="C862" s="30" t="str">
        <f>IFERROR(__xludf.DUMMYFUNCTION("""COMPUTED_VALUE"""),"")</f>
        <v/>
      </c>
      <c r="D862" s="30"/>
      <c r="E862" s="34" t="str">
        <f>IFERROR(__xludf.DUMMYFUNCTION("""COMPUTED_VALUE"""),"")</f>
        <v/>
      </c>
      <c r="F862" s="30"/>
      <c r="G862" s="34" t="str">
        <f>IFERROR(__xludf.DUMMYFUNCTION("""COMPUTED_VALUE"""),"")</f>
        <v/>
      </c>
      <c r="H862" s="34" t="str">
        <f>IFERROR(__xludf.DUMMYFUNCTION("""COMPUTED_VALUE"""),"")</f>
        <v/>
      </c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>
      <c r="A863" s="30"/>
      <c r="B863" s="30" t="str">
        <f>IFERROR(__xludf.DUMMYFUNCTION("""COMPUTED_VALUE"""),"")</f>
        <v/>
      </c>
      <c r="C863" s="30" t="str">
        <f>IFERROR(__xludf.DUMMYFUNCTION("""COMPUTED_VALUE"""),"")</f>
        <v/>
      </c>
      <c r="D863" s="30"/>
      <c r="E863" s="34" t="str">
        <f>IFERROR(__xludf.DUMMYFUNCTION("""COMPUTED_VALUE"""),"")</f>
        <v/>
      </c>
      <c r="F863" s="30"/>
      <c r="G863" s="34" t="str">
        <f>IFERROR(__xludf.DUMMYFUNCTION("""COMPUTED_VALUE"""),"")</f>
        <v/>
      </c>
      <c r="H863" s="34" t="str">
        <f>IFERROR(__xludf.DUMMYFUNCTION("""COMPUTED_VALUE"""),"")</f>
        <v/>
      </c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</row>
    <row r="864">
      <c r="A864" s="30"/>
      <c r="B864" s="30" t="str">
        <f>IFERROR(__xludf.DUMMYFUNCTION("""COMPUTED_VALUE"""),"")</f>
        <v/>
      </c>
      <c r="C864" s="30" t="str">
        <f>IFERROR(__xludf.DUMMYFUNCTION("""COMPUTED_VALUE"""),"")</f>
        <v/>
      </c>
      <c r="D864" s="30"/>
      <c r="E864" s="34" t="str">
        <f>IFERROR(__xludf.DUMMYFUNCTION("""COMPUTED_VALUE"""),"")</f>
        <v/>
      </c>
      <c r="F864" s="30"/>
      <c r="G864" s="34" t="str">
        <f>IFERROR(__xludf.DUMMYFUNCTION("""COMPUTED_VALUE"""),"")</f>
        <v/>
      </c>
      <c r="H864" s="34" t="str">
        <f>IFERROR(__xludf.DUMMYFUNCTION("""COMPUTED_VALUE"""),"")</f>
        <v/>
      </c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</row>
    <row r="865">
      <c r="A865" s="30"/>
      <c r="B865" s="30" t="str">
        <f>IFERROR(__xludf.DUMMYFUNCTION("""COMPUTED_VALUE"""),"")</f>
        <v/>
      </c>
      <c r="C865" s="30" t="str">
        <f>IFERROR(__xludf.DUMMYFUNCTION("""COMPUTED_VALUE"""),"")</f>
        <v/>
      </c>
      <c r="D865" s="30"/>
      <c r="E865" s="34" t="str">
        <f>IFERROR(__xludf.DUMMYFUNCTION("""COMPUTED_VALUE"""),"")</f>
        <v/>
      </c>
      <c r="F865" s="30"/>
      <c r="G865" s="34" t="str">
        <f>IFERROR(__xludf.DUMMYFUNCTION("""COMPUTED_VALUE"""),"")</f>
        <v/>
      </c>
      <c r="H865" s="34" t="str">
        <f>IFERROR(__xludf.DUMMYFUNCTION("""COMPUTED_VALUE"""),"")</f>
        <v/>
      </c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</row>
    <row r="866">
      <c r="A866" s="30"/>
      <c r="B866" s="30" t="str">
        <f>IFERROR(__xludf.DUMMYFUNCTION("""COMPUTED_VALUE"""),"")</f>
        <v/>
      </c>
      <c r="C866" s="30" t="str">
        <f>IFERROR(__xludf.DUMMYFUNCTION("""COMPUTED_VALUE"""),"")</f>
        <v/>
      </c>
      <c r="D866" s="30"/>
      <c r="E866" s="34" t="str">
        <f>IFERROR(__xludf.DUMMYFUNCTION("""COMPUTED_VALUE"""),"")</f>
        <v/>
      </c>
      <c r="F866" s="30"/>
      <c r="G866" s="34" t="str">
        <f>IFERROR(__xludf.DUMMYFUNCTION("""COMPUTED_VALUE"""),"")</f>
        <v/>
      </c>
      <c r="H866" s="34" t="str">
        <f>IFERROR(__xludf.DUMMYFUNCTION("""COMPUTED_VALUE"""),"")</f>
        <v/>
      </c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</row>
    <row r="867">
      <c r="A867" s="30"/>
      <c r="B867" s="30" t="str">
        <f>IFERROR(__xludf.DUMMYFUNCTION("""COMPUTED_VALUE"""),"")</f>
        <v/>
      </c>
      <c r="C867" s="30" t="str">
        <f>IFERROR(__xludf.DUMMYFUNCTION("""COMPUTED_VALUE"""),"")</f>
        <v/>
      </c>
      <c r="D867" s="30"/>
      <c r="E867" s="34" t="str">
        <f>IFERROR(__xludf.DUMMYFUNCTION("""COMPUTED_VALUE"""),"")</f>
        <v/>
      </c>
      <c r="F867" s="30"/>
      <c r="G867" s="34" t="str">
        <f>IFERROR(__xludf.DUMMYFUNCTION("""COMPUTED_VALUE"""),"")</f>
        <v/>
      </c>
      <c r="H867" s="34" t="str">
        <f>IFERROR(__xludf.DUMMYFUNCTION("""COMPUTED_VALUE"""),"")</f>
        <v/>
      </c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</row>
    <row r="868">
      <c r="A868" s="30"/>
      <c r="B868" s="30" t="str">
        <f>IFERROR(__xludf.DUMMYFUNCTION("""COMPUTED_VALUE"""),"")</f>
        <v/>
      </c>
      <c r="C868" s="30" t="str">
        <f>IFERROR(__xludf.DUMMYFUNCTION("""COMPUTED_VALUE"""),"")</f>
        <v/>
      </c>
      <c r="D868" s="30"/>
      <c r="E868" s="34" t="str">
        <f>IFERROR(__xludf.DUMMYFUNCTION("""COMPUTED_VALUE"""),"")</f>
        <v/>
      </c>
      <c r="F868" s="30"/>
      <c r="G868" s="34" t="str">
        <f>IFERROR(__xludf.DUMMYFUNCTION("""COMPUTED_VALUE"""),"")</f>
        <v/>
      </c>
      <c r="H868" s="34" t="str">
        <f>IFERROR(__xludf.DUMMYFUNCTION("""COMPUTED_VALUE"""),"")</f>
        <v/>
      </c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>
      <c r="A869" s="30"/>
      <c r="B869" s="30" t="str">
        <f>IFERROR(__xludf.DUMMYFUNCTION("""COMPUTED_VALUE"""),"")</f>
        <v/>
      </c>
      <c r="C869" s="30" t="str">
        <f>IFERROR(__xludf.DUMMYFUNCTION("""COMPUTED_VALUE"""),"")</f>
        <v/>
      </c>
      <c r="D869" s="30"/>
      <c r="E869" s="34" t="str">
        <f>IFERROR(__xludf.DUMMYFUNCTION("""COMPUTED_VALUE"""),"")</f>
        <v/>
      </c>
      <c r="F869" s="30"/>
      <c r="G869" s="34" t="str">
        <f>IFERROR(__xludf.DUMMYFUNCTION("""COMPUTED_VALUE"""),"")</f>
        <v/>
      </c>
      <c r="H869" s="34" t="str">
        <f>IFERROR(__xludf.DUMMYFUNCTION("""COMPUTED_VALUE"""),"")</f>
        <v/>
      </c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</row>
    <row r="870">
      <c r="A870" s="30"/>
      <c r="B870" s="30" t="str">
        <f>IFERROR(__xludf.DUMMYFUNCTION("""COMPUTED_VALUE"""),"")</f>
        <v/>
      </c>
      <c r="C870" s="30" t="str">
        <f>IFERROR(__xludf.DUMMYFUNCTION("""COMPUTED_VALUE"""),"")</f>
        <v/>
      </c>
      <c r="D870" s="30"/>
      <c r="E870" s="34" t="str">
        <f>IFERROR(__xludf.DUMMYFUNCTION("""COMPUTED_VALUE"""),"")</f>
        <v/>
      </c>
      <c r="F870" s="30"/>
      <c r="G870" s="34" t="str">
        <f>IFERROR(__xludf.DUMMYFUNCTION("""COMPUTED_VALUE"""),"")</f>
        <v/>
      </c>
      <c r="H870" s="34" t="str">
        <f>IFERROR(__xludf.DUMMYFUNCTION("""COMPUTED_VALUE"""),"")</f>
        <v/>
      </c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</row>
    <row r="871">
      <c r="A871" s="30"/>
      <c r="B871" s="30" t="str">
        <f>IFERROR(__xludf.DUMMYFUNCTION("""COMPUTED_VALUE"""),"")</f>
        <v/>
      </c>
      <c r="C871" s="30" t="str">
        <f>IFERROR(__xludf.DUMMYFUNCTION("""COMPUTED_VALUE"""),"")</f>
        <v/>
      </c>
      <c r="D871" s="30"/>
      <c r="E871" s="34" t="str">
        <f>IFERROR(__xludf.DUMMYFUNCTION("""COMPUTED_VALUE"""),"")</f>
        <v/>
      </c>
      <c r="F871" s="30"/>
      <c r="G871" s="34" t="str">
        <f>IFERROR(__xludf.DUMMYFUNCTION("""COMPUTED_VALUE"""),"")</f>
        <v/>
      </c>
      <c r="H871" s="34" t="str">
        <f>IFERROR(__xludf.DUMMYFUNCTION("""COMPUTED_VALUE"""),"")</f>
        <v/>
      </c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</row>
    <row r="872">
      <c r="A872" s="30"/>
      <c r="B872" s="30" t="str">
        <f>IFERROR(__xludf.DUMMYFUNCTION("""COMPUTED_VALUE"""),"")</f>
        <v/>
      </c>
      <c r="C872" s="30" t="str">
        <f>IFERROR(__xludf.DUMMYFUNCTION("""COMPUTED_VALUE"""),"")</f>
        <v/>
      </c>
      <c r="D872" s="30"/>
      <c r="E872" s="34" t="str">
        <f>IFERROR(__xludf.DUMMYFUNCTION("""COMPUTED_VALUE"""),"")</f>
        <v/>
      </c>
      <c r="F872" s="30"/>
      <c r="G872" s="34" t="str">
        <f>IFERROR(__xludf.DUMMYFUNCTION("""COMPUTED_VALUE"""),"")</f>
        <v/>
      </c>
      <c r="H872" s="34" t="str">
        <f>IFERROR(__xludf.DUMMYFUNCTION("""COMPUTED_VALUE"""),"")</f>
        <v/>
      </c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>
      <c r="A873" s="30"/>
      <c r="B873" s="30" t="str">
        <f>IFERROR(__xludf.DUMMYFUNCTION("""COMPUTED_VALUE"""),"")</f>
        <v/>
      </c>
      <c r="C873" s="30" t="str">
        <f>IFERROR(__xludf.DUMMYFUNCTION("""COMPUTED_VALUE"""),"")</f>
        <v/>
      </c>
      <c r="D873" s="30"/>
      <c r="E873" s="34" t="str">
        <f>IFERROR(__xludf.DUMMYFUNCTION("""COMPUTED_VALUE"""),"")</f>
        <v/>
      </c>
      <c r="F873" s="30"/>
      <c r="G873" s="34" t="str">
        <f>IFERROR(__xludf.DUMMYFUNCTION("""COMPUTED_VALUE"""),"")</f>
        <v/>
      </c>
      <c r="H873" s="34" t="str">
        <f>IFERROR(__xludf.DUMMYFUNCTION("""COMPUTED_VALUE"""),"")</f>
        <v/>
      </c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</row>
    <row r="874">
      <c r="A874" s="30"/>
      <c r="B874" s="30" t="str">
        <f>IFERROR(__xludf.DUMMYFUNCTION("""COMPUTED_VALUE"""),"")</f>
        <v/>
      </c>
      <c r="C874" s="30" t="str">
        <f>IFERROR(__xludf.DUMMYFUNCTION("""COMPUTED_VALUE"""),"")</f>
        <v/>
      </c>
      <c r="D874" s="30"/>
      <c r="E874" s="34" t="str">
        <f>IFERROR(__xludf.DUMMYFUNCTION("""COMPUTED_VALUE"""),"")</f>
        <v/>
      </c>
      <c r="F874" s="30"/>
      <c r="G874" s="34" t="str">
        <f>IFERROR(__xludf.DUMMYFUNCTION("""COMPUTED_VALUE"""),"")</f>
        <v/>
      </c>
      <c r="H874" s="34" t="str">
        <f>IFERROR(__xludf.DUMMYFUNCTION("""COMPUTED_VALUE"""),"")</f>
        <v/>
      </c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</row>
    <row r="875">
      <c r="A875" s="30"/>
      <c r="B875" s="30" t="str">
        <f>IFERROR(__xludf.DUMMYFUNCTION("""COMPUTED_VALUE"""),"")</f>
        <v/>
      </c>
      <c r="C875" s="30" t="str">
        <f>IFERROR(__xludf.DUMMYFUNCTION("""COMPUTED_VALUE"""),"")</f>
        <v/>
      </c>
      <c r="D875" s="30"/>
      <c r="E875" s="34" t="str">
        <f>IFERROR(__xludf.DUMMYFUNCTION("""COMPUTED_VALUE"""),"")</f>
        <v/>
      </c>
      <c r="F875" s="30"/>
      <c r="G875" s="34" t="str">
        <f>IFERROR(__xludf.DUMMYFUNCTION("""COMPUTED_VALUE"""),"")</f>
        <v/>
      </c>
      <c r="H875" s="34" t="str">
        <f>IFERROR(__xludf.DUMMYFUNCTION("""COMPUTED_VALUE"""),"")</f>
        <v/>
      </c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</row>
    <row r="876">
      <c r="A876" s="30"/>
      <c r="B876" s="30" t="str">
        <f>IFERROR(__xludf.DUMMYFUNCTION("""COMPUTED_VALUE"""),"")</f>
        <v/>
      </c>
      <c r="C876" s="30" t="str">
        <f>IFERROR(__xludf.DUMMYFUNCTION("""COMPUTED_VALUE"""),"")</f>
        <v/>
      </c>
      <c r="D876" s="30"/>
      <c r="E876" s="34" t="str">
        <f>IFERROR(__xludf.DUMMYFUNCTION("""COMPUTED_VALUE"""),"")</f>
        <v/>
      </c>
      <c r="F876" s="30"/>
      <c r="G876" s="34" t="str">
        <f>IFERROR(__xludf.DUMMYFUNCTION("""COMPUTED_VALUE"""),"")</f>
        <v/>
      </c>
      <c r="H876" s="34" t="str">
        <f>IFERROR(__xludf.DUMMYFUNCTION("""COMPUTED_VALUE"""),"")</f>
        <v/>
      </c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>
      <c r="A877" s="30"/>
      <c r="B877" s="30" t="str">
        <f>IFERROR(__xludf.DUMMYFUNCTION("""COMPUTED_VALUE"""),"")</f>
        <v/>
      </c>
      <c r="C877" s="30" t="str">
        <f>IFERROR(__xludf.DUMMYFUNCTION("""COMPUTED_VALUE"""),"")</f>
        <v/>
      </c>
      <c r="D877" s="30"/>
      <c r="E877" s="34" t="str">
        <f>IFERROR(__xludf.DUMMYFUNCTION("""COMPUTED_VALUE"""),"")</f>
        <v/>
      </c>
      <c r="F877" s="30"/>
      <c r="G877" s="34" t="str">
        <f>IFERROR(__xludf.DUMMYFUNCTION("""COMPUTED_VALUE"""),"")</f>
        <v/>
      </c>
      <c r="H877" s="34" t="str">
        <f>IFERROR(__xludf.DUMMYFUNCTION("""COMPUTED_VALUE"""),"")</f>
        <v/>
      </c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</row>
    <row r="878">
      <c r="A878" s="30"/>
      <c r="B878" s="30" t="str">
        <f>IFERROR(__xludf.DUMMYFUNCTION("""COMPUTED_VALUE"""),"")</f>
        <v/>
      </c>
      <c r="C878" s="30" t="str">
        <f>IFERROR(__xludf.DUMMYFUNCTION("""COMPUTED_VALUE"""),"")</f>
        <v/>
      </c>
      <c r="D878" s="30"/>
      <c r="E878" s="34" t="str">
        <f>IFERROR(__xludf.DUMMYFUNCTION("""COMPUTED_VALUE"""),"")</f>
        <v/>
      </c>
      <c r="F878" s="30"/>
      <c r="G878" s="34" t="str">
        <f>IFERROR(__xludf.DUMMYFUNCTION("""COMPUTED_VALUE"""),"")</f>
        <v/>
      </c>
      <c r="H878" s="34" t="str">
        <f>IFERROR(__xludf.DUMMYFUNCTION("""COMPUTED_VALUE"""),"")</f>
        <v/>
      </c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</row>
    <row r="879">
      <c r="A879" s="30"/>
      <c r="B879" s="30" t="str">
        <f>IFERROR(__xludf.DUMMYFUNCTION("""COMPUTED_VALUE"""),"")</f>
        <v/>
      </c>
      <c r="C879" s="30" t="str">
        <f>IFERROR(__xludf.DUMMYFUNCTION("""COMPUTED_VALUE"""),"")</f>
        <v/>
      </c>
      <c r="D879" s="30"/>
      <c r="E879" s="34" t="str">
        <f>IFERROR(__xludf.DUMMYFUNCTION("""COMPUTED_VALUE"""),"")</f>
        <v/>
      </c>
      <c r="F879" s="30"/>
      <c r="G879" s="34" t="str">
        <f>IFERROR(__xludf.DUMMYFUNCTION("""COMPUTED_VALUE"""),"")</f>
        <v/>
      </c>
      <c r="H879" s="34" t="str">
        <f>IFERROR(__xludf.DUMMYFUNCTION("""COMPUTED_VALUE"""),"")</f>
        <v/>
      </c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</row>
    <row r="880">
      <c r="A880" s="30"/>
      <c r="B880" s="30" t="str">
        <f>IFERROR(__xludf.DUMMYFUNCTION("""COMPUTED_VALUE"""),"")</f>
        <v/>
      </c>
      <c r="C880" s="30" t="str">
        <f>IFERROR(__xludf.DUMMYFUNCTION("""COMPUTED_VALUE"""),"")</f>
        <v/>
      </c>
      <c r="D880" s="30"/>
      <c r="E880" s="34" t="str">
        <f>IFERROR(__xludf.DUMMYFUNCTION("""COMPUTED_VALUE"""),"")</f>
        <v/>
      </c>
      <c r="F880" s="30"/>
      <c r="G880" s="34" t="str">
        <f>IFERROR(__xludf.DUMMYFUNCTION("""COMPUTED_VALUE"""),"")</f>
        <v/>
      </c>
      <c r="H880" s="34" t="str">
        <f>IFERROR(__xludf.DUMMYFUNCTION("""COMPUTED_VALUE"""),"")</f>
        <v/>
      </c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</row>
    <row r="881">
      <c r="A881" s="30"/>
      <c r="B881" s="30" t="str">
        <f>IFERROR(__xludf.DUMMYFUNCTION("""COMPUTED_VALUE"""),"")</f>
        <v/>
      </c>
      <c r="C881" s="30" t="str">
        <f>IFERROR(__xludf.DUMMYFUNCTION("""COMPUTED_VALUE"""),"")</f>
        <v/>
      </c>
      <c r="D881" s="30"/>
      <c r="E881" s="34" t="str">
        <f>IFERROR(__xludf.DUMMYFUNCTION("""COMPUTED_VALUE"""),"")</f>
        <v/>
      </c>
      <c r="F881" s="30"/>
      <c r="G881" s="34" t="str">
        <f>IFERROR(__xludf.DUMMYFUNCTION("""COMPUTED_VALUE"""),"")</f>
        <v/>
      </c>
      <c r="H881" s="34" t="str">
        <f>IFERROR(__xludf.DUMMYFUNCTION("""COMPUTED_VALUE"""),"")</f>
        <v/>
      </c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>
      <c r="A882" s="30"/>
      <c r="B882" s="30" t="str">
        <f>IFERROR(__xludf.DUMMYFUNCTION("""COMPUTED_VALUE"""),"")</f>
        <v/>
      </c>
      <c r="C882" s="30" t="str">
        <f>IFERROR(__xludf.DUMMYFUNCTION("""COMPUTED_VALUE"""),"")</f>
        <v/>
      </c>
      <c r="D882" s="30"/>
      <c r="E882" s="34" t="str">
        <f>IFERROR(__xludf.DUMMYFUNCTION("""COMPUTED_VALUE"""),"")</f>
        <v/>
      </c>
      <c r="F882" s="30"/>
      <c r="G882" s="34" t="str">
        <f>IFERROR(__xludf.DUMMYFUNCTION("""COMPUTED_VALUE"""),"")</f>
        <v/>
      </c>
      <c r="H882" s="34" t="str">
        <f>IFERROR(__xludf.DUMMYFUNCTION("""COMPUTED_VALUE"""),"")</f>
        <v/>
      </c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</row>
    <row r="883">
      <c r="A883" s="30"/>
      <c r="B883" s="30" t="str">
        <f>IFERROR(__xludf.DUMMYFUNCTION("""COMPUTED_VALUE"""),"")</f>
        <v/>
      </c>
      <c r="C883" s="30" t="str">
        <f>IFERROR(__xludf.DUMMYFUNCTION("""COMPUTED_VALUE"""),"")</f>
        <v/>
      </c>
      <c r="D883" s="30"/>
      <c r="E883" s="34" t="str">
        <f>IFERROR(__xludf.DUMMYFUNCTION("""COMPUTED_VALUE"""),"")</f>
        <v/>
      </c>
      <c r="F883" s="30"/>
      <c r="G883" s="34" t="str">
        <f>IFERROR(__xludf.DUMMYFUNCTION("""COMPUTED_VALUE"""),"")</f>
        <v/>
      </c>
      <c r="H883" s="34" t="str">
        <f>IFERROR(__xludf.DUMMYFUNCTION("""COMPUTED_VALUE"""),"")</f>
        <v/>
      </c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</row>
    <row r="884">
      <c r="A884" s="30"/>
      <c r="B884" s="30" t="str">
        <f>IFERROR(__xludf.DUMMYFUNCTION("""COMPUTED_VALUE"""),"")</f>
        <v/>
      </c>
      <c r="C884" s="30" t="str">
        <f>IFERROR(__xludf.DUMMYFUNCTION("""COMPUTED_VALUE"""),"")</f>
        <v/>
      </c>
      <c r="D884" s="30"/>
      <c r="E884" s="34" t="str">
        <f>IFERROR(__xludf.DUMMYFUNCTION("""COMPUTED_VALUE"""),"")</f>
        <v/>
      </c>
      <c r="F884" s="30"/>
      <c r="G884" s="34" t="str">
        <f>IFERROR(__xludf.DUMMYFUNCTION("""COMPUTED_VALUE"""),"")</f>
        <v/>
      </c>
      <c r="H884" s="34" t="str">
        <f>IFERROR(__xludf.DUMMYFUNCTION("""COMPUTED_VALUE"""),"")</f>
        <v/>
      </c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</row>
    <row r="885">
      <c r="A885" s="30"/>
      <c r="B885" s="30" t="str">
        <f>IFERROR(__xludf.DUMMYFUNCTION("""COMPUTED_VALUE"""),"")</f>
        <v/>
      </c>
      <c r="C885" s="30" t="str">
        <f>IFERROR(__xludf.DUMMYFUNCTION("""COMPUTED_VALUE"""),"")</f>
        <v/>
      </c>
      <c r="D885" s="30"/>
      <c r="E885" s="34" t="str">
        <f>IFERROR(__xludf.DUMMYFUNCTION("""COMPUTED_VALUE"""),"")</f>
        <v/>
      </c>
      <c r="F885" s="30"/>
      <c r="G885" s="34" t="str">
        <f>IFERROR(__xludf.DUMMYFUNCTION("""COMPUTED_VALUE"""),"")</f>
        <v/>
      </c>
      <c r="H885" s="34" t="str">
        <f>IFERROR(__xludf.DUMMYFUNCTION("""COMPUTED_VALUE"""),"")</f>
        <v/>
      </c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</row>
    <row r="886">
      <c r="A886" s="30"/>
      <c r="B886" s="30" t="str">
        <f>IFERROR(__xludf.DUMMYFUNCTION("""COMPUTED_VALUE"""),"")</f>
        <v/>
      </c>
      <c r="C886" s="30" t="str">
        <f>IFERROR(__xludf.DUMMYFUNCTION("""COMPUTED_VALUE"""),"")</f>
        <v/>
      </c>
      <c r="D886" s="30"/>
      <c r="E886" s="34" t="str">
        <f>IFERROR(__xludf.DUMMYFUNCTION("""COMPUTED_VALUE"""),"")</f>
        <v/>
      </c>
      <c r="F886" s="30"/>
      <c r="G886" s="34" t="str">
        <f>IFERROR(__xludf.DUMMYFUNCTION("""COMPUTED_VALUE"""),"")</f>
        <v/>
      </c>
      <c r="H886" s="34" t="str">
        <f>IFERROR(__xludf.DUMMYFUNCTION("""COMPUTED_VALUE"""),"")</f>
        <v/>
      </c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</row>
    <row r="887">
      <c r="A887" s="30"/>
      <c r="B887" s="30" t="str">
        <f>IFERROR(__xludf.DUMMYFUNCTION("""COMPUTED_VALUE"""),"")</f>
        <v/>
      </c>
      <c r="C887" s="30" t="str">
        <f>IFERROR(__xludf.DUMMYFUNCTION("""COMPUTED_VALUE"""),"")</f>
        <v/>
      </c>
      <c r="D887" s="30"/>
      <c r="E887" s="34" t="str">
        <f>IFERROR(__xludf.DUMMYFUNCTION("""COMPUTED_VALUE"""),"")</f>
        <v/>
      </c>
      <c r="F887" s="30"/>
      <c r="G887" s="34" t="str">
        <f>IFERROR(__xludf.DUMMYFUNCTION("""COMPUTED_VALUE"""),"")</f>
        <v/>
      </c>
      <c r="H887" s="34" t="str">
        <f>IFERROR(__xludf.DUMMYFUNCTION("""COMPUTED_VALUE"""),"")</f>
        <v/>
      </c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</row>
    <row r="888">
      <c r="A888" s="30"/>
      <c r="B888" s="30" t="str">
        <f>IFERROR(__xludf.DUMMYFUNCTION("""COMPUTED_VALUE"""),"")</f>
        <v/>
      </c>
      <c r="C888" s="30" t="str">
        <f>IFERROR(__xludf.DUMMYFUNCTION("""COMPUTED_VALUE"""),"")</f>
        <v/>
      </c>
      <c r="D888" s="30"/>
      <c r="E888" s="34" t="str">
        <f>IFERROR(__xludf.DUMMYFUNCTION("""COMPUTED_VALUE"""),"")</f>
        <v/>
      </c>
      <c r="F888" s="30"/>
      <c r="G888" s="34" t="str">
        <f>IFERROR(__xludf.DUMMYFUNCTION("""COMPUTED_VALUE"""),"")</f>
        <v/>
      </c>
      <c r="H888" s="34" t="str">
        <f>IFERROR(__xludf.DUMMYFUNCTION("""COMPUTED_VALUE"""),"")</f>
        <v/>
      </c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</row>
    <row r="889">
      <c r="A889" s="30"/>
      <c r="B889" s="30" t="str">
        <f>IFERROR(__xludf.DUMMYFUNCTION("""COMPUTED_VALUE"""),"")</f>
        <v/>
      </c>
      <c r="C889" s="30" t="str">
        <f>IFERROR(__xludf.DUMMYFUNCTION("""COMPUTED_VALUE"""),"")</f>
        <v/>
      </c>
      <c r="D889" s="30"/>
      <c r="E889" s="34" t="str">
        <f>IFERROR(__xludf.DUMMYFUNCTION("""COMPUTED_VALUE"""),"")</f>
        <v/>
      </c>
      <c r="F889" s="30"/>
      <c r="G889" s="34" t="str">
        <f>IFERROR(__xludf.DUMMYFUNCTION("""COMPUTED_VALUE"""),"")</f>
        <v/>
      </c>
      <c r="H889" s="34" t="str">
        <f>IFERROR(__xludf.DUMMYFUNCTION("""COMPUTED_VALUE"""),"")</f>
        <v/>
      </c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</row>
    <row r="890">
      <c r="A890" s="30"/>
      <c r="B890" s="30" t="str">
        <f>IFERROR(__xludf.DUMMYFUNCTION("""COMPUTED_VALUE"""),"")</f>
        <v/>
      </c>
      <c r="C890" s="30" t="str">
        <f>IFERROR(__xludf.DUMMYFUNCTION("""COMPUTED_VALUE"""),"")</f>
        <v/>
      </c>
      <c r="D890" s="30"/>
      <c r="E890" s="34" t="str">
        <f>IFERROR(__xludf.DUMMYFUNCTION("""COMPUTED_VALUE"""),"")</f>
        <v/>
      </c>
      <c r="F890" s="30"/>
      <c r="G890" s="34" t="str">
        <f>IFERROR(__xludf.DUMMYFUNCTION("""COMPUTED_VALUE"""),"")</f>
        <v/>
      </c>
      <c r="H890" s="34" t="str">
        <f>IFERROR(__xludf.DUMMYFUNCTION("""COMPUTED_VALUE"""),"")</f>
        <v/>
      </c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</row>
    <row r="891">
      <c r="A891" s="30"/>
      <c r="B891" s="30" t="str">
        <f>IFERROR(__xludf.DUMMYFUNCTION("""COMPUTED_VALUE"""),"")</f>
        <v/>
      </c>
      <c r="C891" s="30" t="str">
        <f>IFERROR(__xludf.DUMMYFUNCTION("""COMPUTED_VALUE"""),"")</f>
        <v/>
      </c>
      <c r="D891" s="30"/>
      <c r="E891" s="34" t="str">
        <f>IFERROR(__xludf.DUMMYFUNCTION("""COMPUTED_VALUE"""),"")</f>
        <v/>
      </c>
      <c r="F891" s="30"/>
      <c r="G891" s="34" t="str">
        <f>IFERROR(__xludf.DUMMYFUNCTION("""COMPUTED_VALUE"""),"")</f>
        <v/>
      </c>
      <c r="H891" s="34" t="str">
        <f>IFERROR(__xludf.DUMMYFUNCTION("""COMPUTED_VALUE"""),"")</f>
        <v/>
      </c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</row>
    <row r="892">
      <c r="A892" s="30"/>
      <c r="B892" s="30" t="str">
        <f>IFERROR(__xludf.DUMMYFUNCTION("""COMPUTED_VALUE"""),"")</f>
        <v/>
      </c>
      <c r="C892" s="30" t="str">
        <f>IFERROR(__xludf.DUMMYFUNCTION("""COMPUTED_VALUE"""),"")</f>
        <v/>
      </c>
      <c r="D892" s="30"/>
      <c r="E892" s="34" t="str">
        <f>IFERROR(__xludf.DUMMYFUNCTION("""COMPUTED_VALUE"""),"")</f>
        <v/>
      </c>
      <c r="F892" s="30"/>
      <c r="G892" s="34" t="str">
        <f>IFERROR(__xludf.DUMMYFUNCTION("""COMPUTED_VALUE"""),"")</f>
        <v/>
      </c>
      <c r="H892" s="34" t="str">
        <f>IFERROR(__xludf.DUMMYFUNCTION("""COMPUTED_VALUE"""),"")</f>
        <v/>
      </c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</row>
    <row r="893">
      <c r="A893" s="30"/>
      <c r="B893" s="30" t="str">
        <f>IFERROR(__xludf.DUMMYFUNCTION("""COMPUTED_VALUE"""),"")</f>
        <v/>
      </c>
      <c r="C893" s="30" t="str">
        <f>IFERROR(__xludf.DUMMYFUNCTION("""COMPUTED_VALUE"""),"")</f>
        <v/>
      </c>
      <c r="D893" s="30"/>
      <c r="E893" s="34" t="str">
        <f>IFERROR(__xludf.DUMMYFUNCTION("""COMPUTED_VALUE"""),"")</f>
        <v/>
      </c>
      <c r="F893" s="30"/>
      <c r="G893" s="34" t="str">
        <f>IFERROR(__xludf.DUMMYFUNCTION("""COMPUTED_VALUE"""),"")</f>
        <v/>
      </c>
      <c r="H893" s="34" t="str">
        <f>IFERROR(__xludf.DUMMYFUNCTION("""COMPUTED_VALUE"""),"")</f>
        <v/>
      </c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</row>
    <row r="894">
      <c r="A894" s="30"/>
      <c r="B894" s="30" t="str">
        <f>IFERROR(__xludf.DUMMYFUNCTION("""COMPUTED_VALUE"""),"")</f>
        <v/>
      </c>
      <c r="C894" s="30" t="str">
        <f>IFERROR(__xludf.DUMMYFUNCTION("""COMPUTED_VALUE"""),"")</f>
        <v/>
      </c>
      <c r="D894" s="30"/>
      <c r="E894" s="34" t="str">
        <f>IFERROR(__xludf.DUMMYFUNCTION("""COMPUTED_VALUE"""),"")</f>
        <v/>
      </c>
      <c r="F894" s="30"/>
      <c r="G894" s="34" t="str">
        <f>IFERROR(__xludf.DUMMYFUNCTION("""COMPUTED_VALUE"""),"")</f>
        <v/>
      </c>
      <c r="H894" s="34" t="str">
        <f>IFERROR(__xludf.DUMMYFUNCTION("""COMPUTED_VALUE"""),"")</f>
        <v/>
      </c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</row>
    <row r="895">
      <c r="A895" s="30"/>
      <c r="B895" s="30" t="str">
        <f>IFERROR(__xludf.DUMMYFUNCTION("""COMPUTED_VALUE"""),"")</f>
        <v/>
      </c>
      <c r="C895" s="30" t="str">
        <f>IFERROR(__xludf.DUMMYFUNCTION("""COMPUTED_VALUE"""),"")</f>
        <v/>
      </c>
      <c r="D895" s="30"/>
      <c r="E895" s="34" t="str">
        <f>IFERROR(__xludf.DUMMYFUNCTION("""COMPUTED_VALUE"""),"")</f>
        <v/>
      </c>
      <c r="F895" s="30"/>
      <c r="G895" s="34" t="str">
        <f>IFERROR(__xludf.DUMMYFUNCTION("""COMPUTED_VALUE"""),"")</f>
        <v/>
      </c>
      <c r="H895" s="34" t="str">
        <f>IFERROR(__xludf.DUMMYFUNCTION("""COMPUTED_VALUE"""),"")</f>
        <v/>
      </c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</row>
    <row r="896">
      <c r="A896" s="30"/>
      <c r="B896" s="30" t="str">
        <f>IFERROR(__xludf.DUMMYFUNCTION("""COMPUTED_VALUE"""),"")</f>
        <v/>
      </c>
      <c r="C896" s="30" t="str">
        <f>IFERROR(__xludf.DUMMYFUNCTION("""COMPUTED_VALUE"""),"")</f>
        <v/>
      </c>
      <c r="D896" s="30"/>
      <c r="E896" s="34" t="str">
        <f>IFERROR(__xludf.DUMMYFUNCTION("""COMPUTED_VALUE"""),"")</f>
        <v/>
      </c>
      <c r="F896" s="30"/>
      <c r="G896" s="34" t="str">
        <f>IFERROR(__xludf.DUMMYFUNCTION("""COMPUTED_VALUE"""),"")</f>
        <v/>
      </c>
      <c r="H896" s="34" t="str">
        <f>IFERROR(__xludf.DUMMYFUNCTION("""COMPUTED_VALUE"""),"")</f>
        <v/>
      </c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</row>
    <row r="897">
      <c r="A897" s="30"/>
      <c r="B897" s="30" t="str">
        <f>IFERROR(__xludf.DUMMYFUNCTION("""COMPUTED_VALUE"""),"")</f>
        <v/>
      </c>
      <c r="C897" s="30" t="str">
        <f>IFERROR(__xludf.DUMMYFUNCTION("""COMPUTED_VALUE"""),"")</f>
        <v/>
      </c>
      <c r="D897" s="30"/>
      <c r="E897" s="34" t="str">
        <f>IFERROR(__xludf.DUMMYFUNCTION("""COMPUTED_VALUE"""),"")</f>
        <v/>
      </c>
      <c r="F897" s="30"/>
      <c r="G897" s="34" t="str">
        <f>IFERROR(__xludf.DUMMYFUNCTION("""COMPUTED_VALUE"""),"")</f>
        <v/>
      </c>
      <c r="H897" s="34" t="str">
        <f>IFERROR(__xludf.DUMMYFUNCTION("""COMPUTED_VALUE"""),"")</f>
        <v/>
      </c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</row>
    <row r="898">
      <c r="A898" s="30"/>
      <c r="B898" s="30" t="str">
        <f>IFERROR(__xludf.DUMMYFUNCTION("""COMPUTED_VALUE"""),"")</f>
        <v/>
      </c>
      <c r="C898" s="30" t="str">
        <f>IFERROR(__xludf.DUMMYFUNCTION("""COMPUTED_VALUE"""),"")</f>
        <v/>
      </c>
      <c r="D898" s="30"/>
      <c r="E898" s="34" t="str">
        <f>IFERROR(__xludf.DUMMYFUNCTION("""COMPUTED_VALUE"""),"")</f>
        <v/>
      </c>
      <c r="F898" s="30"/>
      <c r="G898" s="34" t="str">
        <f>IFERROR(__xludf.DUMMYFUNCTION("""COMPUTED_VALUE"""),"")</f>
        <v/>
      </c>
      <c r="H898" s="34" t="str">
        <f>IFERROR(__xludf.DUMMYFUNCTION("""COMPUTED_VALUE"""),"")</f>
        <v/>
      </c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</row>
    <row r="899">
      <c r="A899" s="30"/>
      <c r="B899" s="30" t="str">
        <f>IFERROR(__xludf.DUMMYFUNCTION("""COMPUTED_VALUE"""),"")</f>
        <v/>
      </c>
      <c r="C899" s="30" t="str">
        <f>IFERROR(__xludf.DUMMYFUNCTION("""COMPUTED_VALUE"""),"")</f>
        <v/>
      </c>
      <c r="D899" s="30"/>
      <c r="E899" s="34" t="str">
        <f>IFERROR(__xludf.DUMMYFUNCTION("""COMPUTED_VALUE"""),"")</f>
        <v/>
      </c>
      <c r="F899" s="30"/>
      <c r="G899" s="34" t="str">
        <f>IFERROR(__xludf.DUMMYFUNCTION("""COMPUTED_VALUE"""),"")</f>
        <v/>
      </c>
      <c r="H899" s="34" t="str">
        <f>IFERROR(__xludf.DUMMYFUNCTION("""COMPUTED_VALUE"""),"")</f>
        <v/>
      </c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</row>
    <row r="900">
      <c r="A900" s="30"/>
      <c r="B900" s="30" t="str">
        <f>IFERROR(__xludf.DUMMYFUNCTION("""COMPUTED_VALUE"""),"")</f>
        <v/>
      </c>
      <c r="C900" s="30" t="str">
        <f>IFERROR(__xludf.DUMMYFUNCTION("""COMPUTED_VALUE"""),"")</f>
        <v/>
      </c>
      <c r="D900" s="30"/>
      <c r="E900" s="34" t="str">
        <f>IFERROR(__xludf.DUMMYFUNCTION("""COMPUTED_VALUE"""),"")</f>
        <v/>
      </c>
      <c r="F900" s="30"/>
      <c r="G900" s="34" t="str">
        <f>IFERROR(__xludf.DUMMYFUNCTION("""COMPUTED_VALUE"""),"")</f>
        <v/>
      </c>
      <c r="H900" s="34" t="str">
        <f>IFERROR(__xludf.DUMMYFUNCTION("""COMPUTED_VALUE"""),"")</f>
        <v/>
      </c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</row>
    <row r="901">
      <c r="A901" s="30"/>
      <c r="B901" s="30" t="str">
        <f>IFERROR(__xludf.DUMMYFUNCTION("""COMPUTED_VALUE"""),"")</f>
        <v/>
      </c>
      <c r="C901" s="30" t="str">
        <f>IFERROR(__xludf.DUMMYFUNCTION("""COMPUTED_VALUE"""),"")</f>
        <v/>
      </c>
      <c r="D901" s="30"/>
      <c r="E901" s="34" t="str">
        <f>IFERROR(__xludf.DUMMYFUNCTION("""COMPUTED_VALUE"""),"")</f>
        <v/>
      </c>
      <c r="F901" s="30"/>
      <c r="G901" s="34" t="str">
        <f>IFERROR(__xludf.DUMMYFUNCTION("""COMPUTED_VALUE"""),"")</f>
        <v/>
      </c>
      <c r="H901" s="34" t="str">
        <f>IFERROR(__xludf.DUMMYFUNCTION("""COMPUTED_VALUE"""),"")</f>
        <v/>
      </c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</row>
    <row r="902">
      <c r="A902" s="30"/>
      <c r="B902" s="30" t="str">
        <f>IFERROR(__xludf.DUMMYFUNCTION("""COMPUTED_VALUE"""),"")</f>
        <v/>
      </c>
      <c r="C902" s="30" t="str">
        <f>IFERROR(__xludf.DUMMYFUNCTION("""COMPUTED_VALUE"""),"")</f>
        <v/>
      </c>
      <c r="D902" s="30"/>
      <c r="E902" s="34" t="str">
        <f>IFERROR(__xludf.DUMMYFUNCTION("""COMPUTED_VALUE"""),"")</f>
        <v/>
      </c>
      <c r="F902" s="30"/>
      <c r="G902" s="34" t="str">
        <f>IFERROR(__xludf.DUMMYFUNCTION("""COMPUTED_VALUE"""),"")</f>
        <v/>
      </c>
      <c r="H902" s="34" t="str">
        <f>IFERROR(__xludf.DUMMYFUNCTION("""COMPUTED_VALUE"""),"")</f>
        <v/>
      </c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</row>
    <row r="903">
      <c r="A903" s="30"/>
      <c r="B903" s="30" t="str">
        <f>IFERROR(__xludf.DUMMYFUNCTION("""COMPUTED_VALUE"""),"")</f>
        <v/>
      </c>
      <c r="C903" s="30" t="str">
        <f>IFERROR(__xludf.DUMMYFUNCTION("""COMPUTED_VALUE"""),"")</f>
        <v/>
      </c>
      <c r="D903" s="30"/>
      <c r="E903" s="34" t="str">
        <f>IFERROR(__xludf.DUMMYFUNCTION("""COMPUTED_VALUE"""),"")</f>
        <v/>
      </c>
      <c r="F903" s="30"/>
      <c r="G903" s="34" t="str">
        <f>IFERROR(__xludf.DUMMYFUNCTION("""COMPUTED_VALUE"""),"")</f>
        <v/>
      </c>
      <c r="H903" s="34" t="str">
        <f>IFERROR(__xludf.DUMMYFUNCTION("""COMPUTED_VALUE"""),"")</f>
        <v/>
      </c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>
      <c r="A904" s="30"/>
      <c r="B904" s="30" t="str">
        <f>IFERROR(__xludf.DUMMYFUNCTION("""COMPUTED_VALUE"""),"")</f>
        <v/>
      </c>
      <c r="C904" s="30" t="str">
        <f>IFERROR(__xludf.DUMMYFUNCTION("""COMPUTED_VALUE"""),"")</f>
        <v/>
      </c>
      <c r="D904" s="30"/>
      <c r="E904" s="34" t="str">
        <f>IFERROR(__xludf.DUMMYFUNCTION("""COMPUTED_VALUE"""),"")</f>
        <v/>
      </c>
      <c r="F904" s="30"/>
      <c r="G904" s="34" t="str">
        <f>IFERROR(__xludf.DUMMYFUNCTION("""COMPUTED_VALUE"""),"")</f>
        <v/>
      </c>
      <c r="H904" s="34" t="str">
        <f>IFERROR(__xludf.DUMMYFUNCTION("""COMPUTED_VALUE"""),"")</f>
        <v/>
      </c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</row>
    <row r="905">
      <c r="A905" s="30"/>
      <c r="B905" s="30" t="str">
        <f>IFERROR(__xludf.DUMMYFUNCTION("""COMPUTED_VALUE"""),"")</f>
        <v/>
      </c>
      <c r="C905" s="30" t="str">
        <f>IFERROR(__xludf.DUMMYFUNCTION("""COMPUTED_VALUE"""),"")</f>
        <v/>
      </c>
      <c r="D905" s="30"/>
      <c r="E905" s="34" t="str">
        <f>IFERROR(__xludf.DUMMYFUNCTION("""COMPUTED_VALUE"""),"")</f>
        <v/>
      </c>
      <c r="F905" s="30"/>
      <c r="G905" s="34" t="str">
        <f>IFERROR(__xludf.DUMMYFUNCTION("""COMPUTED_VALUE"""),"")</f>
        <v/>
      </c>
      <c r="H905" s="34" t="str">
        <f>IFERROR(__xludf.DUMMYFUNCTION("""COMPUTED_VALUE"""),"")</f>
        <v/>
      </c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</row>
    <row r="906">
      <c r="A906" s="30"/>
      <c r="B906" s="30" t="str">
        <f>IFERROR(__xludf.DUMMYFUNCTION("""COMPUTED_VALUE"""),"")</f>
        <v/>
      </c>
      <c r="C906" s="30" t="str">
        <f>IFERROR(__xludf.DUMMYFUNCTION("""COMPUTED_VALUE"""),"")</f>
        <v/>
      </c>
      <c r="D906" s="30"/>
      <c r="E906" s="34" t="str">
        <f>IFERROR(__xludf.DUMMYFUNCTION("""COMPUTED_VALUE"""),"")</f>
        <v/>
      </c>
      <c r="F906" s="30"/>
      <c r="G906" s="34" t="str">
        <f>IFERROR(__xludf.DUMMYFUNCTION("""COMPUTED_VALUE"""),"")</f>
        <v/>
      </c>
      <c r="H906" s="34" t="str">
        <f>IFERROR(__xludf.DUMMYFUNCTION("""COMPUTED_VALUE"""),"")</f>
        <v/>
      </c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</row>
    <row r="907">
      <c r="A907" s="30"/>
      <c r="B907" s="30" t="str">
        <f>IFERROR(__xludf.DUMMYFUNCTION("""COMPUTED_VALUE"""),"")</f>
        <v/>
      </c>
      <c r="C907" s="30" t="str">
        <f>IFERROR(__xludf.DUMMYFUNCTION("""COMPUTED_VALUE"""),"")</f>
        <v/>
      </c>
      <c r="D907" s="30"/>
      <c r="E907" s="34" t="str">
        <f>IFERROR(__xludf.DUMMYFUNCTION("""COMPUTED_VALUE"""),"")</f>
        <v/>
      </c>
      <c r="F907" s="30"/>
      <c r="G907" s="34" t="str">
        <f>IFERROR(__xludf.DUMMYFUNCTION("""COMPUTED_VALUE"""),"")</f>
        <v/>
      </c>
      <c r="H907" s="34" t="str">
        <f>IFERROR(__xludf.DUMMYFUNCTION("""COMPUTED_VALUE"""),"")</f>
        <v/>
      </c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>
      <c r="A908" s="30"/>
      <c r="B908" s="30" t="str">
        <f>IFERROR(__xludf.DUMMYFUNCTION("""COMPUTED_VALUE"""),"")</f>
        <v/>
      </c>
      <c r="C908" s="30" t="str">
        <f>IFERROR(__xludf.DUMMYFUNCTION("""COMPUTED_VALUE"""),"")</f>
        <v/>
      </c>
      <c r="D908" s="30"/>
      <c r="E908" s="34" t="str">
        <f>IFERROR(__xludf.DUMMYFUNCTION("""COMPUTED_VALUE"""),"")</f>
        <v/>
      </c>
      <c r="F908" s="30"/>
      <c r="G908" s="34" t="str">
        <f>IFERROR(__xludf.DUMMYFUNCTION("""COMPUTED_VALUE"""),"")</f>
        <v/>
      </c>
      <c r="H908" s="34" t="str">
        <f>IFERROR(__xludf.DUMMYFUNCTION("""COMPUTED_VALUE"""),"")</f>
        <v/>
      </c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</row>
    <row r="909">
      <c r="A909" s="30"/>
      <c r="B909" s="30" t="str">
        <f>IFERROR(__xludf.DUMMYFUNCTION("""COMPUTED_VALUE"""),"")</f>
        <v/>
      </c>
      <c r="C909" s="30" t="str">
        <f>IFERROR(__xludf.DUMMYFUNCTION("""COMPUTED_VALUE"""),"")</f>
        <v/>
      </c>
      <c r="D909" s="30"/>
      <c r="E909" s="34" t="str">
        <f>IFERROR(__xludf.DUMMYFUNCTION("""COMPUTED_VALUE"""),"")</f>
        <v/>
      </c>
      <c r="F909" s="30"/>
      <c r="G909" s="34" t="str">
        <f>IFERROR(__xludf.DUMMYFUNCTION("""COMPUTED_VALUE"""),"")</f>
        <v/>
      </c>
      <c r="H909" s="34" t="str">
        <f>IFERROR(__xludf.DUMMYFUNCTION("""COMPUTED_VALUE"""),"")</f>
        <v/>
      </c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</row>
    <row r="910">
      <c r="A910" s="30"/>
      <c r="B910" s="30" t="str">
        <f>IFERROR(__xludf.DUMMYFUNCTION("""COMPUTED_VALUE"""),"")</f>
        <v/>
      </c>
      <c r="C910" s="30" t="str">
        <f>IFERROR(__xludf.DUMMYFUNCTION("""COMPUTED_VALUE"""),"")</f>
        <v/>
      </c>
      <c r="D910" s="30"/>
      <c r="E910" s="34" t="str">
        <f>IFERROR(__xludf.DUMMYFUNCTION("""COMPUTED_VALUE"""),"")</f>
        <v/>
      </c>
      <c r="F910" s="30"/>
      <c r="G910" s="34" t="str">
        <f>IFERROR(__xludf.DUMMYFUNCTION("""COMPUTED_VALUE"""),"")</f>
        <v/>
      </c>
      <c r="H910" s="34" t="str">
        <f>IFERROR(__xludf.DUMMYFUNCTION("""COMPUTED_VALUE"""),"")</f>
        <v/>
      </c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</row>
    <row r="911">
      <c r="A911" s="30"/>
      <c r="B911" s="30" t="str">
        <f>IFERROR(__xludf.DUMMYFUNCTION("""COMPUTED_VALUE"""),"")</f>
        <v/>
      </c>
      <c r="C911" s="30" t="str">
        <f>IFERROR(__xludf.DUMMYFUNCTION("""COMPUTED_VALUE"""),"")</f>
        <v/>
      </c>
      <c r="D911" s="30"/>
      <c r="E911" s="34" t="str">
        <f>IFERROR(__xludf.DUMMYFUNCTION("""COMPUTED_VALUE"""),"")</f>
        <v/>
      </c>
      <c r="F911" s="30"/>
      <c r="G911" s="34" t="str">
        <f>IFERROR(__xludf.DUMMYFUNCTION("""COMPUTED_VALUE"""),"")</f>
        <v/>
      </c>
      <c r="H911" s="34" t="str">
        <f>IFERROR(__xludf.DUMMYFUNCTION("""COMPUTED_VALUE"""),"")</f>
        <v/>
      </c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</row>
    <row r="912">
      <c r="A912" s="30"/>
      <c r="B912" s="30" t="str">
        <f>IFERROR(__xludf.DUMMYFUNCTION("""COMPUTED_VALUE"""),"")</f>
        <v/>
      </c>
      <c r="C912" s="30" t="str">
        <f>IFERROR(__xludf.DUMMYFUNCTION("""COMPUTED_VALUE"""),"")</f>
        <v/>
      </c>
      <c r="D912" s="30"/>
      <c r="E912" s="34" t="str">
        <f>IFERROR(__xludf.DUMMYFUNCTION("""COMPUTED_VALUE"""),"")</f>
        <v/>
      </c>
      <c r="F912" s="30"/>
      <c r="G912" s="34" t="str">
        <f>IFERROR(__xludf.DUMMYFUNCTION("""COMPUTED_VALUE"""),"")</f>
        <v/>
      </c>
      <c r="H912" s="34" t="str">
        <f>IFERROR(__xludf.DUMMYFUNCTION("""COMPUTED_VALUE"""),"")</f>
        <v/>
      </c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</row>
    <row r="913">
      <c r="A913" s="30"/>
      <c r="B913" s="30" t="str">
        <f>IFERROR(__xludf.DUMMYFUNCTION("""COMPUTED_VALUE"""),"")</f>
        <v/>
      </c>
      <c r="C913" s="30" t="str">
        <f>IFERROR(__xludf.DUMMYFUNCTION("""COMPUTED_VALUE"""),"")</f>
        <v/>
      </c>
      <c r="D913" s="30"/>
      <c r="E913" s="34" t="str">
        <f>IFERROR(__xludf.DUMMYFUNCTION("""COMPUTED_VALUE"""),"")</f>
        <v/>
      </c>
      <c r="F913" s="30"/>
      <c r="G913" s="34" t="str">
        <f>IFERROR(__xludf.DUMMYFUNCTION("""COMPUTED_VALUE"""),"")</f>
        <v/>
      </c>
      <c r="H913" s="34" t="str">
        <f>IFERROR(__xludf.DUMMYFUNCTION("""COMPUTED_VALUE"""),"")</f>
        <v/>
      </c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</row>
    <row r="914">
      <c r="A914" s="30"/>
      <c r="B914" s="30" t="str">
        <f>IFERROR(__xludf.DUMMYFUNCTION("""COMPUTED_VALUE"""),"")</f>
        <v/>
      </c>
      <c r="C914" s="30" t="str">
        <f>IFERROR(__xludf.DUMMYFUNCTION("""COMPUTED_VALUE"""),"")</f>
        <v/>
      </c>
      <c r="D914" s="30"/>
      <c r="E914" s="34" t="str">
        <f>IFERROR(__xludf.DUMMYFUNCTION("""COMPUTED_VALUE"""),"")</f>
        <v/>
      </c>
      <c r="F914" s="30"/>
      <c r="G914" s="34" t="str">
        <f>IFERROR(__xludf.DUMMYFUNCTION("""COMPUTED_VALUE"""),"")</f>
        <v/>
      </c>
      <c r="H914" s="34" t="str">
        <f>IFERROR(__xludf.DUMMYFUNCTION("""COMPUTED_VALUE"""),"")</f>
        <v/>
      </c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</row>
    <row r="915">
      <c r="A915" s="30"/>
      <c r="B915" s="30" t="str">
        <f>IFERROR(__xludf.DUMMYFUNCTION("""COMPUTED_VALUE"""),"")</f>
        <v/>
      </c>
      <c r="C915" s="30" t="str">
        <f>IFERROR(__xludf.DUMMYFUNCTION("""COMPUTED_VALUE"""),"")</f>
        <v/>
      </c>
      <c r="D915" s="30"/>
      <c r="E915" s="34" t="str">
        <f>IFERROR(__xludf.DUMMYFUNCTION("""COMPUTED_VALUE"""),"")</f>
        <v/>
      </c>
      <c r="F915" s="30"/>
      <c r="G915" s="34" t="str">
        <f>IFERROR(__xludf.DUMMYFUNCTION("""COMPUTED_VALUE"""),"")</f>
        <v/>
      </c>
      <c r="H915" s="34" t="str">
        <f>IFERROR(__xludf.DUMMYFUNCTION("""COMPUTED_VALUE"""),"")</f>
        <v/>
      </c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</row>
    <row r="916">
      <c r="A916" s="30"/>
      <c r="B916" s="30" t="str">
        <f>IFERROR(__xludf.DUMMYFUNCTION("""COMPUTED_VALUE"""),"")</f>
        <v/>
      </c>
      <c r="C916" s="30" t="str">
        <f>IFERROR(__xludf.DUMMYFUNCTION("""COMPUTED_VALUE"""),"")</f>
        <v/>
      </c>
      <c r="D916" s="30"/>
      <c r="E916" s="34" t="str">
        <f>IFERROR(__xludf.DUMMYFUNCTION("""COMPUTED_VALUE"""),"")</f>
        <v/>
      </c>
      <c r="F916" s="30"/>
      <c r="G916" s="34" t="str">
        <f>IFERROR(__xludf.DUMMYFUNCTION("""COMPUTED_VALUE"""),"")</f>
        <v/>
      </c>
      <c r="H916" s="34" t="str">
        <f>IFERROR(__xludf.DUMMYFUNCTION("""COMPUTED_VALUE"""),"")</f>
        <v/>
      </c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</row>
    <row r="917">
      <c r="A917" s="30"/>
      <c r="B917" s="30" t="str">
        <f>IFERROR(__xludf.DUMMYFUNCTION("""COMPUTED_VALUE"""),"")</f>
        <v/>
      </c>
      <c r="C917" s="30" t="str">
        <f>IFERROR(__xludf.DUMMYFUNCTION("""COMPUTED_VALUE"""),"")</f>
        <v/>
      </c>
      <c r="D917" s="30"/>
      <c r="E917" s="34" t="str">
        <f>IFERROR(__xludf.DUMMYFUNCTION("""COMPUTED_VALUE"""),"")</f>
        <v/>
      </c>
      <c r="F917" s="30"/>
      <c r="G917" s="34" t="str">
        <f>IFERROR(__xludf.DUMMYFUNCTION("""COMPUTED_VALUE"""),"")</f>
        <v/>
      </c>
      <c r="H917" s="34" t="str">
        <f>IFERROR(__xludf.DUMMYFUNCTION("""COMPUTED_VALUE"""),"")</f>
        <v/>
      </c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</row>
    <row r="918">
      <c r="A918" s="30"/>
      <c r="B918" s="30" t="str">
        <f>IFERROR(__xludf.DUMMYFUNCTION("""COMPUTED_VALUE"""),"")</f>
        <v/>
      </c>
      <c r="C918" s="30" t="str">
        <f>IFERROR(__xludf.DUMMYFUNCTION("""COMPUTED_VALUE"""),"")</f>
        <v/>
      </c>
      <c r="D918" s="30"/>
      <c r="E918" s="34" t="str">
        <f>IFERROR(__xludf.DUMMYFUNCTION("""COMPUTED_VALUE"""),"")</f>
        <v/>
      </c>
      <c r="F918" s="30"/>
      <c r="G918" s="34" t="str">
        <f>IFERROR(__xludf.DUMMYFUNCTION("""COMPUTED_VALUE"""),"")</f>
        <v/>
      </c>
      <c r="H918" s="34" t="str">
        <f>IFERROR(__xludf.DUMMYFUNCTION("""COMPUTED_VALUE"""),"")</f>
        <v/>
      </c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</row>
    <row r="919">
      <c r="A919" s="30"/>
      <c r="B919" s="30" t="str">
        <f>IFERROR(__xludf.DUMMYFUNCTION("""COMPUTED_VALUE"""),"")</f>
        <v/>
      </c>
      <c r="C919" s="30" t="str">
        <f>IFERROR(__xludf.DUMMYFUNCTION("""COMPUTED_VALUE"""),"")</f>
        <v/>
      </c>
      <c r="D919" s="30"/>
      <c r="E919" s="34" t="str">
        <f>IFERROR(__xludf.DUMMYFUNCTION("""COMPUTED_VALUE"""),"")</f>
        <v/>
      </c>
      <c r="F919" s="30"/>
      <c r="G919" s="34" t="str">
        <f>IFERROR(__xludf.DUMMYFUNCTION("""COMPUTED_VALUE"""),"")</f>
        <v/>
      </c>
      <c r="H919" s="34" t="str">
        <f>IFERROR(__xludf.DUMMYFUNCTION("""COMPUTED_VALUE"""),"")</f>
        <v/>
      </c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</row>
    <row r="920">
      <c r="A920" s="30"/>
      <c r="B920" s="30" t="str">
        <f>IFERROR(__xludf.DUMMYFUNCTION("""COMPUTED_VALUE"""),"")</f>
        <v/>
      </c>
      <c r="C920" s="30" t="str">
        <f>IFERROR(__xludf.DUMMYFUNCTION("""COMPUTED_VALUE"""),"")</f>
        <v/>
      </c>
      <c r="D920" s="30"/>
      <c r="E920" s="34" t="str">
        <f>IFERROR(__xludf.DUMMYFUNCTION("""COMPUTED_VALUE"""),"")</f>
        <v/>
      </c>
      <c r="F920" s="30"/>
      <c r="G920" s="34" t="str">
        <f>IFERROR(__xludf.DUMMYFUNCTION("""COMPUTED_VALUE"""),"")</f>
        <v/>
      </c>
      <c r="H920" s="34" t="str">
        <f>IFERROR(__xludf.DUMMYFUNCTION("""COMPUTED_VALUE"""),"")</f>
        <v/>
      </c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</row>
    <row r="921">
      <c r="A921" s="30"/>
      <c r="B921" s="30" t="str">
        <f>IFERROR(__xludf.DUMMYFUNCTION("""COMPUTED_VALUE"""),"")</f>
        <v/>
      </c>
      <c r="C921" s="30" t="str">
        <f>IFERROR(__xludf.DUMMYFUNCTION("""COMPUTED_VALUE"""),"")</f>
        <v/>
      </c>
      <c r="D921" s="30"/>
      <c r="E921" s="34" t="str">
        <f>IFERROR(__xludf.DUMMYFUNCTION("""COMPUTED_VALUE"""),"")</f>
        <v/>
      </c>
      <c r="F921" s="30"/>
      <c r="G921" s="34" t="str">
        <f>IFERROR(__xludf.DUMMYFUNCTION("""COMPUTED_VALUE"""),"")</f>
        <v/>
      </c>
      <c r="H921" s="34" t="str">
        <f>IFERROR(__xludf.DUMMYFUNCTION("""COMPUTED_VALUE"""),"")</f>
        <v/>
      </c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</row>
    <row r="922">
      <c r="A922" s="30"/>
      <c r="B922" s="30" t="str">
        <f>IFERROR(__xludf.DUMMYFUNCTION("""COMPUTED_VALUE"""),"")</f>
        <v/>
      </c>
      <c r="C922" s="30" t="str">
        <f>IFERROR(__xludf.DUMMYFUNCTION("""COMPUTED_VALUE"""),"")</f>
        <v/>
      </c>
      <c r="D922" s="30"/>
      <c r="E922" s="34" t="str">
        <f>IFERROR(__xludf.DUMMYFUNCTION("""COMPUTED_VALUE"""),"")</f>
        <v/>
      </c>
      <c r="F922" s="30"/>
      <c r="G922" s="34" t="str">
        <f>IFERROR(__xludf.DUMMYFUNCTION("""COMPUTED_VALUE"""),"")</f>
        <v/>
      </c>
      <c r="H922" s="34" t="str">
        <f>IFERROR(__xludf.DUMMYFUNCTION("""COMPUTED_VALUE"""),"")</f>
        <v/>
      </c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</row>
    <row r="923">
      <c r="A923" s="30"/>
      <c r="B923" s="30" t="str">
        <f>IFERROR(__xludf.DUMMYFUNCTION("""COMPUTED_VALUE"""),"")</f>
        <v/>
      </c>
      <c r="C923" s="30" t="str">
        <f>IFERROR(__xludf.DUMMYFUNCTION("""COMPUTED_VALUE"""),"")</f>
        <v/>
      </c>
      <c r="D923" s="30"/>
      <c r="E923" s="34" t="str">
        <f>IFERROR(__xludf.DUMMYFUNCTION("""COMPUTED_VALUE"""),"")</f>
        <v/>
      </c>
      <c r="F923" s="30"/>
      <c r="G923" s="34" t="str">
        <f>IFERROR(__xludf.DUMMYFUNCTION("""COMPUTED_VALUE"""),"")</f>
        <v/>
      </c>
      <c r="H923" s="34" t="str">
        <f>IFERROR(__xludf.DUMMYFUNCTION("""COMPUTED_VALUE"""),"")</f>
        <v/>
      </c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</row>
    <row r="924">
      <c r="A924" s="30"/>
      <c r="B924" s="30" t="str">
        <f>IFERROR(__xludf.DUMMYFUNCTION("""COMPUTED_VALUE"""),"")</f>
        <v/>
      </c>
      <c r="C924" s="30" t="str">
        <f>IFERROR(__xludf.DUMMYFUNCTION("""COMPUTED_VALUE"""),"")</f>
        <v/>
      </c>
      <c r="D924" s="30"/>
      <c r="E924" s="34" t="str">
        <f>IFERROR(__xludf.DUMMYFUNCTION("""COMPUTED_VALUE"""),"")</f>
        <v/>
      </c>
      <c r="F924" s="30"/>
      <c r="G924" s="34" t="str">
        <f>IFERROR(__xludf.DUMMYFUNCTION("""COMPUTED_VALUE"""),"")</f>
        <v/>
      </c>
      <c r="H924" s="34" t="str">
        <f>IFERROR(__xludf.DUMMYFUNCTION("""COMPUTED_VALUE"""),"")</f>
        <v/>
      </c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</row>
    <row r="925">
      <c r="A925" s="30"/>
      <c r="B925" s="30" t="str">
        <f>IFERROR(__xludf.DUMMYFUNCTION("""COMPUTED_VALUE"""),"")</f>
        <v/>
      </c>
      <c r="C925" s="30" t="str">
        <f>IFERROR(__xludf.DUMMYFUNCTION("""COMPUTED_VALUE"""),"")</f>
        <v/>
      </c>
      <c r="D925" s="30"/>
      <c r="E925" s="34" t="str">
        <f>IFERROR(__xludf.DUMMYFUNCTION("""COMPUTED_VALUE"""),"")</f>
        <v/>
      </c>
      <c r="F925" s="30"/>
      <c r="G925" s="34" t="str">
        <f>IFERROR(__xludf.DUMMYFUNCTION("""COMPUTED_VALUE"""),"")</f>
        <v/>
      </c>
      <c r="H925" s="34" t="str">
        <f>IFERROR(__xludf.DUMMYFUNCTION("""COMPUTED_VALUE"""),"")</f>
        <v/>
      </c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</row>
    <row r="926">
      <c r="A926" s="30"/>
      <c r="B926" s="30" t="str">
        <f>IFERROR(__xludf.DUMMYFUNCTION("""COMPUTED_VALUE"""),"")</f>
        <v/>
      </c>
      <c r="C926" s="30" t="str">
        <f>IFERROR(__xludf.DUMMYFUNCTION("""COMPUTED_VALUE"""),"")</f>
        <v/>
      </c>
      <c r="D926" s="30"/>
      <c r="E926" s="34" t="str">
        <f>IFERROR(__xludf.DUMMYFUNCTION("""COMPUTED_VALUE"""),"")</f>
        <v/>
      </c>
      <c r="F926" s="30"/>
      <c r="G926" s="34" t="str">
        <f>IFERROR(__xludf.DUMMYFUNCTION("""COMPUTED_VALUE"""),"")</f>
        <v/>
      </c>
      <c r="H926" s="34" t="str">
        <f>IFERROR(__xludf.DUMMYFUNCTION("""COMPUTED_VALUE"""),"")</f>
        <v/>
      </c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</row>
    <row r="927">
      <c r="A927" s="30"/>
      <c r="B927" s="30" t="str">
        <f>IFERROR(__xludf.DUMMYFUNCTION("""COMPUTED_VALUE"""),"")</f>
        <v/>
      </c>
      <c r="C927" s="30" t="str">
        <f>IFERROR(__xludf.DUMMYFUNCTION("""COMPUTED_VALUE"""),"")</f>
        <v/>
      </c>
      <c r="D927" s="30"/>
      <c r="E927" s="34" t="str">
        <f>IFERROR(__xludf.DUMMYFUNCTION("""COMPUTED_VALUE"""),"")</f>
        <v/>
      </c>
      <c r="F927" s="30"/>
      <c r="G927" s="34" t="str">
        <f>IFERROR(__xludf.DUMMYFUNCTION("""COMPUTED_VALUE"""),"")</f>
        <v/>
      </c>
      <c r="H927" s="34" t="str">
        <f>IFERROR(__xludf.DUMMYFUNCTION("""COMPUTED_VALUE"""),"")</f>
        <v/>
      </c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</row>
    <row r="928">
      <c r="A928" s="30"/>
      <c r="B928" s="30" t="str">
        <f>IFERROR(__xludf.DUMMYFUNCTION("""COMPUTED_VALUE"""),"")</f>
        <v/>
      </c>
      <c r="C928" s="30" t="str">
        <f>IFERROR(__xludf.DUMMYFUNCTION("""COMPUTED_VALUE"""),"")</f>
        <v/>
      </c>
      <c r="D928" s="30"/>
      <c r="E928" s="34" t="str">
        <f>IFERROR(__xludf.DUMMYFUNCTION("""COMPUTED_VALUE"""),"")</f>
        <v/>
      </c>
      <c r="F928" s="30"/>
      <c r="G928" s="34" t="str">
        <f>IFERROR(__xludf.DUMMYFUNCTION("""COMPUTED_VALUE"""),"")</f>
        <v/>
      </c>
      <c r="H928" s="34" t="str">
        <f>IFERROR(__xludf.DUMMYFUNCTION("""COMPUTED_VALUE"""),"")</f>
        <v/>
      </c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</row>
    <row r="929">
      <c r="A929" s="30"/>
      <c r="B929" s="30" t="str">
        <f>IFERROR(__xludf.DUMMYFUNCTION("""COMPUTED_VALUE"""),"")</f>
        <v/>
      </c>
      <c r="C929" s="30" t="str">
        <f>IFERROR(__xludf.DUMMYFUNCTION("""COMPUTED_VALUE"""),"")</f>
        <v/>
      </c>
      <c r="D929" s="30"/>
      <c r="E929" s="34" t="str">
        <f>IFERROR(__xludf.DUMMYFUNCTION("""COMPUTED_VALUE"""),"")</f>
        <v/>
      </c>
      <c r="F929" s="30"/>
      <c r="G929" s="34" t="str">
        <f>IFERROR(__xludf.DUMMYFUNCTION("""COMPUTED_VALUE"""),"")</f>
        <v/>
      </c>
      <c r="H929" s="34" t="str">
        <f>IFERROR(__xludf.DUMMYFUNCTION("""COMPUTED_VALUE"""),"")</f>
        <v/>
      </c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</row>
    <row r="930">
      <c r="A930" s="30"/>
      <c r="B930" s="30" t="str">
        <f>IFERROR(__xludf.DUMMYFUNCTION("""COMPUTED_VALUE"""),"")</f>
        <v/>
      </c>
      <c r="C930" s="30" t="str">
        <f>IFERROR(__xludf.DUMMYFUNCTION("""COMPUTED_VALUE"""),"")</f>
        <v/>
      </c>
      <c r="D930" s="30"/>
      <c r="E930" s="34" t="str">
        <f>IFERROR(__xludf.DUMMYFUNCTION("""COMPUTED_VALUE"""),"")</f>
        <v/>
      </c>
      <c r="F930" s="30"/>
      <c r="G930" s="34" t="str">
        <f>IFERROR(__xludf.DUMMYFUNCTION("""COMPUTED_VALUE"""),"")</f>
        <v/>
      </c>
      <c r="H930" s="34" t="str">
        <f>IFERROR(__xludf.DUMMYFUNCTION("""COMPUTED_VALUE"""),"")</f>
        <v/>
      </c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</row>
    <row r="931">
      <c r="A931" s="30"/>
      <c r="B931" s="30" t="str">
        <f>IFERROR(__xludf.DUMMYFUNCTION("""COMPUTED_VALUE"""),"")</f>
        <v/>
      </c>
      <c r="C931" s="30" t="str">
        <f>IFERROR(__xludf.DUMMYFUNCTION("""COMPUTED_VALUE"""),"")</f>
        <v/>
      </c>
      <c r="D931" s="30"/>
      <c r="E931" s="34" t="str">
        <f>IFERROR(__xludf.DUMMYFUNCTION("""COMPUTED_VALUE"""),"")</f>
        <v/>
      </c>
      <c r="F931" s="30"/>
      <c r="G931" s="34" t="str">
        <f>IFERROR(__xludf.DUMMYFUNCTION("""COMPUTED_VALUE"""),"")</f>
        <v/>
      </c>
      <c r="H931" s="34" t="str">
        <f>IFERROR(__xludf.DUMMYFUNCTION("""COMPUTED_VALUE"""),"")</f>
        <v/>
      </c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</row>
    <row r="932">
      <c r="A932" s="30"/>
      <c r="B932" s="30" t="str">
        <f>IFERROR(__xludf.DUMMYFUNCTION("""COMPUTED_VALUE"""),"")</f>
        <v/>
      </c>
      <c r="C932" s="30" t="str">
        <f>IFERROR(__xludf.DUMMYFUNCTION("""COMPUTED_VALUE"""),"")</f>
        <v/>
      </c>
      <c r="D932" s="30"/>
      <c r="E932" s="34" t="str">
        <f>IFERROR(__xludf.DUMMYFUNCTION("""COMPUTED_VALUE"""),"")</f>
        <v/>
      </c>
      <c r="F932" s="30"/>
      <c r="G932" s="34" t="str">
        <f>IFERROR(__xludf.DUMMYFUNCTION("""COMPUTED_VALUE"""),"")</f>
        <v/>
      </c>
      <c r="H932" s="34" t="str">
        <f>IFERROR(__xludf.DUMMYFUNCTION("""COMPUTED_VALUE"""),"")</f>
        <v/>
      </c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</row>
    <row r="933">
      <c r="A933" s="30"/>
      <c r="B933" s="30" t="str">
        <f>IFERROR(__xludf.DUMMYFUNCTION("""COMPUTED_VALUE"""),"")</f>
        <v/>
      </c>
      <c r="C933" s="30" t="str">
        <f>IFERROR(__xludf.DUMMYFUNCTION("""COMPUTED_VALUE"""),"")</f>
        <v/>
      </c>
      <c r="D933" s="30"/>
      <c r="E933" s="34" t="str">
        <f>IFERROR(__xludf.DUMMYFUNCTION("""COMPUTED_VALUE"""),"")</f>
        <v/>
      </c>
      <c r="F933" s="30"/>
      <c r="G933" s="34" t="str">
        <f>IFERROR(__xludf.DUMMYFUNCTION("""COMPUTED_VALUE"""),"")</f>
        <v/>
      </c>
      <c r="H933" s="34" t="str">
        <f>IFERROR(__xludf.DUMMYFUNCTION("""COMPUTED_VALUE"""),"")</f>
        <v/>
      </c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</row>
    <row r="934">
      <c r="A934" s="30"/>
      <c r="B934" s="30" t="str">
        <f>IFERROR(__xludf.DUMMYFUNCTION("""COMPUTED_VALUE"""),"")</f>
        <v/>
      </c>
      <c r="C934" s="30" t="str">
        <f>IFERROR(__xludf.DUMMYFUNCTION("""COMPUTED_VALUE"""),"")</f>
        <v/>
      </c>
      <c r="D934" s="30"/>
      <c r="E934" s="34" t="str">
        <f>IFERROR(__xludf.DUMMYFUNCTION("""COMPUTED_VALUE"""),"")</f>
        <v/>
      </c>
      <c r="F934" s="30"/>
      <c r="G934" s="34" t="str">
        <f>IFERROR(__xludf.DUMMYFUNCTION("""COMPUTED_VALUE"""),"")</f>
        <v/>
      </c>
      <c r="H934" s="34" t="str">
        <f>IFERROR(__xludf.DUMMYFUNCTION("""COMPUTED_VALUE"""),"")</f>
        <v/>
      </c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</row>
    <row r="935">
      <c r="A935" s="30"/>
      <c r="B935" s="30" t="str">
        <f>IFERROR(__xludf.DUMMYFUNCTION("""COMPUTED_VALUE"""),"")</f>
        <v/>
      </c>
      <c r="C935" s="30" t="str">
        <f>IFERROR(__xludf.DUMMYFUNCTION("""COMPUTED_VALUE"""),"")</f>
        <v/>
      </c>
      <c r="D935" s="30"/>
      <c r="E935" s="34" t="str">
        <f>IFERROR(__xludf.DUMMYFUNCTION("""COMPUTED_VALUE"""),"")</f>
        <v/>
      </c>
      <c r="F935" s="30"/>
      <c r="G935" s="34" t="str">
        <f>IFERROR(__xludf.DUMMYFUNCTION("""COMPUTED_VALUE"""),"")</f>
        <v/>
      </c>
      <c r="H935" s="34" t="str">
        <f>IFERROR(__xludf.DUMMYFUNCTION("""COMPUTED_VALUE"""),"")</f>
        <v/>
      </c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</row>
    <row r="936">
      <c r="A936" s="30"/>
      <c r="B936" s="30" t="str">
        <f>IFERROR(__xludf.DUMMYFUNCTION("""COMPUTED_VALUE"""),"")</f>
        <v/>
      </c>
      <c r="C936" s="30" t="str">
        <f>IFERROR(__xludf.DUMMYFUNCTION("""COMPUTED_VALUE"""),"")</f>
        <v/>
      </c>
      <c r="D936" s="30"/>
      <c r="E936" s="34" t="str">
        <f>IFERROR(__xludf.DUMMYFUNCTION("""COMPUTED_VALUE"""),"")</f>
        <v/>
      </c>
      <c r="F936" s="30"/>
      <c r="G936" s="34" t="str">
        <f>IFERROR(__xludf.DUMMYFUNCTION("""COMPUTED_VALUE"""),"")</f>
        <v/>
      </c>
      <c r="H936" s="34" t="str">
        <f>IFERROR(__xludf.DUMMYFUNCTION("""COMPUTED_VALUE"""),"")</f>
        <v/>
      </c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</row>
    <row r="937">
      <c r="A937" s="30"/>
      <c r="B937" s="30" t="str">
        <f>IFERROR(__xludf.DUMMYFUNCTION("""COMPUTED_VALUE"""),"")</f>
        <v/>
      </c>
      <c r="C937" s="30" t="str">
        <f>IFERROR(__xludf.DUMMYFUNCTION("""COMPUTED_VALUE"""),"")</f>
        <v/>
      </c>
      <c r="D937" s="30"/>
      <c r="E937" s="34" t="str">
        <f>IFERROR(__xludf.DUMMYFUNCTION("""COMPUTED_VALUE"""),"")</f>
        <v/>
      </c>
      <c r="F937" s="30"/>
      <c r="G937" s="34" t="str">
        <f>IFERROR(__xludf.DUMMYFUNCTION("""COMPUTED_VALUE"""),"")</f>
        <v/>
      </c>
      <c r="H937" s="34" t="str">
        <f>IFERROR(__xludf.DUMMYFUNCTION("""COMPUTED_VALUE"""),"")</f>
        <v/>
      </c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</row>
    <row r="938">
      <c r="A938" s="30"/>
      <c r="B938" s="30" t="str">
        <f>IFERROR(__xludf.DUMMYFUNCTION("""COMPUTED_VALUE"""),"")</f>
        <v/>
      </c>
      <c r="C938" s="30" t="str">
        <f>IFERROR(__xludf.DUMMYFUNCTION("""COMPUTED_VALUE"""),"")</f>
        <v/>
      </c>
      <c r="D938" s="30"/>
      <c r="E938" s="34" t="str">
        <f>IFERROR(__xludf.DUMMYFUNCTION("""COMPUTED_VALUE"""),"")</f>
        <v/>
      </c>
      <c r="F938" s="30"/>
      <c r="G938" s="34" t="str">
        <f>IFERROR(__xludf.DUMMYFUNCTION("""COMPUTED_VALUE"""),"")</f>
        <v/>
      </c>
      <c r="H938" s="34" t="str">
        <f>IFERROR(__xludf.DUMMYFUNCTION("""COMPUTED_VALUE"""),"")</f>
        <v/>
      </c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</row>
    <row r="939">
      <c r="A939" s="30"/>
      <c r="B939" s="30" t="str">
        <f>IFERROR(__xludf.DUMMYFUNCTION("""COMPUTED_VALUE"""),"")</f>
        <v/>
      </c>
      <c r="C939" s="30" t="str">
        <f>IFERROR(__xludf.DUMMYFUNCTION("""COMPUTED_VALUE"""),"")</f>
        <v/>
      </c>
      <c r="D939" s="30"/>
      <c r="E939" s="34" t="str">
        <f>IFERROR(__xludf.DUMMYFUNCTION("""COMPUTED_VALUE"""),"")</f>
        <v/>
      </c>
      <c r="F939" s="30"/>
      <c r="G939" s="34" t="str">
        <f>IFERROR(__xludf.DUMMYFUNCTION("""COMPUTED_VALUE"""),"")</f>
        <v/>
      </c>
      <c r="H939" s="34" t="str">
        <f>IFERROR(__xludf.DUMMYFUNCTION("""COMPUTED_VALUE"""),"")</f>
        <v/>
      </c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</row>
    <row r="940">
      <c r="A940" s="30"/>
      <c r="B940" s="30" t="str">
        <f>IFERROR(__xludf.DUMMYFUNCTION("""COMPUTED_VALUE"""),"")</f>
        <v/>
      </c>
      <c r="C940" s="30" t="str">
        <f>IFERROR(__xludf.DUMMYFUNCTION("""COMPUTED_VALUE"""),"")</f>
        <v/>
      </c>
      <c r="D940" s="30"/>
      <c r="E940" s="34" t="str">
        <f>IFERROR(__xludf.DUMMYFUNCTION("""COMPUTED_VALUE"""),"")</f>
        <v/>
      </c>
      <c r="F940" s="30"/>
      <c r="G940" s="34" t="str">
        <f>IFERROR(__xludf.DUMMYFUNCTION("""COMPUTED_VALUE"""),"")</f>
        <v/>
      </c>
      <c r="H940" s="34" t="str">
        <f>IFERROR(__xludf.DUMMYFUNCTION("""COMPUTED_VALUE"""),"")</f>
        <v/>
      </c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</row>
    <row r="941">
      <c r="A941" s="30"/>
      <c r="B941" s="30" t="str">
        <f>IFERROR(__xludf.DUMMYFUNCTION("""COMPUTED_VALUE"""),"")</f>
        <v/>
      </c>
      <c r="C941" s="30" t="str">
        <f>IFERROR(__xludf.DUMMYFUNCTION("""COMPUTED_VALUE"""),"")</f>
        <v/>
      </c>
      <c r="D941" s="30"/>
      <c r="E941" s="34" t="str">
        <f>IFERROR(__xludf.DUMMYFUNCTION("""COMPUTED_VALUE"""),"")</f>
        <v/>
      </c>
      <c r="F941" s="30"/>
      <c r="G941" s="34" t="str">
        <f>IFERROR(__xludf.DUMMYFUNCTION("""COMPUTED_VALUE"""),"")</f>
        <v/>
      </c>
      <c r="H941" s="34" t="str">
        <f>IFERROR(__xludf.DUMMYFUNCTION("""COMPUTED_VALUE"""),"")</f>
        <v/>
      </c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</row>
    <row r="942">
      <c r="A942" s="30"/>
      <c r="B942" s="30" t="str">
        <f>IFERROR(__xludf.DUMMYFUNCTION("""COMPUTED_VALUE"""),"")</f>
        <v/>
      </c>
      <c r="C942" s="30" t="str">
        <f>IFERROR(__xludf.DUMMYFUNCTION("""COMPUTED_VALUE"""),"")</f>
        <v/>
      </c>
      <c r="D942" s="30"/>
      <c r="E942" s="34" t="str">
        <f>IFERROR(__xludf.DUMMYFUNCTION("""COMPUTED_VALUE"""),"")</f>
        <v/>
      </c>
      <c r="F942" s="30"/>
      <c r="G942" s="34" t="str">
        <f>IFERROR(__xludf.DUMMYFUNCTION("""COMPUTED_VALUE"""),"")</f>
        <v/>
      </c>
      <c r="H942" s="34" t="str">
        <f>IFERROR(__xludf.DUMMYFUNCTION("""COMPUTED_VALUE"""),"")</f>
        <v/>
      </c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</row>
    <row r="943">
      <c r="A943" s="30"/>
      <c r="B943" s="30" t="str">
        <f>IFERROR(__xludf.DUMMYFUNCTION("""COMPUTED_VALUE"""),"")</f>
        <v/>
      </c>
      <c r="C943" s="30" t="str">
        <f>IFERROR(__xludf.DUMMYFUNCTION("""COMPUTED_VALUE"""),"")</f>
        <v/>
      </c>
      <c r="D943" s="30"/>
      <c r="E943" s="34" t="str">
        <f>IFERROR(__xludf.DUMMYFUNCTION("""COMPUTED_VALUE"""),"")</f>
        <v/>
      </c>
      <c r="F943" s="30"/>
      <c r="G943" s="34" t="str">
        <f>IFERROR(__xludf.DUMMYFUNCTION("""COMPUTED_VALUE"""),"")</f>
        <v/>
      </c>
      <c r="H943" s="34" t="str">
        <f>IFERROR(__xludf.DUMMYFUNCTION("""COMPUTED_VALUE"""),"")</f>
        <v/>
      </c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</row>
    <row r="944">
      <c r="A944" s="30"/>
      <c r="B944" s="30" t="str">
        <f>IFERROR(__xludf.DUMMYFUNCTION("""COMPUTED_VALUE"""),"")</f>
        <v/>
      </c>
      <c r="C944" s="30" t="str">
        <f>IFERROR(__xludf.DUMMYFUNCTION("""COMPUTED_VALUE"""),"")</f>
        <v/>
      </c>
      <c r="D944" s="30"/>
      <c r="E944" s="34" t="str">
        <f>IFERROR(__xludf.DUMMYFUNCTION("""COMPUTED_VALUE"""),"")</f>
        <v/>
      </c>
      <c r="F944" s="30"/>
      <c r="G944" s="34" t="str">
        <f>IFERROR(__xludf.DUMMYFUNCTION("""COMPUTED_VALUE"""),"")</f>
        <v/>
      </c>
      <c r="H944" s="34" t="str">
        <f>IFERROR(__xludf.DUMMYFUNCTION("""COMPUTED_VALUE"""),"")</f>
        <v/>
      </c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</row>
    <row r="945">
      <c r="A945" s="30"/>
      <c r="B945" s="30" t="str">
        <f>IFERROR(__xludf.DUMMYFUNCTION("""COMPUTED_VALUE"""),"")</f>
        <v/>
      </c>
      <c r="C945" s="30" t="str">
        <f>IFERROR(__xludf.DUMMYFUNCTION("""COMPUTED_VALUE"""),"")</f>
        <v/>
      </c>
      <c r="D945" s="30"/>
      <c r="E945" s="34" t="str">
        <f>IFERROR(__xludf.DUMMYFUNCTION("""COMPUTED_VALUE"""),"")</f>
        <v/>
      </c>
      <c r="F945" s="30"/>
      <c r="G945" s="34" t="str">
        <f>IFERROR(__xludf.DUMMYFUNCTION("""COMPUTED_VALUE"""),"")</f>
        <v/>
      </c>
      <c r="H945" s="34" t="str">
        <f>IFERROR(__xludf.DUMMYFUNCTION("""COMPUTED_VALUE"""),"")</f>
        <v/>
      </c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</row>
    <row r="946">
      <c r="A946" s="30"/>
      <c r="B946" s="30" t="str">
        <f>IFERROR(__xludf.DUMMYFUNCTION("""COMPUTED_VALUE"""),"")</f>
        <v/>
      </c>
      <c r="C946" s="30" t="str">
        <f>IFERROR(__xludf.DUMMYFUNCTION("""COMPUTED_VALUE"""),"")</f>
        <v/>
      </c>
      <c r="D946" s="30"/>
      <c r="E946" s="34" t="str">
        <f>IFERROR(__xludf.DUMMYFUNCTION("""COMPUTED_VALUE"""),"")</f>
        <v/>
      </c>
      <c r="F946" s="30"/>
      <c r="G946" s="34" t="str">
        <f>IFERROR(__xludf.DUMMYFUNCTION("""COMPUTED_VALUE"""),"")</f>
        <v/>
      </c>
      <c r="H946" s="34" t="str">
        <f>IFERROR(__xludf.DUMMYFUNCTION("""COMPUTED_VALUE"""),"")</f>
        <v/>
      </c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</row>
    <row r="947">
      <c r="A947" s="30"/>
      <c r="B947" s="30" t="str">
        <f>IFERROR(__xludf.DUMMYFUNCTION("""COMPUTED_VALUE"""),"")</f>
        <v/>
      </c>
      <c r="C947" s="30" t="str">
        <f>IFERROR(__xludf.DUMMYFUNCTION("""COMPUTED_VALUE"""),"")</f>
        <v/>
      </c>
      <c r="D947" s="30"/>
      <c r="E947" s="34" t="str">
        <f>IFERROR(__xludf.DUMMYFUNCTION("""COMPUTED_VALUE"""),"")</f>
        <v/>
      </c>
      <c r="F947" s="30"/>
      <c r="G947" s="34" t="str">
        <f>IFERROR(__xludf.DUMMYFUNCTION("""COMPUTED_VALUE"""),"")</f>
        <v/>
      </c>
      <c r="H947" s="34" t="str">
        <f>IFERROR(__xludf.DUMMYFUNCTION("""COMPUTED_VALUE"""),"")</f>
        <v/>
      </c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</row>
    <row r="948">
      <c r="A948" s="30"/>
      <c r="B948" s="30" t="str">
        <f>IFERROR(__xludf.DUMMYFUNCTION("""COMPUTED_VALUE"""),"")</f>
        <v/>
      </c>
      <c r="C948" s="30" t="str">
        <f>IFERROR(__xludf.DUMMYFUNCTION("""COMPUTED_VALUE"""),"")</f>
        <v/>
      </c>
      <c r="D948" s="30"/>
      <c r="E948" s="34" t="str">
        <f>IFERROR(__xludf.DUMMYFUNCTION("""COMPUTED_VALUE"""),"")</f>
        <v/>
      </c>
      <c r="F948" s="30"/>
      <c r="G948" s="34" t="str">
        <f>IFERROR(__xludf.DUMMYFUNCTION("""COMPUTED_VALUE"""),"")</f>
        <v/>
      </c>
      <c r="H948" s="34" t="str">
        <f>IFERROR(__xludf.DUMMYFUNCTION("""COMPUTED_VALUE"""),"")</f>
        <v/>
      </c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</row>
    <row r="949">
      <c r="A949" s="30"/>
      <c r="B949" s="30" t="str">
        <f>IFERROR(__xludf.DUMMYFUNCTION("""COMPUTED_VALUE"""),"")</f>
        <v/>
      </c>
      <c r="C949" s="30" t="str">
        <f>IFERROR(__xludf.DUMMYFUNCTION("""COMPUTED_VALUE"""),"")</f>
        <v/>
      </c>
      <c r="D949" s="30"/>
      <c r="E949" s="34" t="str">
        <f>IFERROR(__xludf.DUMMYFUNCTION("""COMPUTED_VALUE"""),"")</f>
        <v/>
      </c>
      <c r="F949" s="30"/>
      <c r="G949" s="34" t="str">
        <f>IFERROR(__xludf.DUMMYFUNCTION("""COMPUTED_VALUE"""),"")</f>
        <v/>
      </c>
      <c r="H949" s="34" t="str">
        <f>IFERROR(__xludf.DUMMYFUNCTION("""COMPUTED_VALUE"""),"")</f>
        <v/>
      </c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</row>
    <row r="950">
      <c r="A950" s="30"/>
      <c r="B950" s="30" t="str">
        <f>IFERROR(__xludf.DUMMYFUNCTION("""COMPUTED_VALUE"""),"")</f>
        <v/>
      </c>
      <c r="C950" s="30" t="str">
        <f>IFERROR(__xludf.DUMMYFUNCTION("""COMPUTED_VALUE"""),"")</f>
        <v/>
      </c>
      <c r="D950" s="30"/>
      <c r="E950" s="34" t="str">
        <f>IFERROR(__xludf.DUMMYFUNCTION("""COMPUTED_VALUE"""),"")</f>
        <v/>
      </c>
      <c r="F950" s="30"/>
      <c r="G950" s="34" t="str">
        <f>IFERROR(__xludf.DUMMYFUNCTION("""COMPUTED_VALUE"""),"")</f>
        <v/>
      </c>
      <c r="H950" s="34" t="str">
        <f>IFERROR(__xludf.DUMMYFUNCTION("""COMPUTED_VALUE"""),"")</f>
        <v/>
      </c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</row>
    <row r="951">
      <c r="A951" s="30"/>
      <c r="B951" s="30" t="str">
        <f>IFERROR(__xludf.DUMMYFUNCTION("""COMPUTED_VALUE"""),"")</f>
        <v/>
      </c>
      <c r="C951" s="30" t="str">
        <f>IFERROR(__xludf.DUMMYFUNCTION("""COMPUTED_VALUE"""),"")</f>
        <v/>
      </c>
      <c r="D951" s="30"/>
      <c r="E951" s="34" t="str">
        <f>IFERROR(__xludf.DUMMYFUNCTION("""COMPUTED_VALUE"""),"")</f>
        <v/>
      </c>
      <c r="F951" s="30"/>
      <c r="G951" s="34" t="str">
        <f>IFERROR(__xludf.DUMMYFUNCTION("""COMPUTED_VALUE"""),"")</f>
        <v/>
      </c>
      <c r="H951" s="34" t="str">
        <f>IFERROR(__xludf.DUMMYFUNCTION("""COMPUTED_VALUE"""),"")</f>
        <v/>
      </c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</row>
    <row r="952">
      <c r="A952" s="30"/>
      <c r="B952" s="30" t="str">
        <f>IFERROR(__xludf.DUMMYFUNCTION("""COMPUTED_VALUE"""),"")</f>
        <v/>
      </c>
      <c r="C952" s="30" t="str">
        <f>IFERROR(__xludf.DUMMYFUNCTION("""COMPUTED_VALUE"""),"")</f>
        <v/>
      </c>
      <c r="D952" s="30"/>
      <c r="E952" s="34" t="str">
        <f>IFERROR(__xludf.DUMMYFUNCTION("""COMPUTED_VALUE"""),"")</f>
        <v/>
      </c>
      <c r="F952" s="30"/>
      <c r="G952" s="34" t="str">
        <f>IFERROR(__xludf.DUMMYFUNCTION("""COMPUTED_VALUE"""),"")</f>
        <v/>
      </c>
      <c r="H952" s="34" t="str">
        <f>IFERROR(__xludf.DUMMYFUNCTION("""COMPUTED_VALUE"""),"")</f>
        <v/>
      </c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</row>
    <row r="953">
      <c r="A953" s="30"/>
      <c r="B953" s="30" t="str">
        <f>IFERROR(__xludf.DUMMYFUNCTION("""COMPUTED_VALUE"""),"")</f>
        <v/>
      </c>
      <c r="C953" s="30" t="str">
        <f>IFERROR(__xludf.DUMMYFUNCTION("""COMPUTED_VALUE"""),"")</f>
        <v/>
      </c>
      <c r="D953" s="30"/>
      <c r="E953" s="34" t="str">
        <f>IFERROR(__xludf.DUMMYFUNCTION("""COMPUTED_VALUE"""),"")</f>
        <v/>
      </c>
      <c r="F953" s="30"/>
      <c r="G953" s="34" t="str">
        <f>IFERROR(__xludf.DUMMYFUNCTION("""COMPUTED_VALUE"""),"")</f>
        <v/>
      </c>
      <c r="H953" s="34" t="str">
        <f>IFERROR(__xludf.DUMMYFUNCTION("""COMPUTED_VALUE"""),"")</f>
        <v/>
      </c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</row>
    <row r="954">
      <c r="A954" s="30"/>
      <c r="B954" s="30" t="str">
        <f>IFERROR(__xludf.DUMMYFUNCTION("""COMPUTED_VALUE"""),"")</f>
        <v/>
      </c>
      <c r="C954" s="30" t="str">
        <f>IFERROR(__xludf.DUMMYFUNCTION("""COMPUTED_VALUE"""),"")</f>
        <v/>
      </c>
      <c r="D954" s="30"/>
      <c r="E954" s="34" t="str">
        <f>IFERROR(__xludf.DUMMYFUNCTION("""COMPUTED_VALUE"""),"")</f>
        <v/>
      </c>
      <c r="F954" s="30"/>
      <c r="G954" s="34" t="str">
        <f>IFERROR(__xludf.DUMMYFUNCTION("""COMPUTED_VALUE"""),"")</f>
        <v/>
      </c>
      <c r="H954" s="34" t="str">
        <f>IFERROR(__xludf.DUMMYFUNCTION("""COMPUTED_VALUE"""),"")</f>
        <v/>
      </c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</row>
    <row r="955">
      <c r="A955" s="30"/>
      <c r="B955" s="30" t="str">
        <f>IFERROR(__xludf.DUMMYFUNCTION("""COMPUTED_VALUE"""),"")</f>
        <v/>
      </c>
      <c r="C955" s="30" t="str">
        <f>IFERROR(__xludf.DUMMYFUNCTION("""COMPUTED_VALUE"""),"")</f>
        <v/>
      </c>
      <c r="D955" s="30"/>
      <c r="E955" s="34" t="str">
        <f>IFERROR(__xludf.DUMMYFUNCTION("""COMPUTED_VALUE"""),"")</f>
        <v/>
      </c>
      <c r="F955" s="30"/>
      <c r="G955" s="34" t="str">
        <f>IFERROR(__xludf.DUMMYFUNCTION("""COMPUTED_VALUE"""),"")</f>
        <v/>
      </c>
      <c r="H955" s="34" t="str">
        <f>IFERROR(__xludf.DUMMYFUNCTION("""COMPUTED_VALUE"""),"")</f>
        <v/>
      </c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</row>
    <row r="956">
      <c r="A956" s="30"/>
      <c r="B956" s="30" t="str">
        <f>IFERROR(__xludf.DUMMYFUNCTION("""COMPUTED_VALUE"""),"")</f>
        <v/>
      </c>
      <c r="C956" s="30" t="str">
        <f>IFERROR(__xludf.DUMMYFUNCTION("""COMPUTED_VALUE"""),"")</f>
        <v/>
      </c>
      <c r="D956" s="30"/>
      <c r="E956" s="34" t="str">
        <f>IFERROR(__xludf.DUMMYFUNCTION("""COMPUTED_VALUE"""),"")</f>
        <v/>
      </c>
      <c r="F956" s="30"/>
      <c r="G956" s="34" t="str">
        <f>IFERROR(__xludf.DUMMYFUNCTION("""COMPUTED_VALUE"""),"")</f>
        <v/>
      </c>
      <c r="H956" s="34" t="str">
        <f>IFERROR(__xludf.DUMMYFUNCTION("""COMPUTED_VALUE"""),"")</f>
        <v/>
      </c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</row>
    <row r="957">
      <c r="A957" s="30"/>
      <c r="B957" s="30" t="str">
        <f>IFERROR(__xludf.DUMMYFUNCTION("""COMPUTED_VALUE"""),"")</f>
        <v/>
      </c>
      <c r="C957" s="30" t="str">
        <f>IFERROR(__xludf.DUMMYFUNCTION("""COMPUTED_VALUE"""),"")</f>
        <v/>
      </c>
      <c r="D957" s="30"/>
      <c r="E957" s="34" t="str">
        <f>IFERROR(__xludf.DUMMYFUNCTION("""COMPUTED_VALUE"""),"")</f>
        <v/>
      </c>
      <c r="F957" s="30"/>
      <c r="G957" s="34" t="str">
        <f>IFERROR(__xludf.DUMMYFUNCTION("""COMPUTED_VALUE"""),"")</f>
        <v/>
      </c>
      <c r="H957" s="34" t="str">
        <f>IFERROR(__xludf.DUMMYFUNCTION("""COMPUTED_VALUE"""),"")</f>
        <v/>
      </c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</row>
    <row r="958">
      <c r="A958" s="30"/>
      <c r="B958" s="30" t="str">
        <f>IFERROR(__xludf.DUMMYFUNCTION("""COMPUTED_VALUE"""),"")</f>
        <v/>
      </c>
      <c r="C958" s="30" t="str">
        <f>IFERROR(__xludf.DUMMYFUNCTION("""COMPUTED_VALUE"""),"")</f>
        <v/>
      </c>
      <c r="D958" s="30"/>
      <c r="E958" s="34" t="str">
        <f>IFERROR(__xludf.DUMMYFUNCTION("""COMPUTED_VALUE"""),"")</f>
        <v/>
      </c>
      <c r="F958" s="30"/>
      <c r="G958" s="34" t="str">
        <f>IFERROR(__xludf.DUMMYFUNCTION("""COMPUTED_VALUE"""),"")</f>
        <v/>
      </c>
      <c r="H958" s="34" t="str">
        <f>IFERROR(__xludf.DUMMYFUNCTION("""COMPUTED_VALUE"""),"")</f>
        <v/>
      </c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</row>
    <row r="959">
      <c r="A959" s="30"/>
      <c r="B959" s="30" t="str">
        <f>IFERROR(__xludf.DUMMYFUNCTION("""COMPUTED_VALUE"""),"")</f>
        <v/>
      </c>
      <c r="C959" s="30" t="str">
        <f>IFERROR(__xludf.DUMMYFUNCTION("""COMPUTED_VALUE"""),"")</f>
        <v/>
      </c>
      <c r="D959" s="30"/>
      <c r="E959" s="34" t="str">
        <f>IFERROR(__xludf.DUMMYFUNCTION("""COMPUTED_VALUE"""),"")</f>
        <v/>
      </c>
      <c r="F959" s="30"/>
      <c r="G959" s="34" t="str">
        <f>IFERROR(__xludf.DUMMYFUNCTION("""COMPUTED_VALUE"""),"")</f>
        <v/>
      </c>
      <c r="H959" s="34" t="str">
        <f>IFERROR(__xludf.DUMMYFUNCTION("""COMPUTED_VALUE"""),"")</f>
        <v/>
      </c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</row>
    <row r="960">
      <c r="A960" s="30"/>
      <c r="B960" s="30" t="str">
        <f>IFERROR(__xludf.DUMMYFUNCTION("""COMPUTED_VALUE"""),"")</f>
        <v/>
      </c>
      <c r="C960" s="30" t="str">
        <f>IFERROR(__xludf.DUMMYFUNCTION("""COMPUTED_VALUE"""),"")</f>
        <v/>
      </c>
      <c r="D960" s="30"/>
      <c r="E960" s="34" t="str">
        <f>IFERROR(__xludf.DUMMYFUNCTION("""COMPUTED_VALUE"""),"")</f>
        <v/>
      </c>
      <c r="F960" s="30"/>
      <c r="G960" s="34" t="str">
        <f>IFERROR(__xludf.DUMMYFUNCTION("""COMPUTED_VALUE"""),"")</f>
        <v/>
      </c>
      <c r="H960" s="34" t="str">
        <f>IFERROR(__xludf.DUMMYFUNCTION("""COMPUTED_VALUE"""),"")</f>
        <v/>
      </c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</row>
    <row r="961">
      <c r="A961" s="30"/>
      <c r="B961" s="30" t="str">
        <f>IFERROR(__xludf.DUMMYFUNCTION("""COMPUTED_VALUE"""),"")</f>
        <v/>
      </c>
      <c r="C961" s="30" t="str">
        <f>IFERROR(__xludf.DUMMYFUNCTION("""COMPUTED_VALUE"""),"")</f>
        <v/>
      </c>
      <c r="D961" s="30"/>
      <c r="E961" s="34" t="str">
        <f>IFERROR(__xludf.DUMMYFUNCTION("""COMPUTED_VALUE"""),"")</f>
        <v/>
      </c>
      <c r="F961" s="30"/>
      <c r="G961" s="34" t="str">
        <f>IFERROR(__xludf.DUMMYFUNCTION("""COMPUTED_VALUE"""),"")</f>
        <v/>
      </c>
      <c r="H961" s="34" t="str">
        <f>IFERROR(__xludf.DUMMYFUNCTION("""COMPUTED_VALUE"""),"")</f>
        <v/>
      </c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</row>
    <row r="962">
      <c r="A962" s="30"/>
      <c r="B962" s="30" t="str">
        <f>IFERROR(__xludf.DUMMYFUNCTION("""COMPUTED_VALUE"""),"")</f>
        <v/>
      </c>
      <c r="C962" s="30" t="str">
        <f>IFERROR(__xludf.DUMMYFUNCTION("""COMPUTED_VALUE"""),"")</f>
        <v/>
      </c>
      <c r="D962" s="30"/>
      <c r="E962" s="34" t="str">
        <f>IFERROR(__xludf.DUMMYFUNCTION("""COMPUTED_VALUE"""),"")</f>
        <v/>
      </c>
      <c r="F962" s="30"/>
      <c r="G962" s="34" t="str">
        <f>IFERROR(__xludf.DUMMYFUNCTION("""COMPUTED_VALUE"""),"")</f>
        <v/>
      </c>
      <c r="H962" s="34" t="str">
        <f>IFERROR(__xludf.DUMMYFUNCTION("""COMPUTED_VALUE"""),"")</f>
        <v/>
      </c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</row>
    <row r="963">
      <c r="A963" s="30"/>
      <c r="B963" s="30" t="str">
        <f>IFERROR(__xludf.DUMMYFUNCTION("""COMPUTED_VALUE"""),"")</f>
        <v/>
      </c>
      <c r="C963" s="30" t="str">
        <f>IFERROR(__xludf.DUMMYFUNCTION("""COMPUTED_VALUE"""),"")</f>
        <v/>
      </c>
      <c r="D963" s="30"/>
      <c r="E963" s="34" t="str">
        <f>IFERROR(__xludf.DUMMYFUNCTION("""COMPUTED_VALUE"""),"")</f>
        <v/>
      </c>
      <c r="F963" s="30"/>
      <c r="G963" s="34" t="str">
        <f>IFERROR(__xludf.DUMMYFUNCTION("""COMPUTED_VALUE"""),"")</f>
        <v/>
      </c>
      <c r="H963" s="34" t="str">
        <f>IFERROR(__xludf.DUMMYFUNCTION("""COMPUTED_VALUE"""),"")</f>
        <v/>
      </c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</row>
    <row r="964">
      <c r="A964" s="30"/>
      <c r="B964" s="30" t="str">
        <f>IFERROR(__xludf.DUMMYFUNCTION("""COMPUTED_VALUE"""),"")</f>
        <v/>
      </c>
      <c r="C964" s="30" t="str">
        <f>IFERROR(__xludf.DUMMYFUNCTION("""COMPUTED_VALUE"""),"")</f>
        <v/>
      </c>
      <c r="D964" s="30"/>
      <c r="E964" s="34" t="str">
        <f>IFERROR(__xludf.DUMMYFUNCTION("""COMPUTED_VALUE"""),"")</f>
        <v/>
      </c>
      <c r="F964" s="30"/>
      <c r="G964" s="34" t="str">
        <f>IFERROR(__xludf.DUMMYFUNCTION("""COMPUTED_VALUE"""),"")</f>
        <v/>
      </c>
      <c r="H964" s="34" t="str">
        <f>IFERROR(__xludf.DUMMYFUNCTION("""COMPUTED_VALUE"""),"")</f>
        <v/>
      </c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</row>
    <row r="965">
      <c r="A965" s="30"/>
      <c r="B965" s="30" t="str">
        <f>IFERROR(__xludf.DUMMYFUNCTION("""COMPUTED_VALUE"""),"")</f>
        <v/>
      </c>
      <c r="C965" s="30" t="str">
        <f>IFERROR(__xludf.DUMMYFUNCTION("""COMPUTED_VALUE"""),"")</f>
        <v/>
      </c>
      <c r="D965" s="30"/>
      <c r="E965" s="34" t="str">
        <f>IFERROR(__xludf.DUMMYFUNCTION("""COMPUTED_VALUE"""),"")</f>
        <v/>
      </c>
      <c r="F965" s="30"/>
      <c r="G965" s="34" t="str">
        <f>IFERROR(__xludf.DUMMYFUNCTION("""COMPUTED_VALUE"""),"")</f>
        <v/>
      </c>
      <c r="H965" s="34" t="str">
        <f>IFERROR(__xludf.DUMMYFUNCTION("""COMPUTED_VALUE"""),"")</f>
        <v/>
      </c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</row>
    <row r="966">
      <c r="A966" s="30"/>
      <c r="B966" s="30" t="str">
        <f>IFERROR(__xludf.DUMMYFUNCTION("""COMPUTED_VALUE"""),"")</f>
        <v/>
      </c>
      <c r="C966" s="30" t="str">
        <f>IFERROR(__xludf.DUMMYFUNCTION("""COMPUTED_VALUE"""),"")</f>
        <v/>
      </c>
      <c r="D966" s="30"/>
      <c r="E966" s="34" t="str">
        <f>IFERROR(__xludf.DUMMYFUNCTION("""COMPUTED_VALUE"""),"")</f>
        <v/>
      </c>
      <c r="F966" s="30"/>
      <c r="G966" s="34" t="str">
        <f>IFERROR(__xludf.DUMMYFUNCTION("""COMPUTED_VALUE"""),"")</f>
        <v/>
      </c>
      <c r="H966" s="34" t="str">
        <f>IFERROR(__xludf.DUMMYFUNCTION("""COMPUTED_VALUE"""),"")</f>
        <v/>
      </c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</row>
    <row r="967">
      <c r="A967" s="30"/>
      <c r="B967" s="30" t="str">
        <f>IFERROR(__xludf.DUMMYFUNCTION("""COMPUTED_VALUE"""),"")</f>
        <v/>
      </c>
      <c r="C967" s="30" t="str">
        <f>IFERROR(__xludf.DUMMYFUNCTION("""COMPUTED_VALUE"""),"")</f>
        <v/>
      </c>
      <c r="D967" s="30"/>
      <c r="E967" s="34" t="str">
        <f>IFERROR(__xludf.DUMMYFUNCTION("""COMPUTED_VALUE"""),"")</f>
        <v/>
      </c>
      <c r="F967" s="30"/>
      <c r="G967" s="34" t="str">
        <f>IFERROR(__xludf.DUMMYFUNCTION("""COMPUTED_VALUE"""),"")</f>
        <v/>
      </c>
      <c r="H967" s="34" t="str">
        <f>IFERROR(__xludf.DUMMYFUNCTION("""COMPUTED_VALUE"""),"")</f>
        <v/>
      </c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</row>
    <row r="968">
      <c r="A968" s="30"/>
      <c r="B968" s="30" t="str">
        <f>IFERROR(__xludf.DUMMYFUNCTION("""COMPUTED_VALUE"""),"")</f>
        <v/>
      </c>
      <c r="C968" s="30" t="str">
        <f>IFERROR(__xludf.DUMMYFUNCTION("""COMPUTED_VALUE"""),"")</f>
        <v/>
      </c>
      <c r="D968" s="30"/>
      <c r="E968" s="34" t="str">
        <f>IFERROR(__xludf.DUMMYFUNCTION("""COMPUTED_VALUE"""),"")</f>
        <v/>
      </c>
      <c r="F968" s="30"/>
      <c r="G968" s="34" t="str">
        <f>IFERROR(__xludf.DUMMYFUNCTION("""COMPUTED_VALUE"""),"")</f>
        <v/>
      </c>
      <c r="H968" s="34" t="str">
        <f>IFERROR(__xludf.DUMMYFUNCTION("""COMPUTED_VALUE"""),"")</f>
        <v/>
      </c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</row>
    <row r="969">
      <c r="A969" s="30"/>
      <c r="B969" s="30" t="str">
        <f>IFERROR(__xludf.DUMMYFUNCTION("""COMPUTED_VALUE"""),"")</f>
        <v/>
      </c>
      <c r="C969" s="30" t="str">
        <f>IFERROR(__xludf.DUMMYFUNCTION("""COMPUTED_VALUE"""),"")</f>
        <v/>
      </c>
      <c r="D969" s="30"/>
      <c r="E969" s="34" t="str">
        <f>IFERROR(__xludf.DUMMYFUNCTION("""COMPUTED_VALUE"""),"")</f>
        <v/>
      </c>
      <c r="F969" s="30"/>
      <c r="G969" s="34" t="str">
        <f>IFERROR(__xludf.DUMMYFUNCTION("""COMPUTED_VALUE"""),"")</f>
        <v/>
      </c>
      <c r="H969" s="34" t="str">
        <f>IFERROR(__xludf.DUMMYFUNCTION("""COMPUTED_VALUE"""),"")</f>
        <v/>
      </c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</row>
    <row r="970">
      <c r="A970" s="30"/>
      <c r="B970" s="30" t="str">
        <f>IFERROR(__xludf.DUMMYFUNCTION("""COMPUTED_VALUE"""),"")</f>
        <v/>
      </c>
      <c r="C970" s="30" t="str">
        <f>IFERROR(__xludf.DUMMYFUNCTION("""COMPUTED_VALUE"""),"")</f>
        <v/>
      </c>
      <c r="D970" s="30"/>
      <c r="E970" s="34" t="str">
        <f>IFERROR(__xludf.DUMMYFUNCTION("""COMPUTED_VALUE"""),"")</f>
        <v/>
      </c>
      <c r="F970" s="30"/>
      <c r="G970" s="34" t="str">
        <f>IFERROR(__xludf.DUMMYFUNCTION("""COMPUTED_VALUE"""),"")</f>
        <v/>
      </c>
      <c r="H970" s="34" t="str">
        <f>IFERROR(__xludf.DUMMYFUNCTION("""COMPUTED_VALUE"""),"")</f>
        <v/>
      </c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</row>
    <row r="971">
      <c r="A971" s="30"/>
      <c r="B971" s="30" t="str">
        <f>IFERROR(__xludf.DUMMYFUNCTION("""COMPUTED_VALUE"""),"")</f>
        <v/>
      </c>
      <c r="C971" s="30" t="str">
        <f>IFERROR(__xludf.DUMMYFUNCTION("""COMPUTED_VALUE"""),"")</f>
        <v/>
      </c>
      <c r="D971" s="30"/>
      <c r="E971" s="34" t="str">
        <f>IFERROR(__xludf.DUMMYFUNCTION("""COMPUTED_VALUE"""),"")</f>
        <v/>
      </c>
      <c r="F971" s="30"/>
      <c r="G971" s="34" t="str">
        <f>IFERROR(__xludf.DUMMYFUNCTION("""COMPUTED_VALUE"""),"")</f>
        <v/>
      </c>
      <c r="H971" s="34" t="str">
        <f>IFERROR(__xludf.DUMMYFUNCTION("""COMPUTED_VALUE"""),"")</f>
        <v/>
      </c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</row>
    <row r="972">
      <c r="A972" s="30"/>
      <c r="B972" s="30" t="str">
        <f>IFERROR(__xludf.DUMMYFUNCTION("""COMPUTED_VALUE"""),"")</f>
        <v/>
      </c>
      <c r="C972" s="30" t="str">
        <f>IFERROR(__xludf.DUMMYFUNCTION("""COMPUTED_VALUE"""),"")</f>
        <v/>
      </c>
      <c r="D972" s="30"/>
      <c r="E972" s="34" t="str">
        <f>IFERROR(__xludf.DUMMYFUNCTION("""COMPUTED_VALUE"""),"")</f>
        <v/>
      </c>
      <c r="F972" s="30"/>
      <c r="G972" s="34" t="str">
        <f>IFERROR(__xludf.DUMMYFUNCTION("""COMPUTED_VALUE"""),"")</f>
        <v/>
      </c>
      <c r="H972" s="34" t="str">
        <f>IFERROR(__xludf.DUMMYFUNCTION("""COMPUTED_VALUE"""),"")</f>
        <v/>
      </c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</row>
    <row r="973">
      <c r="A973" s="30"/>
      <c r="B973" s="30" t="str">
        <f>IFERROR(__xludf.DUMMYFUNCTION("""COMPUTED_VALUE"""),"")</f>
        <v/>
      </c>
      <c r="C973" s="30" t="str">
        <f>IFERROR(__xludf.DUMMYFUNCTION("""COMPUTED_VALUE"""),"")</f>
        <v/>
      </c>
      <c r="D973" s="30"/>
      <c r="E973" s="34" t="str">
        <f>IFERROR(__xludf.DUMMYFUNCTION("""COMPUTED_VALUE"""),"")</f>
        <v/>
      </c>
      <c r="F973" s="30"/>
      <c r="G973" s="34" t="str">
        <f>IFERROR(__xludf.DUMMYFUNCTION("""COMPUTED_VALUE"""),"")</f>
        <v/>
      </c>
      <c r="H973" s="34" t="str">
        <f>IFERROR(__xludf.DUMMYFUNCTION("""COMPUTED_VALUE"""),"")</f>
        <v/>
      </c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</row>
    <row r="974">
      <c r="A974" s="30"/>
      <c r="B974" s="30" t="str">
        <f>IFERROR(__xludf.DUMMYFUNCTION("""COMPUTED_VALUE"""),"")</f>
        <v/>
      </c>
      <c r="C974" s="30" t="str">
        <f>IFERROR(__xludf.DUMMYFUNCTION("""COMPUTED_VALUE"""),"")</f>
        <v/>
      </c>
      <c r="D974" s="30"/>
      <c r="E974" s="34" t="str">
        <f>IFERROR(__xludf.DUMMYFUNCTION("""COMPUTED_VALUE"""),"")</f>
        <v/>
      </c>
      <c r="F974" s="30"/>
      <c r="G974" s="34" t="str">
        <f>IFERROR(__xludf.DUMMYFUNCTION("""COMPUTED_VALUE"""),"")</f>
        <v/>
      </c>
      <c r="H974" s="34" t="str">
        <f>IFERROR(__xludf.DUMMYFUNCTION("""COMPUTED_VALUE"""),"")</f>
        <v/>
      </c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</row>
    <row r="975">
      <c r="A975" s="30"/>
      <c r="B975" s="30" t="str">
        <f>IFERROR(__xludf.DUMMYFUNCTION("""COMPUTED_VALUE"""),"")</f>
        <v/>
      </c>
      <c r="C975" s="30" t="str">
        <f>IFERROR(__xludf.DUMMYFUNCTION("""COMPUTED_VALUE"""),"")</f>
        <v/>
      </c>
      <c r="D975" s="30"/>
      <c r="E975" s="34" t="str">
        <f>IFERROR(__xludf.DUMMYFUNCTION("""COMPUTED_VALUE"""),"")</f>
        <v/>
      </c>
      <c r="F975" s="30"/>
      <c r="G975" s="34" t="str">
        <f>IFERROR(__xludf.DUMMYFUNCTION("""COMPUTED_VALUE"""),"")</f>
        <v/>
      </c>
      <c r="H975" s="34" t="str">
        <f>IFERROR(__xludf.DUMMYFUNCTION("""COMPUTED_VALUE"""),"")</f>
        <v/>
      </c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</row>
    <row r="976">
      <c r="A976" s="30"/>
      <c r="B976" s="30" t="str">
        <f>IFERROR(__xludf.DUMMYFUNCTION("""COMPUTED_VALUE"""),"")</f>
        <v/>
      </c>
      <c r="C976" s="30" t="str">
        <f>IFERROR(__xludf.DUMMYFUNCTION("""COMPUTED_VALUE"""),"")</f>
        <v/>
      </c>
      <c r="D976" s="30"/>
      <c r="E976" s="34" t="str">
        <f>IFERROR(__xludf.DUMMYFUNCTION("""COMPUTED_VALUE"""),"")</f>
        <v/>
      </c>
      <c r="F976" s="30"/>
      <c r="G976" s="34" t="str">
        <f>IFERROR(__xludf.DUMMYFUNCTION("""COMPUTED_VALUE"""),"")</f>
        <v/>
      </c>
      <c r="H976" s="34" t="str">
        <f>IFERROR(__xludf.DUMMYFUNCTION("""COMPUTED_VALUE"""),"")</f>
        <v/>
      </c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</row>
    <row r="977">
      <c r="A977" s="30"/>
      <c r="B977" s="30" t="str">
        <f>IFERROR(__xludf.DUMMYFUNCTION("""COMPUTED_VALUE"""),"")</f>
        <v/>
      </c>
      <c r="C977" s="30" t="str">
        <f>IFERROR(__xludf.DUMMYFUNCTION("""COMPUTED_VALUE"""),"")</f>
        <v/>
      </c>
      <c r="D977" s="30"/>
      <c r="E977" s="34" t="str">
        <f>IFERROR(__xludf.DUMMYFUNCTION("""COMPUTED_VALUE"""),"")</f>
        <v/>
      </c>
      <c r="F977" s="30"/>
      <c r="G977" s="34" t="str">
        <f>IFERROR(__xludf.DUMMYFUNCTION("""COMPUTED_VALUE"""),"")</f>
        <v/>
      </c>
      <c r="H977" s="34" t="str">
        <f>IFERROR(__xludf.DUMMYFUNCTION("""COMPUTED_VALUE"""),"")</f>
        <v/>
      </c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</row>
    <row r="978">
      <c r="A978" s="30"/>
      <c r="B978" s="30" t="str">
        <f>IFERROR(__xludf.DUMMYFUNCTION("""COMPUTED_VALUE"""),"")</f>
        <v/>
      </c>
      <c r="C978" s="30" t="str">
        <f>IFERROR(__xludf.DUMMYFUNCTION("""COMPUTED_VALUE"""),"")</f>
        <v/>
      </c>
      <c r="D978" s="30"/>
      <c r="E978" s="34" t="str">
        <f>IFERROR(__xludf.DUMMYFUNCTION("""COMPUTED_VALUE"""),"")</f>
        <v/>
      </c>
      <c r="F978" s="30"/>
      <c r="G978" s="34" t="str">
        <f>IFERROR(__xludf.DUMMYFUNCTION("""COMPUTED_VALUE"""),"")</f>
        <v/>
      </c>
      <c r="H978" s="34" t="str">
        <f>IFERROR(__xludf.DUMMYFUNCTION("""COMPUTED_VALUE"""),"")</f>
        <v/>
      </c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</row>
    <row r="979">
      <c r="A979" s="30"/>
      <c r="B979" s="30" t="str">
        <f>IFERROR(__xludf.DUMMYFUNCTION("""COMPUTED_VALUE"""),"")</f>
        <v/>
      </c>
      <c r="C979" s="30" t="str">
        <f>IFERROR(__xludf.DUMMYFUNCTION("""COMPUTED_VALUE"""),"")</f>
        <v/>
      </c>
      <c r="D979" s="30"/>
      <c r="E979" s="34" t="str">
        <f>IFERROR(__xludf.DUMMYFUNCTION("""COMPUTED_VALUE"""),"")</f>
        <v/>
      </c>
      <c r="F979" s="30"/>
      <c r="G979" s="34" t="str">
        <f>IFERROR(__xludf.DUMMYFUNCTION("""COMPUTED_VALUE"""),"")</f>
        <v/>
      </c>
      <c r="H979" s="34" t="str">
        <f>IFERROR(__xludf.DUMMYFUNCTION("""COMPUTED_VALUE"""),"")</f>
        <v/>
      </c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</row>
    <row r="980">
      <c r="A980" s="30"/>
      <c r="B980" s="30" t="str">
        <f>IFERROR(__xludf.DUMMYFUNCTION("""COMPUTED_VALUE"""),"")</f>
        <v/>
      </c>
      <c r="C980" s="30" t="str">
        <f>IFERROR(__xludf.DUMMYFUNCTION("""COMPUTED_VALUE"""),"")</f>
        <v/>
      </c>
      <c r="D980" s="30"/>
      <c r="E980" s="34" t="str">
        <f>IFERROR(__xludf.DUMMYFUNCTION("""COMPUTED_VALUE"""),"")</f>
        <v/>
      </c>
      <c r="F980" s="30"/>
      <c r="G980" s="34" t="str">
        <f>IFERROR(__xludf.DUMMYFUNCTION("""COMPUTED_VALUE"""),"")</f>
        <v/>
      </c>
      <c r="H980" s="34" t="str">
        <f>IFERROR(__xludf.DUMMYFUNCTION("""COMPUTED_VALUE"""),"")</f>
        <v/>
      </c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</row>
    <row r="981">
      <c r="A981" s="30"/>
      <c r="B981" s="30" t="str">
        <f>IFERROR(__xludf.DUMMYFUNCTION("""COMPUTED_VALUE"""),"")</f>
        <v/>
      </c>
      <c r="C981" s="30" t="str">
        <f>IFERROR(__xludf.DUMMYFUNCTION("""COMPUTED_VALUE"""),"")</f>
        <v/>
      </c>
      <c r="D981" s="30"/>
      <c r="E981" s="34" t="str">
        <f>IFERROR(__xludf.DUMMYFUNCTION("""COMPUTED_VALUE"""),"")</f>
        <v/>
      </c>
      <c r="F981" s="30"/>
      <c r="G981" s="34" t="str">
        <f>IFERROR(__xludf.DUMMYFUNCTION("""COMPUTED_VALUE"""),"")</f>
        <v/>
      </c>
      <c r="H981" s="34" t="str">
        <f>IFERROR(__xludf.DUMMYFUNCTION("""COMPUTED_VALUE"""),"")</f>
        <v/>
      </c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</row>
    <row r="982">
      <c r="A982" s="30"/>
      <c r="B982" s="30" t="str">
        <f>IFERROR(__xludf.DUMMYFUNCTION("""COMPUTED_VALUE"""),"")</f>
        <v/>
      </c>
      <c r="C982" s="30" t="str">
        <f>IFERROR(__xludf.DUMMYFUNCTION("""COMPUTED_VALUE"""),"")</f>
        <v/>
      </c>
      <c r="D982" s="30"/>
      <c r="E982" s="34" t="str">
        <f>IFERROR(__xludf.DUMMYFUNCTION("""COMPUTED_VALUE"""),"")</f>
        <v/>
      </c>
      <c r="F982" s="30"/>
      <c r="G982" s="34" t="str">
        <f>IFERROR(__xludf.DUMMYFUNCTION("""COMPUTED_VALUE"""),"")</f>
        <v/>
      </c>
      <c r="H982" s="34" t="str">
        <f>IFERROR(__xludf.DUMMYFUNCTION("""COMPUTED_VALUE"""),"")</f>
        <v/>
      </c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</row>
    <row r="983">
      <c r="A983" s="30"/>
      <c r="B983" s="30" t="str">
        <f>IFERROR(__xludf.DUMMYFUNCTION("""COMPUTED_VALUE"""),"")</f>
        <v/>
      </c>
      <c r="C983" s="30" t="str">
        <f>IFERROR(__xludf.DUMMYFUNCTION("""COMPUTED_VALUE"""),"")</f>
        <v/>
      </c>
      <c r="D983" s="30"/>
      <c r="E983" s="34" t="str">
        <f>IFERROR(__xludf.DUMMYFUNCTION("""COMPUTED_VALUE"""),"")</f>
        <v/>
      </c>
      <c r="F983" s="30"/>
      <c r="G983" s="34" t="str">
        <f>IFERROR(__xludf.DUMMYFUNCTION("""COMPUTED_VALUE"""),"")</f>
        <v/>
      </c>
      <c r="H983" s="34" t="str">
        <f>IFERROR(__xludf.DUMMYFUNCTION("""COMPUTED_VALUE"""),"")</f>
        <v/>
      </c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</row>
    <row r="984">
      <c r="A984" s="30"/>
      <c r="B984" s="30" t="str">
        <f>IFERROR(__xludf.DUMMYFUNCTION("""COMPUTED_VALUE"""),"")</f>
        <v/>
      </c>
      <c r="C984" s="30" t="str">
        <f>IFERROR(__xludf.DUMMYFUNCTION("""COMPUTED_VALUE"""),"")</f>
        <v/>
      </c>
      <c r="D984" s="30"/>
      <c r="E984" s="34" t="str">
        <f>IFERROR(__xludf.DUMMYFUNCTION("""COMPUTED_VALUE"""),"")</f>
        <v/>
      </c>
      <c r="F984" s="30"/>
      <c r="G984" s="34" t="str">
        <f>IFERROR(__xludf.DUMMYFUNCTION("""COMPUTED_VALUE"""),"")</f>
        <v/>
      </c>
      <c r="H984" s="34" t="str">
        <f>IFERROR(__xludf.DUMMYFUNCTION("""COMPUTED_VALUE"""),"")</f>
        <v/>
      </c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</row>
    <row r="985">
      <c r="A985" s="30"/>
      <c r="B985" s="30" t="str">
        <f>IFERROR(__xludf.DUMMYFUNCTION("""COMPUTED_VALUE"""),"")</f>
        <v/>
      </c>
      <c r="C985" s="30" t="str">
        <f>IFERROR(__xludf.DUMMYFUNCTION("""COMPUTED_VALUE"""),"")</f>
        <v/>
      </c>
      <c r="D985" s="30"/>
      <c r="E985" s="34" t="str">
        <f>IFERROR(__xludf.DUMMYFUNCTION("""COMPUTED_VALUE"""),"")</f>
        <v/>
      </c>
      <c r="F985" s="30"/>
      <c r="G985" s="34" t="str">
        <f>IFERROR(__xludf.DUMMYFUNCTION("""COMPUTED_VALUE"""),"")</f>
        <v/>
      </c>
      <c r="H985" s="34" t="str">
        <f>IFERROR(__xludf.DUMMYFUNCTION("""COMPUTED_VALUE"""),"")</f>
        <v/>
      </c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</row>
    <row r="986">
      <c r="A986" s="30"/>
      <c r="B986" s="30" t="str">
        <f>IFERROR(__xludf.DUMMYFUNCTION("""COMPUTED_VALUE"""),"")</f>
        <v/>
      </c>
      <c r="C986" s="30" t="str">
        <f>IFERROR(__xludf.DUMMYFUNCTION("""COMPUTED_VALUE"""),"")</f>
        <v/>
      </c>
      <c r="D986" s="30"/>
      <c r="E986" s="34" t="str">
        <f>IFERROR(__xludf.DUMMYFUNCTION("""COMPUTED_VALUE"""),"")</f>
        <v/>
      </c>
      <c r="F986" s="30"/>
      <c r="G986" s="34" t="str">
        <f>IFERROR(__xludf.DUMMYFUNCTION("""COMPUTED_VALUE"""),"")</f>
        <v/>
      </c>
      <c r="H986" s="34" t="str">
        <f>IFERROR(__xludf.DUMMYFUNCTION("""COMPUTED_VALUE"""),"")</f>
        <v/>
      </c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</row>
    <row r="987">
      <c r="A987" s="30"/>
      <c r="B987" s="30" t="str">
        <f>IFERROR(__xludf.DUMMYFUNCTION("""COMPUTED_VALUE"""),"")</f>
        <v/>
      </c>
      <c r="C987" s="30" t="str">
        <f>IFERROR(__xludf.DUMMYFUNCTION("""COMPUTED_VALUE"""),"")</f>
        <v/>
      </c>
      <c r="D987" s="30"/>
      <c r="E987" s="34" t="str">
        <f>IFERROR(__xludf.DUMMYFUNCTION("""COMPUTED_VALUE"""),"")</f>
        <v/>
      </c>
      <c r="F987" s="30"/>
      <c r="G987" s="34" t="str">
        <f>IFERROR(__xludf.DUMMYFUNCTION("""COMPUTED_VALUE"""),"")</f>
        <v/>
      </c>
      <c r="H987" s="34" t="str">
        <f>IFERROR(__xludf.DUMMYFUNCTION("""COMPUTED_VALUE"""),"")</f>
        <v/>
      </c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</row>
    <row r="988">
      <c r="A988" s="30"/>
      <c r="B988" s="30" t="str">
        <f>IFERROR(__xludf.DUMMYFUNCTION("""COMPUTED_VALUE"""),"")</f>
        <v/>
      </c>
      <c r="C988" s="30" t="str">
        <f>IFERROR(__xludf.DUMMYFUNCTION("""COMPUTED_VALUE"""),"")</f>
        <v/>
      </c>
      <c r="D988" s="30"/>
      <c r="E988" s="34" t="str">
        <f>IFERROR(__xludf.DUMMYFUNCTION("""COMPUTED_VALUE"""),"")</f>
        <v/>
      </c>
      <c r="F988" s="30"/>
      <c r="G988" s="34" t="str">
        <f>IFERROR(__xludf.DUMMYFUNCTION("""COMPUTED_VALUE"""),"")</f>
        <v/>
      </c>
      <c r="H988" s="34" t="str">
        <f>IFERROR(__xludf.DUMMYFUNCTION("""COMPUTED_VALUE"""),"")</f>
        <v/>
      </c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</row>
    <row r="989">
      <c r="A989" s="30"/>
      <c r="B989" s="30" t="str">
        <f>IFERROR(__xludf.DUMMYFUNCTION("""COMPUTED_VALUE"""),"")</f>
        <v/>
      </c>
      <c r="C989" s="30" t="str">
        <f>IFERROR(__xludf.DUMMYFUNCTION("""COMPUTED_VALUE"""),"")</f>
        <v/>
      </c>
      <c r="D989" s="30"/>
      <c r="E989" s="34" t="str">
        <f>IFERROR(__xludf.DUMMYFUNCTION("""COMPUTED_VALUE"""),"")</f>
        <v/>
      </c>
      <c r="F989" s="30"/>
      <c r="G989" s="34" t="str">
        <f>IFERROR(__xludf.DUMMYFUNCTION("""COMPUTED_VALUE"""),"")</f>
        <v/>
      </c>
      <c r="H989" s="34" t="str">
        <f>IFERROR(__xludf.DUMMYFUNCTION("""COMPUTED_VALUE"""),"")</f>
        <v/>
      </c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</row>
    <row r="990">
      <c r="A990" s="30"/>
      <c r="B990" s="30" t="str">
        <f>IFERROR(__xludf.DUMMYFUNCTION("""COMPUTED_VALUE"""),"")</f>
        <v/>
      </c>
      <c r="C990" s="30" t="str">
        <f>IFERROR(__xludf.DUMMYFUNCTION("""COMPUTED_VALUE"""),"")</f>
        <v/>
      </c>
      <c r="D990" s="30"/>
      <c r="E990" s="34" t="str">
        <f>IFERROR(__xludf.DUMMYFUNCTION("""COMPUTED_VALUE"""),"")</f>
        <v/>
      </c>
      <c r="F990" s="30"/>
      <c r="G990" s="34" t="str">
        <f>IFERROR(__xludf.DUMMYFUNCTION("""COMPUTED_VALUE"""),"")</f>
        <v/>
      </c>
      <c r="H990" s="34" t="str">
        <f>IFERROR(__xludf.DUMMYFUNCTION("""COMPUTED_VALUE"""),"")</f>
        <v/>
      </c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</row>
    <row r="991">
      <c r="A991" s="30"/>
      <c r="B991" s="30" t="str">
        <f>IFERROR(__xludf.DUMMYFUNCTION("""COMPUTED_VALUE"""),"")</f>
        <v/>
      </c>
      <c r="C991" s="30" t="str">
        <f>IFERROR(__xludf.DUMMYFUNCTION("""COMPUTED_VALUE"""),"")</f>
        <v/>
      </c>
      <c r="D991" s="30"/>
      <c r="E991" s="34" t="str">
        <f>IFERROR(__xludf.DUMMYFUNCTION("""COMPUTED_VALUE"""),"")</f>
        <v/>
      </c>
      <c r="F991" s="30"/>
      <c r="G991" s="34" t="str">
        <f>IFERROR(__xludf.DUMMYFUNCTION("""COMPUTED_VALUE"""),"")</f>
        <v/>
      </c>
      <c r="H991" s="34" t="str">
        <f>IFERROR(__xludf.DUMMYFUNCTION("""COMPUTED_VALUE"""),"")</f>
        <v/>
      </c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</row>
    <row r="992">
      <c r="A992" s="30"/>
      <c r="B992" s="30" t="str">
        <f>IFERROR(__xludf.DUMMYFUNCTION("""COMPUTED_VALUE"""),"")</f>
        <v/>
      </c>
      <c r="C992" s="30" t="str">
        <f>IFERROR(__xludf.DUMMYFUNCTION("""COMPUTED_VALUE"""),"")</f>
        <v/>
      </c>
      <c r="D992" s="30"/>
      <c r="E992" s="34" t="str">
        <f>IFERROR(__xludf.DUMMYFUNCTION("""COMPUTED_VALUE"""),"")</f>
        <v/>
      </c>
      <c r="F992" s="30"/>
      <c r="G992" s="34" t="str">
        <f>IFERROR(__xludf.DUMMYFUNCTION("""COMPUTED_VALUE"""),"")</f>
        <v/>
      </c>
      <c r="H992" s="34" t="str">
        <f>IFERROR(__xludf.DUMMYFUNCTION("""COMPUTED_VALUE"""),"")</f>
        <v/>
      </c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</row>
    <row r="993">
      <c r="A993" s="30"/>
      <c r="B993" s="30" t="str">
        <f>IFERROR(__xludf.DUMMYFUNCTION("""COMPUTED_VALUE"""),"")</f>
        <v/>
      </c>
      <c r="C993" s="30" t="str">
        <f>IFERROR(__xludf.DUMMYFUNCTION("""COMPUTED_VALUE"""),"")</f>
        <v/>
      </c>
      <c r="D993" s="30"/>
      <c r="E993" s="34" t="str">
        <f>IFERROR(__xludf.DUMMYFUNCTION("""COMPUTED_VALUE"""),"")</f>
        <v/>
      </c>
      <c r="F993" s="30"/>
      <c r="G993" s="34" t="str">
        <f>IFERROR(__xludf.DUMMYFUNCTION("""COMPUTED_VALUE"""),"")</f>
        <v/>
      </c>
      <c r="H993" s="34" t="str">
        <f>IFERROR(__xludf.DUMMYFUNCTION("""COMPUTED_VALUE"""),"")</f>
        <v/>
      </c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</row>
    <row r="994">
      <c r="A994" s="30"/>
      <c r="B994" s="30" t="str">
        <f>IFERROR(__xludf.DUMMYFUNCTION("""COMPUTED_VALUE"""),"")</f>
        <v/>
      </c>
      <c r="C994" s="30" t="str">
        <f>IFERROR(__xludf.DUMMYFUNCTION("""COMPUTED_VALUE"""),"")</f>
        <v/>
      </c>
      <c r="D994" s="30"/>
      <c r="E994" s="34" t="str">
        <f>IFERROR(__xludf.DUMMYFUNCTION("""COMPUTED_VALUE"""),"")</f>
        <v/>
      </c>
      <c r="F994" s="30"/>
      <c r="G994" s="34" t="str">
        <f>IFERROR(__xludf.DUMMYFUNCTION("""COMPUTED_VALUE"""),"")</f>
        <v/>
      </c>
      <c r="H994" s="34" t="str">
        <f>IFERROR(__xludf.DUMMYFUNCTION("""COMPUTED_VALUE"""),"")</f>
        <v/>
      </c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</row>
    <row r="995">
      <c r="A995" s="30"/>
      <c r="B995" s="30" t="str">
        <f>IFERROR(__xludf.DUMMYFUNCTION("""COMPUTED_VALUE"""),"")</f>
        <v/>
      </c>
      <c r="C995" s="30" t="str">
        <f>IFERROR(__xludf.DUMMYFUNCTION("""COMPUTED_VALUE"""),"")</f>
        <v/>
      </c>
      <c r="D995" s="30"/>
      <c r="E995" s="34" t="str">
        <f>IFERROR(__xludf.DUMMYFUNCTION("""COMPUTED_VALUE"""),"")</f>
        <v/>
      </c>
      <c r="F995" s="30"/>
      <c r="G995" s="34" t="str">
        <f>IFERROR(__xludf.DUMMYFUNCTION("""COMPUTED_VALUE"""),"")</f>
        <v/>
      </c>
      <c r="H995" s="34" t="str">
        <f>IFERROR(__xludf.DUMMYFUNCTION("""COMPUTED_VALUE"""),"")</f>
        <v/>
      </c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</row>
    <row r="996">
      <c r="A996" s="30"/>
      <c r="B996" s="30" t="str">
        <f>IFERROR(__xludf.DUMMYFUNCTION("""COMPUTED_VALUE"""),"")</f>
        <v/>
      </c>
      <c r="C996" s="30" t="str">
        <f>IFERROR(__xludf.DUMMYFUNCTION("""COMPUTED_VALUE"""),"")</f>
        <v/>
      </c>
      <c r="D996" s="30"/>
      <c r="E996" s="34" t="str">
        <f>IFERROR(__xludf.DUMMYFUNCTION("""COMPUTED_VALUE"""),"")</f>
        <v/>
      </c>
      <c r="F996" s="30"/>
      <c r="G996" s="34" t="str">
        <f>IFERROR(__xludf.DUMMYFUNCTION("""COMPUTED_VALUE"""),"")</f>
        <v/>
      </c>
      <c r="H996" s="34" t="str">
        <f>IFERROR(__xludf.DUMMYFUNCTION("""COMPUTED_VALUE"""),"")</f>
        <v/>
      </c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</row>
    <row r="997">
      <c r="A997" s="30"/>
      <c r="B997" s="30" t="str">
        <f>IFERROR(__xludf.DUMMYFUNCTION("""COMPUTED_VALUE"""),"")</f>
        <v/>
      </c>
      <c r="C997" s="30" t="str">
        <f>IFERROR(__xludf.DUMMYFUNCTION("""COMPUTED_VALUE"""),"")</f>
        <v/>
      </c>
      <c r="D997" s="30"/>
      <c r="E997" s="34" t="str">
        <f>IFERROR(__xludf.DUMMYFUNCTION("""COMPUTED_VALUE"""),"")</f>
        <v/>
      </c>
      <c r="F997" s="30"/>
      <c r="G997" s="34" t="str">
        <f>IFERROR(__xludf.DUMMYFUNCTION("""COMPUTED_VALUE"""),"")</f>
        <v/>
      </c>
      <c r="H997" s="34" t="str">
        <f>IFERROR(__xludf.DUMMYFUNCTION("""COMPUTED_VALUE"""),"")</f>
        <v/>
      </c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</row>
    <row r="998">
      <c r="A998" s="30"/>
      <c r="B998" s="30" t="str">
        <f>IFERROR(__xludf.DUMMYFUNCTION("""COMPUTED_VALUE"""),"")</f>
        <v/>
      </c>
      <c r="C998" s="30" t="str">
        <f>IFERROR(__xludf.DUMMYFUNCTION("""COMPUTED_VALUE"""),"")</f>
        <v/>
      </c>
      <c r="D998" s="30"/>
      <c r="E998" s="34" t="str">
        <f>IFERROR(__xludf.DUMMYFUNCTION("""COMPUTED_VALUE"""),"")</f>
        <v/>
      </c>
      <c r="F998" s="30"/>
      <c r="G998" s="34" t="str">
        <f>IFERROR(__xludf.DUMMYFUNCTION("""COMPUTED_VALUE"""),"")</f>
        <v/>
      </c>
      <c r="H998" s="34" t="str">
        <f>IFERROR(__xludf.DUMMYFUNCTION("""COMPUTED_VALUE"""),"")</f>
        <v/>
      </c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</row>
    <row r="999">
      <c r="A999" s="30"/>
      <c r="B999" s="30" t="str">
        <f>IFERROR(__xludf.DUMMYFUNCTION("""COMPUTED_VALUE"""),"")</f>
        <v/>
      </c>
      <c r="C999" s="30" t="str">
        <f>IFERROR(__xludf.DUMMYFUNCTION("""COMPUTED_VALUE"""),"")</f>
        <v/>
      </c>
      <c r="D999" s="30"/>
      <c r="E999" s="34" t="str">
        <f>IFERROR(__xludf.DUMMYFUNCTION("""COMPUTED_VALUE"""),"")</f>
        <v/>
      </c>
      <c r="F999" s="30"/>
      <c r="G999" s="34" t="str">
        <f>IFERROR(__xludf.DUMMYFUNCTION("""COMPUTED_VALUE"""),"")</f>
        <v/>
      </c>
      <c r="H999" s="34" t="str">
        <f>IFERROR(__xludf.DUMMYFUNCTION("""COMPUTED_VALUE"""),"")</f>
        <v/>
      </c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</row>
    <row r="1000">
      <c r="A1000" s="30"/>
      <c r="B1000" s="30" t="str">
        <f>IFERROR(__xludf.DUMMYFUNCTION("""COMPUTED_VALUE"""),"")</f>
        <v/>
      </c>
      <c r="C1000" s="30" t="str">
        <f>IFERROR(__xludf.DUMMYFUNCTION("""COMPUTED_VALUE"""),"")</f>
        <v/>
      </c>
      <c r="D1000" s="30"/>
      <c r="E1000" s="34" t="str">
        <f>IFERROR(__xludf.DUMMYFUNCTION("""COMPUTED_VALUE"""),"")</f>
        <v/>
      </c>
      <c r="F1000" s="30"/>
      <c r="G1000" s="34" t="str">
        <f>IFERROR(__xludf.DUMMYFUNCTION("""COMPUTED_VALUE"""),"")</f>
        <v/>
      </c>
      <c r="H1000" s="34" t="str">
        <f>IFERROR(__xludf.DUMMYFUNCTION("""COMPUTED_VALUE"""),"")</f>
        <v/>
      </c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</row>
    <row r="1001">
      <c r="A1001" s="30"/>
      <c r="B1001" s="30" t="str">
        <f>IFERROR(__xludf.DUMMYFUNCTION("""COMPUTED_VALUE"""),"")</f>
        <v/>
      </c>
      <c r="C1001" s="30" t="str">
        <f>IFERROR(__xludf.DUMMYFUNCTION("""COMPUTED_VALUE"""),"")</f>
        <v/>
      </c>
      <c r="D1001" s="30"/>
      <c r="E1001" s="34" t="str">
        <f>IFERROR(__xludf.DUMMYFUNCTION("""COMPUTED_VALUE"""),"")</f>
        <v/>
      </c>
      <c r="F1001" s="30"/>
      <c r="G1001" s="34" t="str">
        <f>IFERROR(__xludf.DUMMYFUNCTION("""COMPUTED_VALUE"""),"")</f>
        <v/>
      </c>
      <c r="H1001" s="34" t="str">
        <f>IFERROR(__xludf.DUMMYFUNCTION("""COMPUTED_VALUE"""),"")</f>
        <v/>
      </c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</row>
    <row r="1002">
      <c r="A1002" s="30"/>
      <c r="B1002" s="30" t="str">
        <f>IFERROR(__xludf.DUMMYFUNCTION("""COMPUTED_VALUE"""),"")</f>
        <v/>
      </c>
      <c r="C1002" s="30" t="str">
        <f>IFERROR(__xludf.DUMMYFUNCTION("""COMPUTED_VALUE"""),"")</f>
        <v/>
      </c>
      <c r="D1002" s="30"/>
      <c r="E1002" s="34" t="str">
        <f>IFERROR(__xludf.DUMMYFUNCTION("""COMPUTED_VALUE"""),"")</f>
        <v/>
      </c>
      <c r="F1002" s="30"/>
      <c r="G1002" s="34" t="str">
        <f>IFERROR(__xludf.DUMMYFUNCTION("""COMPUTED_VALUE"""),"")</f>
        <v/>
      </c>
      <c r="H1002" s="34" t="str">
        <f>IFERROR(__xludf.DUMMYFUNCTION("""COMPUTED_VALUE"""),"")</f>
        <v/>
      </c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</row>
    <row r="1003">
      <c r="A1003" s="83"/>
      <c r="B1003" s="83"/>
      <c r="C1003" s="83"/>
      <c r="D1003" s="83"/>
      <c r="E1003" s="83"/>
      <c r="F1003" s="83"/>
      <c r="G1003" s="83"/>
      <c r="H1003" s="83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</row>
    <row r="1004">
      <c r="A1004" s="83"/>
      <c r="B1004" s="83"/>
      <c r="C1004" s="83"/>
      <c r="D1004" s="83"/>
      <c r="E1004" s="83"/>
      <c r="F1004" s="83"/>
      <c r="G1004" s="83"/>
      <c r="H1004" s="83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</row>
    <row r="1005">
      <c r="A1005" s="83"/>
      <c r="B1005" s="83"/>
      <c r="C1005" s="83"/>
      <c r="D1005" s="83"/>
      <c r="E1005" s="83"/>
      <c r="F1005" s="83"/>
      <c r="G1005" s="83"/>
      <c r="H1005" s="83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</row>
    <row r="1006">
      <c r="A1006" s="83"/>
      <c r="B1006" s="83"/>
      <c r="C1006" s="83"/>
      <c r="D1006" s="83"/>
      <c r="E1006" s="83"/>
      <c r="F1006" s="83"/>
      <c r="G1006" s="83"/>
      <c r="H1006" s="83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</row>
    <row r="1007">
      <c r="A1007" s="83"/>
      <c r="B1007" s="83"/>
      <c r="C1007" s="83"/>
      <c r="D1007" s="83"/>
      <c r="E1007" s="83"/>
      <c r="F1007" s="83"/>
      <c r="G1007" s="83"/>
      <c r="H1007" s="83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</row>
    <row r="1008">
      <c r="A1008" s="83"/>
      <c r="B1008" s="83"/>
      <c r="C1008" s="83"/>
      <c r="D1008" s="83"/>
      <c r="E1008" s="83"/>
      <c r="F1008" s="83"/>
      <c r="G1008" s="83"/>
      <c r="H1008" s="83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</row>
    <row r="1009">
      <c r="A1009" s="83"/>
      <c r="B1009" s="83"/>
      <c r="C1009" s="83"/>
      <c r="D1009" s="83"/>
      <c r="E1009" s="83"/>
      <c r="F1009" s="83"/>
      <c r="G1009" s="83"/>
      <c r="H1009" s="83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</row>
    <row r="1010">
      <c r="A1010" s="83"/>
      <c r="B1010" s="83"/>
      <c r="C1010" s="83"/>
      <c r="D1010" s="83"/>
      <c r="E1010" s="83"/>
      <c r="F1010" s="83"/>
      <c r="G1010" s="83"/>
      <c r="H1010" s="83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</row>
    <row r="1011">
      <c r="A1011" s="83"/>
      <c r="B1011" s="83"/>
      <c r="C1011" s="83"/>
      <c r="D1011" s="83"/>
      <c r="E1011" s="83"/>
      <c r="F1011" s="83"/>
      <c r="G1011" s="83"/>
      <c r="H1011" s="83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</row>
    <row r="1012">
      <c r="A1012" s="83"/>
      <c r="B1012" s="83"/>
      <c r="C1012" s="83"/>
      <c r="D1012" s="83"/>
      <c r="E1012" s="83"/>
      <c r="F1012" s="83"/>
      <c r="G1012" s="83"/>
      <c r="H1012" s="83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</row>
    <row r="1013">
      <c r="A1013" s="83"/>
      <c r="B1013" s="83"/>
      <c r="C1013" s="83"/>
      <c r="D1013" s="83"/>
      <c r="E1013" s="83"/>
      <c r="F1013" s="83"/>
      <c r="G1013" s="83"/>
      <c r="H1013" s="83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</row>
    <row r="1014">
      <c r="A1014" s="83"/>
      <c r="B1014" s="83"/>
      <c r="C1014" s="83"/>
      <c r="D1014" s="83"/>
      <c r="E1014" s="83"/>
      <c r="F1014" s="83"/>
      <c r="G1014" s="83"/>
      <c r="H1014" s="83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</row>
    <row r="1015">
      <c r="A1015" s="83"/>
      <c r="B1015" s="83"/>
      <c r="C1015" s="83"/>
      <c r="D1015" s="83"/>
      <c r="E1015" s="83"/>
      <c r="F1015" s="83"/>
      <c r="G1015" s="83"/>
      <c r="H1015" s="83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</row>
    <row r="1016">
      <c r="A1016" s="83"/>
      <c r="B1016" s="83"/>
      <c r="C1016" s="83"/>
      <c r="D1016" s="83"/>
      <c r="E1016" s="83"/>
      <c r="F1016" s="83"/>
      <c r="G1016" s="83"/>
      <c r="H1016" s="83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</row>
    <row r="1017">
      <c r="A1017" s="83"/>
      <c r="B1017" s="83"/>
      <c r="C1017" s="83"/>
      <c r="D1017" s="83"/>
      <c r="E1017" s="83"/>
      <c r="F1017" s="83"/>
      <c r="G1017" s="83"/>
      <c r="H1017" s="83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</row>
    <row r="1018">
      <c r="A1018" s="83"/>
      <c r="B1018" s="83"/>
      <c r="C1018" s="83"/>
      <c r="D1018" s="83"/>
      <c r="E1018" s="83"/>
      <c r="F1018" s="83"/>
      <c r="G1018" s="83"/>
      <c r="H1018" s="83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</row>
    <row r="1019">
      <c r="A1019" s="83"/>
      <c r="B1019" s="83"/>
      <c r="C1019" s="83"/>
      <c r="D1019" s="83"/>
      <c r="E1019" s="83"/>
      <c r="F1019" s="83"/>
      <c r="G1019" s="83"/>
      <c r="H1019" s="83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</row>
    <row r="1020">
      <c r="A1020" s="83"/>
      <c r="B1020" s="83"/>
      <c r="C1020" s="83"/>
      <c r="D1020" s="83"/>
      <c r="E1020" s="83"/>
      <c r="F1020" s="83"/>
      <c r="G1020" s="83"/>
      <c r="H1020" s="83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</row>
    <row r="1021">
      <c r="A1021" s="83"/>
      <c r="B1021" s="83"/>
      <c r="C1021" s="83"/>
      <c r="D1021" s="83"/>
      <c r="E1021" s="83"/>
      <c r="F1021" s="83"/>
      <c r="G1021" s="83"/>
      <c r="H1021" s="83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</row>
    <row r="1022">
      <c r="A1022" s="83"/>
      <c r="B1022" s="83"/>
      <c r="C1022" s="83"/>
      <c r="D1022" s="83"/>
      <c r="E1022" s="83"/>
      <c r="F1022" s="83"/>
      <c r="G1022" s="83"/>
      <c r="H1022" s="83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</row>
    <row r="1023">
      <c r="A1023" s="83"/>
      <c r="B1023" s="83"/>
      <c r="C1023" s="83"/>
      <c r="D1023" s="83"/>
      <c r="E1023" s="83"/>
      <c r="F1023" s="83"/>
      <c r="G1023" s="83"/>
      <c r="H1023" s="83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</row>
    <row r="1024">
      <c r="A1024" s="83"/>
      <c r="B1024" s="83"/>
      <c r="C1024" s="83"/>
      <c r="D1024" s="83"/>
      <c r="E1024" s="83"/>
      <c r="F1024" s="83"/>
      <c r="G1024" s="83"/>
      <c r="H1024" s="83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</row>
    <row r="1025">
      <c r="A1025" s="83"/>
      <c r="B1025" s="83"/>
      <c r="C1025" s="83"/>
      <c r="D1025" s="83"/>
      <c r="E1025" s="83"/>
      <c r="F1025" s="83"/>
      <c r="G1025" s="83"/>
      <c r="H1025" s="83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</row>
    <row r="1026">
      <c r="A1026" s="83"/>
      <c r="B1026" s="83"/>
      <c r="C1026" s="83"/>
      <c r="D1026" s="83"/>
      <c r="E1026" s="83"/>
      <c r="F1026" s="83"/>
      <c r="G1026" s="83"/>
      <c r="H1026" s="83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</row>
    <row r="1027">
      <c r="A1027" s="83"/>
      <c r="B1027" s="83"/>
      <c r="C1027" s="83"/>
      <c r="D1027" s="83"/>
      <c r="E1027" s="83"/>
      <c r="F1027" s="83"/>
      <c r="G1027" s="83"/>
      <c r="H1027" s="83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</row>
    <row r="1028">
      <c r="A1028" s="83"/>
      <c r="B1028" s="83"/>
      <c r="C1028" s="83"/>
      <c r="D1028" s="83"/>
      <c r="E1028" s="83"/>
      <c r="F1028" s="83"/>
      <c r="G1028" s="83"/>
      <c r="H1028" s="83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</row>
    <row r="1029">
      <c r="A1029" s="83"/>
      <c r="B1029" s="83"/>
      <c r="C1029" s="83"/>
      <c r="D1029" s="83"/>
      <c r="E1029" s="83"/>
      <c r="F1029" s="83"/>
      <c r="G1029" s="83"/>
      <c r="H1029" s="83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</row>
    <row r="1030">
      <c r="A1030" s="83"/>
      <c r="B1030" s="83"/>
      <c r="C1030" s="83"/>
      <c r="D1030" s="83"/>
      <c r="E1030" s="83"/>
      <c r="F1030" s="83"/>
      <c r="G1030" s="83"/>
      <c r="H1030" s="83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</row>
    <row r="1031">
      <c r="A1031" s="83"/>
      <c r="B1031" s="83"/>
      <c r="C1031" s="83"/>
      <c r="D1031" s="83"/>
      <c r="E1031" s="83"/>
      <c r="F1031" s="83"/>
      <c r="G1031" s="83"/>
      <c r="H1031" s="83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</row>
    <row r="1032">
      <c r="A1032" s="83"/>
      <c r="B1032" s="83"/>
      <c r="C1032" s="83"/>
      <c r="D1032" s="83"/>
      <c r="E1032" s="83"/>
      <c r="F1032" s="83"/>
      <c r="G1032" s="83"/>
      <c r="H1032" s="83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</row>
    <row r="1033">
      <c r="A1033" s="83"/>
      <c r="B1033" s="83"/>
      <c r="C1033" s="83"/>
      <c r="D1033" s="83"/>
      <c r="E1033" s="83"/>
      <c r="F1033" s="83"/>
      <c r="G1033" s="83"/>
      <c r="H1033" s="83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</row>
    <row r="1034">
      <c r="A1034" s="83"/>
      <c r="B1034" s="83"/>
      <c r="C1034" s="83"/>
      <c r="D1034" s="83"/>
      <c r="E1034" s="83"/>
      <c r="F1034" s="83"/>
      <c r="G1034" s="83"/>
      <c r="H1034" s="83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</row>
    <row r="1035">
      <c r="A1035" s="83"/>
      <c r="B1035" s="83"/>
      <c r="C1035" s="83"/>
      <c r="D1035" s="83"/>
      <c r="E1035" s="83"/>
      <c r="F1035" s="83"/>
      <c r="G1035" s="83"/>
      <c r="H1035" s="83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</row>
    <row r="1036">
      <c r="A1036" s="83"/>
      <c r="B1036" s="83"/>
      <c r="C1036" s="83"/>
      <c r="D1036" s="83"/>
      <c r="E1036" s="83"/>
      <c r="F1036" s="83"/>
      <c r="G1036" s="83"/>
      <c r="H1036" s="83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</row>
    <row r="1037">
      <c r="A1037" s="83"/>
      <c r="B1037" s="83"/>
      <c r="C1037" s="83"/>
      <c r="D1037" s="83"/>
      <c r="E1037" s="83"/>
      <c r="F1037" s="83"/>
      <c r="G1037" s="83"/>
      <c r="H1037" s="83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</row>
    <row r="1038">
      <c r="A1038" s="83"/>
      <c r="B1038" s="83"/>
      <c r="C1038" s="83"/>
      <c r="D1038" s="83"/>
      <c r="E1038" s="83"/>
      <c r="F1038" s="83"/>
      <c r="G1038" s="83"/>
      <c r="H1038" s="83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</row>
    <row r="1039">
      <c r="A1039" s="83"/>
      <c r="B1039" s="83"/>
      <c r="C1039" s="83"/>
      <c r="D1039" s="83"/>
      <c r="E1039" s="83"/>
      <c r="F1039" s="83"/>
      <c r="G1039" s="83"/>
      <c r="H1039" s="83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</row>
    <row r="1040">
      <c r="A1040" s="83"/>
      <c r="B1040" s="83"/>
      <c r="C1040" s="83"/>
      <c r="D1040" s="83"/>
      <c r="E1040" s="83"/>
      <c r="F1040" s="83"/>
      <c r="G1040" s="83"/>
      <c r="H1040" s="83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</row>
    <row r="1041">
      <c r="A1041" s="83"/>
      <c r="B1041" s="83"/>
      <c r="C1041" s="83"/>
      <c r="D1041" s="83"/>
      <c r="E1041" s="83"/>
      <c r="F1041" s="83"/>
      <c r="G1041" s="83"/>
      <c r="H1041" s="83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</row>
    <row r="1042">
      <c r="A1042" s="83"/>
      <c r="B1042" s="83"/>
      <c r="C1042" s="83"/>
      <c r="D1042" s="83"/>
      <c r="E1042" s="83"/>
      <c r="F1042" s="83"/>
      <c r="G1042" s="83"/>
      <c r="H1042" s="83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</row>
    <row r="1043">
      <c r="A1043" s="83"/>
      <c r="B1043" s="83"/>
      <c r="C1043" s="83"/>
      <c r="D1043" s="83"/>
      <c r="E1043" s="83"/>
      <c r="F1043" s="83"/>
      <c r="G1043" s="83"/>
      <c r="H1043" s="83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</row>
    <row r="1044">
      <c r="A1044" s="83"/>
      <c r="B1044" s="83"/>
      <c r="C1044" s="83"/>
      <c r="D1044" s="83"/>
      <c r="E1044" s="83"/>
      <c r="F1044" s="83"/>
      <c r="G1044" s="83"/>
      <c r="H1044" s="83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</row>
    <row r="1045">
      <c r="A1045" s="83"/>
      <c r="B1045" s="83"/>
      <c r="C1045" s="83"/>
      <c r="D1045" s="83"/>
      <c r="E1045" s="83"/>
      <c r="F1045" s="83"/>
      <c r="G1045" s="83"/>
      <c r="H1045" s="83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</row>
    <row r="1046">
      <c r="A1046" s="83"/>
      <c r="B1046" s="83"/>
      <c r="C1046" s="83"/>
      <c r="D1046" s="83"/>
      <c r="E1046" s="83"/>
      <c r="F1046" s="83"/>
      <c r="G1046" s="83"/>
      <c r="H1046" s="83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</row>
    <row r="1047">
      <c r="A1047" s="83"/>
      <c r="B1047" s="83"/>
      <c r="C1047" s="83"/>
      <c r="D1047" s="83"/>
      <c r="E1047" s="83"/>
      <c r="F1047" s="83"/>
      <c r="G1047" s="83"/>
      <c r="H1047" s="83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</row>
    <row r="1048">
      <c r="A1048" s="83"/>
      <c r="B1048" s="83"/>
      <c r="C1048" s="83"/>
      <c r="D1048" s="83"/>
      <c r="E1048" s="83"/>
      <c r="F1048" s="83"/>
      <c r="G1048" s="83"/>
      <c r="H1048" s="83"/>
      <c r="I1048" s="16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</row>
    <row r="1049">
      <c r="A1049" s="83"/>
      <c r="B1049" s="83"/>
      <c r="C1049" s="83"/>
      <c r="D1049" s="83"/>
      <c r="E1049" s="83"/>
      <c r="F1049" s="83"/>
      <c r="G1049" s="83"/>
      <c r="H1049" s="83"/>
      <c r="I1049" s="16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</row>
    <row r="1050">
      <c r="A1050" s="83"/>
      <c r="B1050" s="83"/>
      <c r="C1050" s="83"/>
      <c r="D1050" s="83"/>
      <c r="E1050" s="83"/>
      <c r="F1050" s="83"/>
      <c r="G1050" s="83"/>
      <c r="H1050" s="83"/>
      <c r="I1050" s="16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</row>
    <row r="1051">
      <c r="A1051" s="83"/>
      <c r="B1051" s="83"/>
      <c r="C1051" s="83"/>
      <c r="D1051" s="83"/>
      <c r="E1051" s="83"/>
      <c r="F1051" s="83"/>
      <c r="G1051" s="83"/>
      <c r="H1051" s="83"/>
      <c r="I1051" s="16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</row>
    <row r="1052">
      <c r="A1052" s="83"/>
      <c r="B1052" s="83"/>
      <c r="C1052" s="83"/>
      <c r="D1052" s="83"/>
      <c r="E1052" s="83"/>
      <c r="F1052" s="83"/>
      <c r="G1052" s="83"/>
      <c r="H1052" s="83"/>
      <c r="I1052" s="16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</row>
    <row r="1053">
      <c r="A1053" s="83"/>
      <c r="B1053" s="83"/>
      <c r="C1053" s="83"/>
      <c r="D1053" s="83"/>
      <c r="E1053" s="83"/>
      <c r="F1053" s="83"/>
      <c r="G1053" s="83"/>
      <c r="H1053" s="83"/>
      <c r="I1053" s="16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</row>
    <row r="1054">
      <c r="A1054" s="83"/>
      <c r="B1054" s="83"/>
      <c r="C1054" s="83"/>
      <c r="D1054" s="83"/>
      <c r="E1054" s="83"/>
      <c r="F1054" s="83"/>
      <c r="G1054" s="83"/>
      <c r="H1054" s="83"/>
      <c r="I1054" s="16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</row>
    <row r="1055">
      <c r="A1055" s="83"/>
      <c r="B1055" s="83"/>
      <c r="C1055" s="83"/>
      <c r="D1055" s="83"/>
      <c r="E1055" s="83"/>
      <c r="F1055" s="83"/>
      <c r="G1055" s="83"/>
      <c r="H1055" s="83"/>
      <c r="I1055" s="16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</row>
    <row r="1056">
      <c r="A1056" s="83"/>
      <c r="B1056" s="83"/>
      <c r="C1056" s="83"/>
      <c r="D1056" s="83"/>
      <c r="E1056" s="83"/>
      <c r="F1056" s="83"/>
      <c r="G1056" s="83"/>
      <c r="H1056" s="83"/>
      <c r="I1056" s="16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</row>
    <row r="1057">
      <c r="A1057" s="83"/>
      <c r="B1057" s="83"/>
      <c r="C1057" s="83"/>
      <c r="D1057" s="83"/>
      <c r="E1057" s="83"/>
      <c r="F1057" s="83"/>
      <c r="G1057" s="83"/>
      <c r="H1057" s="83"/>
      <c r="I1057" s="16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</row>
    <row r="1058">
      <c r="A1058" s="83"/>
      <c r="B1058" s="83"/>
      <c r="C1058" s="83"/>
      <c r="D1058" s="83"/>
      <c r="E1058" s="83"/>
      <c r="F1058" s="83"/>
      <c r="G1058" s="83"/>
      <c r="H1058" s="83"/>
      <c r="I1058" s="16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</row>
    <row r="1059">
      <c r="A1059" s="83"/>
      <c r="B1059" s="83"/>
      <c r="C1059" s="83"/>
      <c r="D1059" s="83"/>
      <c r="E1059" s="83"/>
      <c r="F1059" s="83"/>
      <c r="G1059" s="83"/>
      <c r="H1059" s="83"/>
      <c r="I1059" s="16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</row>
    <row r="1060">
      <c r="A1060" s="83"/>
      <c r="B1060" s="83"/>
      <c r="C1060" s="83"/>
      <c r="D1060" s="83"/>
      <c r="E1060" s="83"/>
      <c r="F1060" s="83"/>
      <c r="G1060" s="83"/>
      <c r="H1060" s="83"/>
      <c r="I1060" s="16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</row>
    <row r="1061">
      <c r="A1061" s="83"/>
      <c r="B1061" s="83"/>
      <c r="C1061" s="83"/>
      <c r="D1061" s="83"/>
      <c r="E1061" s="83"/>
      <c r="F1061" s="83"/>
      <c r="G1061" s="83"/>
      <c r="H1061" s="83"/>
      <c r="I1061" s="16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</row>
    <row r="1062">
      <c r="A1062" s="83"/>
      <c r="B1062" s="83"/>
      <c r="C1062" s="83"/>
      <c r="D1062" s="83"/>
      <c r="E1062" s="83"/>
      <c r="F1062" s="83"/>
      <c r="G1062" s="83"/>
      <c r="H1062" s="83"/>
      <c r="I1062" s="16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</row>
    <row r="1063">
      <c r="A1063" s="83"/>
      <c r="B1063" s="83"/>
      <c r="C1063" s="83"/>
      <c r="D1063" s="83"/>
      <c r="E1063" s="83"/>
      <c r="F1063" s="83"/>
      <c r="G1063" s="83"/>
      <c r="H1063" s="83"/>
      <c r="I1063" s="16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</row>
    <row r="1064">
      <c r="A1064" s="83"/>
      <c r="B1064" s="83"/>
      <c r="C1064" s="83"/>
      <c r="D1064" s="83"/>
      <c r="E1064" s="83"/>
      <c r="F1064" s="83"/>
      <c r="G1064" s="83"/>
      <c r="H1064" s="83"/>
      <c r="I1064" s="16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</row>
    <row r="1065">
      <c r="A1065" s="83"/>
      <c r="B1065" s="83"/>
      <c r="C1065" s="83"/>
      <c r="D1065" s="83"/>
      <c r="E1065" s="83"/>
      <c r="F1065" s="83"/>
      <c r="G1065" s="83"/>
      <c r="H1065" s="83"/>
      <c r="I1065" s="16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</row>
    <row r="1066">
      <c r="A1066" s="83"/>
      <c r="B1066" s="83"/>
      <c r="C1066" s="83"/>
      <c r="D1066" s="83"/>
      <c r="E1066" s="83"/>
      <c r="F1066" s="83"/>
      <c r="G1066" s="83"/>
      <c r="H1066" s="83"/>
      <c r="I1066" s="16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</row>
    <row r="1067">
      <c r="A1067" s="83"/>
      <c r="B1067" s="83"/>
      <c r="C1067" s="83"/>
      <c r="D1067" s="83"/>
      <c r="E1067" s="83"/>
      <c r="F1067" s="83"/>
      <c r="G1067" s="83"/>
      <c r="H1067" s="83"/>
      <c r="I1067" s="16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</row>
    <row r="1068">
      <c r="A1068" s="83"/>
      <c r="B1068" s="83"/>
      <c r="C1068" s="83"/>
      <c r="D1068" s="83"/>
      <c r="E1068" s="83"/>
      <c r="F1068" s="83"/>
      <c r="G1068" s="83"/>
      <c r="H1068" s="83"/>
      <c r="I1068" s="16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</row>
    <row r="1069">
      <c r="A1069" s="83"/>
      <c r="B1069" s="83"/>
      <c r="C1069" s="83"/>
      <c r="D1069" s="83"/>
      <c r="E1069" s="83"/>
      <c r="F1069" s="83"/>
      <c r="G1069" s="83"/>
      <c r="H1069" s="83"/>
      <c r="I1069" s="16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</row>
    <row r="1070">
      <c r="A1070" s="83"/>
      <c r="B1070" s="83"/>
      <c r="C1070" s="83"/>
      <c r="D1070" s="83"/>
      <c r="E1070" s="83"/>
      <c r="F1070" s="83"/>
      <c r="G1070" s="83"/>
      <c r="H1070" s="83"/>
      <c r="I1070" s="16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</row>
    <row r="1071">
      <c r="A1071" s="83"/>
      <c r="B1071" s="83"/>
      <c r="C1071" s="83"/>
      <c r="D1071" s="83"/>
      <c r="E1071" s="83"/>
      <c r="F1071" s="83"/>
      <c r="G1071" s="83"/>
      <c r="H1071" s="83"/>
      <c r="I1071" s="16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</row>
    <row r="1072">
      <c r="A1072" s="83"/>
      <c r="B1072" s="83"/>
      <c r="C1072" s="83"/>
      <c r="D1072" s="83"/>
      <c r="E1072" s="83"/>
      <c r="F1072" s="83"/>
      <c r="G1072" s="83"/>
      <c r="H1072" s="83"/>
      <c r="I1072" s="16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</row>
    <row r="1073">
      <c r="A1073" s="83"/>
      <c r="B1073" s="83"/>
      <c r="C1073" s="83"/>
      <c r="D1073" s="83"/>
      <c r="E1073" s="83"/>
      <c r="F1073" s="83"/>
      <c r="G1073" s="83"/>
      <c r="H1073" s="83"/>
      <c r="I1073" s="16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</row>
    <row r="1074">
      <c r="A1074" s="83"/>
      <c r="B1074" s="83"/>
      <c r="C1074" s="83"/>
      <c r="D1074" s="83"/>
      <c r="E1074" s="83"/>
      <c r="F1074" s="83"/>
      <c r="G1074" s="83"/>
      <c r="H1074" s="83"/>
      <c r="I1074" s="16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</row>
    <row r="1075">
      <c r="A1075" s="83"/>
      <c r="B1075" s="83"/>
      <c r="C1075" s="83"/>
      <c r="D1075" s="83"/>
      <c r="E1075" s="83"/>
      <c r="F1075" s="83"/>
      <c r="G1075" s="83"/>
      <c r="H1075" s="83"/>
      <c r="I1075" s="16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</row>
    <row r="1076">
      <c r="A1076" s="83"/>
      <c r="B1076" s="83"/>
      <c r="C1076" s="83"/>
      <c r="D1076" s="83"/>
      <c r="E1076" s="83"/>
      <c r="F1076" s="83"/>
      <c r="G1076" s="83"/>
      <c r="H1076" s="83"/>
      <c r="I1076" s="16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</row>
    <row r="1077">
      <c r="A1077" s="83"/>
      <c r="B1077" s="83"/>
      <c r="C1077" s="83"/>
      <c r="D1077" s="83"/>
      <c r="E1077" s="83"/>
      <c r="F1077" s="83"/>
      <c r="G1077" s="83"/>
      <c r="H1077" s="83"/>
      <c r="I1077" s="16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</row>
    <row r="1078">
      <c r="A1078" s="83"/>
      <c r="B1078" s="83"/>
      <c r="C1078" s="83"/>
      <c r="D1078" s="83"/>
      <c r="E1078" s="83"/>
      <c r="F1078" s="83"/>
      <c r="G1078" s="83"/>
      <c r="H1078" s="83"/>
      <c r="I1078" s="16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</row>
    <row r="1079">
      <c r="A1079" s="83"/>
      <c r="B1079" s="83"/>
      <c r="C1079" s="83"/>
      <c r="D1079" s="83"/>
      <c r="E1079" s="83"/>
      <c r="F1079" s="83"/>
      <c r="G1079" s="83"/>
      <c r="H1079" s="83"/>
      <c r="I1079" s="16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</row>
    <row r="1080">
      <c r="A1080" s="83"/>
      <c r="B1080" s="83"/>
      <c r="C1080" s="83"/>
      <c r="D1080" s="83"/>
      <c r="E1080" s="83"/>
      <c r="F1080" s="83"/>
      <c r="G1080" s="83"/>
      <c r="H1080" s="83"/>
      <c r="I1080" s="16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</row>
    <row r="1081">
      <c r="A1081" s="83"/>
      <c r="B1081" s="83"/>
      <c r="C1081" s="83"/>
      <c r="D1081" s="83"/>
      <c r="E1081" s="83"/>
      <c r="F1081" s="83"/>
      <c r="G1081" s="83"/>
      <c r="H1081" s="83"/>
      <c r="I1081" s="16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</row>
    <row r="1082">
      <c r="A1082" s="83"/>
      <c r="B1082" s="83"/>
      <c r="C1082" s="83"/>
      <c r="D1082" s="83"/>
      <c r="E1082" s="83"/>
      <c r="F1082" s="83"/>
      <c r="G1082" s="83"/>
      <c r="H1082" s="83"/>
      <c r="I1082" s="16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</row>
    <row r="1083">
      <c r="A1083" s="83"/>
      <c r="B1083" s="83"/>
      <c r="C1083" s="83"/>
      <c r="D1083" s="83"/>
      <c r="E1083" s="83"/>
      <c r="F1083" s="83"/>
      <c r="G1083" s="83"/>
      <c r="H1083" s="83"/>
      <c r="I1083" s="16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</row>
    <row r="1084">
      <c r="A1084" s="83"/>
      <c r="B1084" s="83"/>
      <c r="C1084" s="83"/>
      <c r="D1084" s="83"/>
      <c r="E1084" s="83"/>
      <c r="F1084" s="83"/>
      <c r="G1084" s="83"/>
      <c r="H1084" s="83"/>
      <c r="I1084" s="16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</row>
    <row r="1085">
      <c r="A1085" s="83"/>
      <c r="B1085" s="83"/>
      <c r="C1085" s="83"/>
      <c r="D1085" s="83"/>
      <c r="E1085" s="83"/>
      <c r="F1085" s="83"/>
      <c r="G1085" s="83"/>
      <c r="H1085" s="83"/>
      <c r="I1085" s="16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</row>
    <row r="1086">
      <c r="A1086" s="83"/>
      <c r="B1086" s="83"/>
      <c r="C1086" s="83"/>
      <c r="D1086" s="83"/>
      <c r="E1086" s="83"/>
      <c r="F1086" s="83"/>
      <c r="G1086" s="83"/>
      <c r="H1086" s="83"/>
      <c r="I1086" s="16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</row>
    <row r="1087">
      <c r="A1087" s="83"/>
      <c r="B1087" s="83"/>
      <c r="C1087" s="83"/>
      <c r="D1087" s="83"/>
      <c r="E1087" s="83"/>
      <c r="F1087" s="83"/>
      <c r="G1087" s="83"/>
      <c r="H1087" s="83"/>
      <c r="I1087" s="16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</row>
    <row r="1088">
      <c r="A1088" s="83"/>
      <c r="B1088" s="83"/>
      <c r="C1088" s="83"/>
      <c r="D1088" s="83"/>
      <c r="E1088" s="83"/>
      <c r="F1088" s="83"/>
      <c r="G1088" s="83"/>
      <c r="H1088" s="83"/>
      <c r="I1088" s="16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</row>
    <row r="1089">
      <c r="A1089" s="83"/>
      <c r="B1089" s="83"/>
      <c r="C1089" s="83"/>
      <c r="D1089" s="83"/>
      <c r="E1089" s="83"/>
      <c r="F1089" s="83"/>
      <c r="G1089" s="83"/>
      <c r="H1089" s="83"/>
      <c r="I1089" s="16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</row>
    <row r="1090">
      <c r="A1090" s="83"/>
      <c r="B1090" s="83"/>
      <c r="C1090" s="83"/>
      <c r="D1090" s="83"/>
      <c r="E1090" s="83"/>
      <c r="F1090" s="83"/>
      <c r="G1090" s="83"/>
      <c r="H1090" s="83"/>
      <c r="I1090" s="16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</row>
    <row r="1091">
      <c r="A1091" s="83"/>
      <c r="B1091" s="83"/>
      <c r="C1091" s="83"/>
      <c r="D1091" s="83"/>
      <c r="E1091" s="83"/>
      <c r="F1091" s="83"/>
      <c r="G1091" s="83"/>
      <c r="H1091" s="83"/>
      <c r="I1091" s="16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</row>
    <row r="1092">
      <c r="A1092" s="83"/>
      <c r="B1092" s="83"/>
      <c r="C1092" s="83"/>
      <c r="D1092" s="83"/>
      <c r="E1092" s="83"/>
      <c r="F1092" s="83"/>
      <c r="G1092" s="83"/>
      <c r="H1092" s="83"/>
      <c r="I1092" s="16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</row>
    <row r="1093">
      <c r="A1093" s="83"/>
      <c r="B1093" s="83"/>
      <c r="C1093" s="83"/>
      <c r="D1093" s="83"/>
      <c r="E1093" s="83"/>
      <c r="F1093" s="83"/>
      <c r="G1093" s="83"/>
      <c r="H1093" s="83"/>
      <c r="I1093" s="16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</row>
    <row r="1094">
      <c r="A1094" s="83"/>
      <c r="B1094" s="83"/>
      <c r="C1094" s="83"/>
      <c r="D1094" s="83"/>
      <c r="E1094" s="83"/>
      <c r="F1094" s="83"/>
      <c r="G1094" s="83"/>
      <c r="H1094" s="83"/>
      <c r="I1094" s="16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</row>
    <row r="1095">
      <c r="A1095" s="83"/>
      <c r="B1095" s="83"/>
      <c r="C1095" s="83"/>
      <c r="D1095" s="83"/>
      <c r="E1095" s="83"/>
      <c r="F1095" s="83"/>
      <c r="G1095" s="83"/>
      <c r="H1095" s="83"/>
      <c r="I1095" s="16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</row>
    <row r="1096">
      <c r="A1096" s="83"/>
      <c r="B1096" s="83"/>
      <c r="C1096" s="83"/>
      <c r="D1096" s="83"/>
      <c r="E1096" s="83"/>
      <c r="F1096" s="83"/>
      <c r="G1096" s="83"/>
      <c r="H1096" s="83"/>
      <c r="I1096" s="16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</row>
    <row r="1097">
      <c r="A1097" s="83"/>
      <c r="B1097" s="83"/>
      <c r="C1097" s="83"/>
      <c r="D1097" s="83"/>
      <c r="E1097" s="83"/>
      <c r="F1097" s="83"/>
      <c r="G1097" s="83"/>
      <c r="H1097" s="83"/>
      <c r="I1097" s="16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</row>
    <row r="1098">
      <c r="A1098" s="83"/>
      <c r="B1098" s="83"/>
      <c r="C1098" s="83"/>
      <c r="D1098" s="83"/>
      <c r="E1098" s="83"/>
      <c r="F1098" s="83"/>
      <c r="G1098" s="83"/>
      <c r="H1098" s="83"/>
      <c r="I1098" s="16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</row>
    <row r="1099">
      <c r="A1099" s="83"/>
      <c r="B1099" s="83"/>
      <c r="C1099" s="83"/>
      <c r="D1099" s="83"/>
      <c r="E1099" s="83"/>
      <c r="F1099" s="83"/>
      <c r="G1099" s="83"/>
      <c r="H1099" s="83"/>
      <c r="I1099" s="16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</row>
    <row r="1100">
      <c r="A1100" s="83"/>
      <c r="B1100" s="83"/>
      <c r="C1100" s="83"/>
      <c r="D1100" s="83"/>
      <c r="E1100" s="83"/>
      <c r="F1100" s="83"/>
      <c r="G1100" s="83"/>
      <c r="H1100" s="83"/>
      <c r="I1100" s="16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</row>
    <row r="1101">
      <c r="A1101" s="83"/>
      <c r="B1101" s="83"/>
      <c r="C1101" s="83"/>
      <c r="D1101" s="83"/>
      <c r="E1101" s="83"/>
      <c r="F1101" s="83"/>
      <c r="G1101" s="83"/>
      <c r="H1101" s="83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</row>
    <row r="1102">
      <c r="A1102" s="83"/>
      <c r="B1102" s="83"/>
      <c r="C1102" s="83"/>
      <c r="D1102" s="83"/>
      <c r="E1102" s="83"/>
      <c r="F1102" s="83"/>
      <c r="G1102" s="83"/>
      <c r="H1102" s="83"/>
      <c r="I1102" s="16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</row>
    <row r="1103">
      <c r="A1103" s="83"/>
      <c r="B1103" s="83"/>
      <c r="C1103" s="83"/>
      <c r="D1103" s="83"/>
      <c r="E1103" s="83"/>
      <c r="F1103" s="83"/>
      <c r="G1103" s="83"/>
      <c r="H1103" s="83"/>
      <c r="I1103" s="16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</row>
    <row r="1104">
      <c r="A1104" s="83"/>
      <c r="B1104" s="83"/>
      <c r="C1104" s="83"/>
      <c r="D1104" s="83"/>
      <c r="E1104" s="83"/>
      <c r="F1104" s="83"/>
      <c r="G1104" s="83"/>
      <c r="H1104" s="83"/>
      <c r="I1104" s="16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</row>
    <row r="1105">
      <c r="A1105" s="83"/>
      <c r="B1105" s="83"/>
      <c r="C1105" s="83"/>
      <c r="D1105" s="83"/>
      <c r="E1105" s="83"/>
      <c r="F1105" s="83"/>
      <c r="G1105" s="83"/>
      <c r="H1105" s="83"/>
      <c r="I1105" s="16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</row>
    <row r="1106">
      <c r="A1106" s="83"/>
      <c r="B1106" s="83"/>
      <c r="C1106" s="83"/>
      <c r="D1106" s="83"/>
      <c r="E1106" s="83"/>
      <c r="F1106" s="83"/>
      <c r="G1106" s="83"/>
      <c r="H1106" s="83"/>
      <c r="I1106" s="16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</row>
    <row r="1107">
      <c r="A1107" s="83"/>
      <c r="B1107" s="83"/>
      <c r="C1107" s="83"/>
      <c r="D1107" s="83"/>
      <c r="E1107" s="83"/>
      <c r="F1107" s="83"/>
      <c r="G1107" s="83"/>
      <c r="H1107" s="83"/>
      <c r="I1107" s="16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</row>
    <row r="1108">
      <c r="A1108" s="83"/>
      <c r="B1108" s="83"/>
      <c r="C1108" s="83"/>
      <c r="D1108" s="83"/>
      <c r="E1108" s="83"/>
      <c r="F1108" s="83"/>
      <c r="G1108" s="83"/>
      <c r="H1108" s="83"/>
      <c r="I1108" s="16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</row>
    <row r="1109">
      <c r="A1109" s="83"/>
      <c r="B1109" s="83"/>
      <c r="C1109" s="83"/>
      <c r="D1109" s="83"/>
      <c r="E1109" s="83"/>
      <c r="F1109" s="83"/>
      <c r="G1109" s="83"/>
      <c r="H1109" s="83"/>
      <c r="I1109" s="16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</row>
    <row r="1110">
      <c r="A1110" s="83"/>
      <c r="B1110" s="83"/>
      <c r="C1110" s="83"/>
      <c r="D1110" s="83"/>
      <c r="E1110" s="83"/>
      <c r="F1110" s="83"/>
      <c r="G1110" s="83"/>
      <c r="H1110" s="83"/>
      <c r="I1110" s="16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</row>
    <row r="1111">
      <c r="A1111" s="83"/>
      <c r="B1111" s="83"/>
      <c r="C1111" s="83"/>
      <c r="D1111" s="83"/>
      <c r="E1111" s="83"/>
      <c r="F1111" s="83"/>
      <c r="G1111" s="83"/>
      <c r="H1111" s="83"/>
      <c r="I1111" s="16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</row>
    <row r="1112">
      <c r="A1112" s="83"/>
      <c r="B1112" s="83"/>
      <c r="C1112" s="83"/>
      <c r="D1112" s="83"/>
      <c r="E1112" s="83"/>
      <c r="F1112" s="83"/>
      <c r="G1112" s="83"/>
      <c r="H1112" s="83"/>
      <c r="I1112" s="16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</row>
    <row r="1113">
      <c r="A1113" s="83"/>
      <c r="B1113" s="83"/>
      <c r="C1113" s="83"/>
      <c r="D1113" s="83"/>
      <c r="E1113" s="83"/>
      <c r="F1113" s="83"/>
      <c r="G1113" s="83"/>
      <c r="H1113" s="83"/>
      <c r="I1113" s="16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</row>
    <row r="1114">
      <c r="A1114" s="83"/>
      <c r="B1114" s="83"/>
      <c r="C1114" s="83"/>
      <c r="D1114" s="83"/>
      <c r="E1114" s="83"/>
      <c r="F1114" s="83"/>
      <c r="G1114" s="83"/>
      <c r="H1114" s="83"/>
      <c r="I1114" s="16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</row>
    <row r="1115">
      <c r="A1115" s="83"/>
      <c r="B1115" s="83"/>
      <c r="C1115" s="83"/>
      <c r="D1115" s="83"/>
      <c r="E1115" s="83"/>
      <c r="F1115" s="83"/>
      <c r="G1115" s="83"/>
      <c r="H1115" s="83"/>
      <c r="I1115" s="16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</row>
    <row r="1116">
      <c r="A1116" s="83"/>
      <c r="B1116" s="83"/>
      <c r="C1116" s="83"/>
      <c r="D1116" s="83"/>
      <c r="E1116" s="83"/>
      <c r="F1116" s="83"/>
      <c r="G1116" s="83"/>
      <c r="H1116" s="83"/>
      <c r="I1116" s="16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</row>
    <row r="1117">
      <c r="A1117" s="83"/>
      <c r="B1117" s="83"/>
      <c r="C1117" s="83"/>
      <c r="D1117" s="83"/>
      <c r="E1117" s="83"/>
      <c r="F1117" s="83"/>
      <c r="G1117" s="83"/>
      <c r="H1117" s="83"/>
      <c r="I1117" s="16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</row>
    <row r="1118">
      <c r="A1118" s="83"/>
      <c r="B1118" s="83"/>
      <c r="C1118" s="83"/>
      <c r="D1118" s="83"/>
      <c r="E1118" s="83"/>
      <c r="F1118" s="83"/>
      <c r="G1118" s="83"/>
      <c r="H1118" s="83"/>
      <c r="I1118" s="16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</row>
    <row r="1119">
      <c r="A1119" s="83"/>
      <c r="B1119" s="83"/>
      <c r="C1119" s="83"/>
      <c r="D1119" s="83"/>
      <c r="E1119" s="83"/>
      <c r="F1119" s="83"/>
      <c r="G1119" s="83"/>
      <c r="H1119" s="83"/>
      <c r="I1119" s="16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</row>
    <row r="1120">
      <c r="A1120" s="83"/>
      <c r="B1120" s="83"/>
      <c r="C1120" s="83"/>
      <c r="D1120" s="83"/>
      <c r="E1120" s="83"/>
      <c r="F1120" s="83"/>
      <c r="G1120" s="83"/>
      <c r="H1120" s="83"/>
      <c r="I1120" s="16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</row>
    <row r="1121">
      <c r="A1121" s="83"/>
      <c r="B1121" s="83"/>
      <c r="C1121" s="83"/>
      <c r="D1121" s="83"/>
      <c r="E1121" s="83"/>
      <c r="F1121" s="83"/>
      <c r="G1121" s="83"/>
      <c r="H1121" s="83"/>
      <c r="I1121" s="16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</row>
    <row r="1122">
      <c r="A1122" s="83"/>
      <c r="B1122" s="83"/>
      <c r="C1122" s="83"/>
      <c r="D1122" s="83"/>
      <c r="E1122" s="83"/>
      <c r="F1122" s="83"/>
      <c r="G1122" s="83"/>
      <c r="H1122" s="83"/>
      <c r="I1122" s="16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</row>
    <row r="1123">
      <c r="A1123" s="83"/>
      <c r="B1123" s="83"/>
      <c r="C1123" s="83"/>
      <c r="D1123" s="83"/>
      <c r="E1123" s="83"/>
      <c r="F1123" s="83"/>
      <c r="G1123" s="83"/>
      <c r="H1123" s="83"/>
      <c r="I1123" s="16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</row>
    <row r="1124">
      <c r="A1124" s="83"/>
      <c r="B1124" s="83"/>
      <c r="C1124" s="83"/>
      <c r="D1124" s="83"/>
      <c r="E1124" s="83"/>
      <c r="F1124" s="83"/>
      <c r="G1124" s="83"/>
      <c r="H1124" s="83"/>
      <c r="I1124" s="16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</row>
    <row r="1125">
      <c r="A1125" s="83"/>
      <c r="B1125" s="83"/>
      <c r="C1125" s="83"/>
      <c r="D1125" s="83"/>
      <c r="E1125" s="83"/>
      <c r="F1125" s="83"/>
      <c r="G1125" s="83"/>
      <c r="H1125" s="83"/>
      <c r="I1125" s="16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</row>
    <row r="1126">
      <c r="A1126" s="83"/>
      <c r="B1126" s="83"/>
      <c r="C1126" s="83"/>
      <c r="D1126" s="83"/>
      <c r="E1126" s="83"/>
      <c r="F1126" s="83"/>
      <c r="G1126" s="83"/>
      <c r="H1126" s="83"/>
      <c r="I1126" s="16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</row>
    <row r="1127">
      <c r="A1127" s="83"/>
      <c r="B1127" s="83"/>
      <c r="C1127" s="83"/>
      <c r="D1127" s="83"/>
      <c r="E1127" s="83"/>
      <c r="F1127" s="83"/>
      <c r="G1127" s="83"/>
      <c r="H1127" s="83"/>
      <c r="I1127" s="16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</row>
    <row r="1128">
      <c r="A1128" s="83"/>
      <c r="B1128" s="83"/>
      <c r="C1128" s="83"/>
      <c r="D1128" s="83"/>
      <c r="E1128" s="83"/>
      <c r="F1128" s="83"/>
      <c r="G1128" s="83"/>
      <c r="H1128" s="83"/>
      <c r="I1128" s="16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</row>
    <row r="1129">
      <c r="A1129" s="83"/>
      <c r="B1129" s="83"/>
      <c r="C1129" s="83"/>
      <c r="D1129" s="83"/>
      <c r="E1129" s="83"/>
      <c r="F1129" s="83"/>
      <c r="G1129" s="83"/>
      <c r="H1129" s="83"/>
      <c r="I1129" s="16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</row>
    <row r="1130">
      <c r="A1130" s="83"/>
      <c r="B1130" s="83"/>
      <c r="C1130" s="83"/>
      <c r="D1130" s="83"/>
      <c r="E1130" s="83"/>
      <c r="F1130" s="83"/>
      <c r="G1130" s="83"/>
      <c r="H1130" s="83"/>
      <c r="I1130" s="16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</row>
    <row r="1131">
      <c r="A1131" s="83"/>
      <c r="B1131" s="83"/>
      <c r="C1131" s="83"/>
      <c r="D1131" s="83"/>
      <c r="E1131" s="83"/>
      <c r="F1131" s="83"/>
      <c r="G1131" s="83"/>
      <c r="H1131" s="83"/>
      <c r="I1131" s="16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</row>
    <row r="1132">
      <c r="A1132" s="83"/>
      <c r="B1132" s="83"/>
      <c r="C1132" s="83"/>
      <c r="D1132" s="83"/>
      <c r="E1132" s="83"/>
      <c r="F1132" s="83"/>
      <c r="G1132" s="83"/>
      <c r="H1132" s="83"/>
      <c r="I1132" s="16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</row>
    <row r="1133">
      <c r="A1133" s="83"/>
      <c r="B1133" s="83"/>
      <c r="C1133" s="83"/>
      <c r="D1133" s="83"/>
      <c r="E1133" s="83"/>
      <c r="F1133" s="83"/>
      <c r="G1133" s="83"/>
      <c r="H1133" s="83"/>
      <c r="I1133" s="16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</row>
    <row r="1134">
      <c r="A1134" s="83"/>
      <c r="B1134" s="83"/>
      <c r="C1134" s="83"/>
      <c r="D1134" s="83"/>
      <c r="E1134" s="83"/>
      <c r="F1134" s="83"/>
      <c r="G1134" s="83"/>
      <c r="H1134" s="83"/>
      <c r="I1134" s="16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</row>
    <row r="1135">
      <c r="A1135" s="83"/>
      <c r="B1135" s="83"/>
      <c r="C1135" s="83"/>
      <c r="D1135" s="83"/>
      <c r="E1135" s="83"/>
      <c r="F1135" s="83"/>
      <c r="G1135" s="83"/>
      <c r="H1135" s="83"/>
      <c r="I1135" s="16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</row>
    <row r="1136">
      <c r="A1136" s="83"/>
      <c r="B1136" s="83"/>
      <c r="C1136" s="83"/>
      <c r="D1136" s="83"/>
      <c r="E1136" s="83"/>
      <c r="F1136" s="83"/>
      <c r="G1136" s="83"/>
      <c r="H1136" s="83"/>
      <c r="I1136" s="16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</row>
    <row r="1137">
      <c r="A1137" s="83"/>
      <c r="B1137" s="83"/>
      <c r="C1137" s="83"/>
      <c r="D1137" s="83"/>
      <c r="E1137" s="83"/>
      <c r="F1137" s="83"/>
      <c r="G1137" s="83"/>
      <c r="H1137" s="83"/>
      <c r="I1137" s="16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</row>
    <row r="1138">
      <c r="A1138" s="83"/>
      <c r="B1138" s="83"/>
      <c r="C1138" s="83"/>
      <c r="D1138" s="83"/>
      <c r="E1138" s="83"/>
      <c r="F1138" s="83"/>
      <c r="G1138" s="83"/>
      <c r="H1138" s="83"/>
      <c r="I1138" s="16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</row>
    <row r="1139">
      <c r="A1139" s="83"/>
      <c r="B1139" s="83"/>
      <c r="C1139" s="83"/>
      <c r="D1139" s="83"/>
      <c r="E1139" s="83"/>
      <c r="F1139" s="83"/>
      <c r="G1139" s="83"/>
      <c r="H1139" s="83"/>
      <c r="I1139" s="16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</row>
    <row r="1140">
      <c r="A1140" s="83"/>
      <c r="B1140" s="83"/>
      <c r="C1140" s="83"/>
      <c r="D1140" s="83"/>
      <c r="E1140" s="83"/>
      <c r="F1140" s="83"/>
      <c r="G1140" s="83"/>
      <c r="H1140" s="83"/>
      <c r="I1140" s="16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</row>
    <row r="1141">
      <c r="A1141" s="83"/>
      <c r="B1141" s="83"/>
      <c r="C1141" s="83"/>
      <c r="D1141" s="83"/>
      <c r="E1141" s="83"/>
      <c r="F1141" s="83"/>
      <c r="G1141" s="83"/>
      <c r="H1141" s="83"/>
      <c r="I1141" s="16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</row>
    <row r="1142">
      <c r="A1142" s="83"/>
      <c r="B1142" s="83"/>
      <c r="C1142" s="83"/>
      <c r="D1142" s="83"/>
      <c r="E1142" s="83"/>
      <c r="F1142" s="83"/>
      <c r="G1142" s="83"/>
      <c r="H1142" s="83"/>
      <c r="I1142" s="16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</row>
    <row r="1143">
      <c r="A1143" s="83"/>
      <c r="B1143" s="83"/>
      <c r="C1143" s="83"/>
      <c r="D1143" s="83"/>
      <c r="E1143" s="83"/>
      <c r="F1143" s="83"/>
      <c r="G1143" s="83"/>
      <c r="H1143" s="83"/>
      <c r="I1143" s="16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</row>
    <row r="1144">
      <c r="A1144" s="83"/>
      <c r="B1144" s="83"/>
      <c r="C1144" s="83"/>
      <c r="D1144" s="83"/>
      <c r="E1144" s="83"/>
      <c r="F1144" s="83"/>
      <c r="G1144" s="83"/>
      <c r="H1144" s="83"/>
      <c r="I1144" s="16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</row>
    <row r="1145">
      <c r="A1145" s="83"/>
      <c r="B1145" s="83"/>
      <c r="C1145" s="83"/>
      <c r="D1145" s="83"/>
      <c r="E1145" s="83"/>
      <c r="F1145" s="83"/>
      <c r="G1145" s="83"/>
      <c r="H1145" s="83"/>
      <c r="I1145" s="16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</row>
    <row r="1146">
      <c r="A1146" s="83"/>
      <c r="B1146" s="83"/>
      <c r="C1146" s="83"/>
      <c r="D1146" s="83"/>
      <c r="E1146" s="83"/>
      <c r="F1146" s="83"/>
      <c r="G1146" s="83"/>
      <c r="H1146" s="83"/>
      <c r="I1146" s="16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</row>
    <row r="1147">
      <c r="A1147" s="83"/>
      <c r="B1147" s="83"/>
      <c r="C1147" s="83"/>
      <c r="D1147" s="83"/>
      <c r="E1147" s="83"/>
      <c r="F1147" s="83"/>
      <c r="G1147" s="83"/>
      <c r="H1147" s="83"/>
      <c r="I1147" s="16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</row>
    <row r="1148">
      <c r="A1148" s="83"/>
      <c r="B1148" s="83"/>
      <c r="C1148" s="83"/>
      <c r="D1148" s="83"/>
      <c r="E1148" s="83"/>
      <c r="F1148" s="83"/>
      <c r="G1148" s="83"/>
      <c r="H1148" s="83"/>
      <c r="I1148" s="16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</row>
    <row r="1149">
      <c r="A1149" s="83"/>
      <c r="B1149" s="83"/>
      <c r="C1149" s="83"/>
      <c r="D1149" s="83"/>
      <c r="E1149" s="83"/>
      <c r="F1149" s="83"/>
      <c r="G1149" s="83"/>
      <c r="H1149" s="83"/>
      <c r="I1149" s="16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</row>
    <row r="1150">
      <c r="A1150" s="83"/>
      <c r="B1150" s="83"/>
      <c r="C1150" s="83"/>
      <c r="D1150" s="83"/>
      <c r="E1150" s="83"/>
      <c r="F1150" s="83"/>
      <c r="G1150" s="83"/>
      <c r="H1150" s="83"/>
      <c r="I1150" s="16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</row>
    <row r="1151">
      <c r="A1151" s="83"/>
      <c r="B1151" s="83"/>
      <c r="C1151" s="83"/>
      <c r="D1151" s="83"/>
      <c r="E1151" s="83"/>
      <c r="F1151" s="83"/>
      <c r="G1151" s="83"/>
      <c r="H1151" s="83"/>
      <c r="I1151" s="16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</row>
    <row r="1152">
      <c r="A1152" s="83"/>
      <c r="B1152" s="83"/>
      <c r="C1152" s="83"/>
      <c r="D1152" s="83"/>
      <c r="E1152" s="83"/>
      <c r="F1152" s="83"/>
      <c r="G1152" s="83"/>
      <c r="H1152" s="83"/>
      <c r="I1152" s="16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</row>
    <row r="1153">
      <c r="A1153" s="83"/>
      <c r="B1153" s="83"/>
      <c r="C1153" s="83"/>
      <c r="D1153" s="83"/>
      <c r="E1153" s="83"/>
      <c r="F1153" s="83"/>
      <c r="G1153" s="83"/>
      <c r="H1153" s="83"/>
      <c r="I1153" s="16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</row>
    <row r="1154">
      <c r="A1154" s="83"/>
      <c r="B1154" s="83"/>
      <c r="C1154" s="83"/>
      <c r="D1154" s="83"/>
      <c r="E1154" s="83"/>
      <c r="F1154" s="83"/>
      <c r="G1154" s="83"/>
      <c r="H1154" s="83"/>
      <c r="I1154" s="16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</row>
    <row r="1155">
      <c r="A1155" s="83"/>
      <c r="B1155" s="83"/>
      <c r="C1155" s="83"/>
      <c r="D1155" s="83"/>
      <c r="E1155" s="83"/>
      <c r="F1155" s="83"/>
      <c r="G1155" s="83"/>
      <c r="H1155" s="83"/>
      <c r="I1155" s="16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</row>
    <row r="1156">
      <c r="A1156" s="83"/>
      <c r="B1156" s="83"/>
      <c r="C1156" s="83"/>
      <c r="D1156" s="83"/>
      <c r="E1156" s="83"/>
      <c r="F1156" s="83"/>
      <c r="G1156" s="83"/>
      <c r="H1156" s="83"/>
      <c r="I1156" s="16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</row>
    <row r="1157">
      <c r="A1157" s="83"/>
      <c r="B1157" s="83"/>
      <c r="C1157" s="83"/>
      <c r="D1157" s="83"/>
      <c r="E1157" s="83"/>
      <c r="F1157" s="83"/>
      <c r="G1157" s="83"/>
      <c r="H1157" s="83"/>
      <c r="I1157" s="16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</row>
    <row r="1158">
      <c r="A1158" s="83"/>
      <c r="B1158" s="83"/>
      <c r="C1158" s="83"/>
      <c r="D1158" s="83"/>
      <c r="E1158" s="83"/>
      <c r="F1158" s="83"/>
      <c r="G1158" s="83"/>
      <c r="H1158" s="83"/>
      <c r="I1158" s="16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</row>
    <row r="1159">
      <c r="A1159" s="83"/>
      <c r="B1159" s="83"/>
      <c r="C1159" s="83"/>
      <c r="D1159" s="83"/>
      <c r="E1159" s="83"/>
      <c r="F1159" s="83"/>
      <c r="G1159" s="83"/>
      <c r="H1159" s="83"/>
      <c r="I1159" s="16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</row>
    <row r="1160">
      <c r="A1160" s="83"/>
      <c r="B1160" s="83"/>
      <c r="C1160" s="83"/>
      <c r="D1160" s="83"/>
      <c r="E1160" s="83"/>
      <c r="F1160" s="83"/>
      <c r="G1160" s="83"/>
      <c r="H1160" s="83"/>
      <c r="I1160" s="16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</row>
    <row r="1161">
      <c r="A1161" s="83"/>
      <c r="B1161" s="83"/>
      <c r="C1161" s="83"/>
      <c r="D1161" s="83"/>
      <c r="E1161" s="83"/>
      <c r="F1161" s="83"/>
      <c r="G1161" s="83"/>
      <c r="H1161" s="83"/>
      <c r="I1161" s="16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</row>
    <row r="1162">
      <c r="A1162" s="83"/>
      <c r="B1162" s="83"/>
      <c r="C1162" s="83"/>
      <c r="D1162" s="83"/>
      <c r="E1162" s="83"/>
      <c r="F1162" s="83"/>
      <c r="G1162" s="83"/>
      <c r="H1162" s="83"/>
      <c r="I1162" s="16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</row>
    <row r="1163">
      <c r="A1163" s="83"/>
      <c r="B1163" s="83"/>
      <c r="C1163" s="83"/>
      <c r="D1163" s="83"/>
      <c r="E1163" s="83"/>
      <c r="F1163" s="83"/>
      <c r="G1163" s="83"/>
      <c r="H1163" s="83"/>
      <c r="I1163" s="16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</row>
    <row r="1164">
      <c r="A1164" s="83"/>
      <c r="B1164" s="83"/>
      <c r="C1164" s="83"/>
      <c r="D1164" s="83"/>
      <c r="E1164" s="83"/>
      <c r="F1164" s="83"/>
      <c r="G1164" s="83"/>
      <c r="H1164" s="83"/>
      <c r="I1164" s="16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</row>
    <row r="1165">
      <c r="A1165" s="83"/>
      <c r="B1165" s="83"/>
      <c r="C1165" s="83"/>
      <c r="D1165" s="83"/>
      <c r="E1165" s="83"/>
      <c r="F1165" s="83"/>
      <c r="G1165" s="83"/>
      <c r="H1165" s="83"/>
      <c r="I1165" s="16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</row>
    <row r="1166">
      <c r="A1166" s="83"/>
      <c r="B1166" s="83"/>
      <c r="C1166" s="83"/>
      <c r="D1166" s="83"/>
      <c r="E1166" s="83"/>
      <c r="F1166" s="83"/>
      <c r="G1166" s="83"/>
      <c r="H1166" s="83"/>
      <c r="I1166" s="16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</row>
    <row r="1167">
      <c r="A1167" s="83"/>
      <c r="B1167" s="83"/>
      <c r="C1167" s="83"/>
      <c r="D1167" s="83"/>
      <c r="E1167" s="83"/>
      <c r="F1167" s="83"/>
      <c r="G1167" s="83"/>
      <c r="H1167" s="83"/>
      <c r="I1167" s="16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</row>
    <row r="1168">
      <c r="A1168" s="83"/>
      <c r="B1168" s="83"/>
      <c r="C1168" s="83"/>
      <c r="D1168" s="83"/>
      <c r="E1168" s="83"/>
      <c r="F1168" s="83"/>
      <c r="G1168" s="83"/>
      <c r="H1168" s="83"/>
      <c r="I1168" s="16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</row>
    <row r="1169">
      <c r="A1169" s="83"/>
      <c r="B1169" s="83"/>
      <c r="C1169" s="83"/>
      <c r="D1169" s="83"/>
      <c r="E1169" s="83"/>
      <c r="F1169" s="83"/>
      <c r="G1169" s="83"/>
      <c r="H1169" s="83"/>
      <c r="I1169" s="16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</row>
    <row r="1170">
      <c r="A1170" s="83"/>
      <c r="B1170" s="83"/>
      <c r="C1170" s="83"/>
      <c r="D1170" s="83"/>
      <c r="E1170" s="83"/>
      <c r="F1170" s="83"/>
      <c r="G1170" s="83"/>
      <c r="H1170" s="83"/>
      <c r="I1170" s="16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</row>
    <row r="1171">
      <c r="A1171" s="83"/>
      <c r="B1171" s="83"/>
      <c r="C1171" s="83"/>
      <c r="D1171" s="83"/>
      <c r="E1171" s="83"/>
      <c r="F1171" s="83"/>
      <c r="G1171" s="83"/>
      <c r="H1171" s="83"/>
      <c r="I1171" s="16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</row>
    <row r="1172">
      <c r="A1172" s="83"/>
      <c r="B1172" s="83"/>
      <c r="C1172" s="83"/>
      <c r="D1172" s="83"/>
      <c r="E1172" s="83"/>
      <c r="F1172" s="83"/>
      <c r="G1172" s="83"/>
      <c r="H1172" s="83"/>
      <c r="I1172" s="16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</row>
    <row r="1173">
      <c r="A1173" s="83"/>
      <c r="B1173" s="83"/>
      <c r="C1173" s="83"/>
      <c r="D1173" s="83"/>
      <c r="E1173" s="83"/>
      <c r="F1173" s="83"/>
      <c r="G1173" s="83"/>
      <c r="H1173" s="83"/>
      <c r="I1173" s="16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</row>
    <row r="1174">
      <c r="A1174" s="83"/>
      <c r="B1174" s="83"/>
      <c r="C1174" s="83"/>
      <c r="D1174" s="83"/>
      <c r="E1174" s="83"/>
      <c r="F1174" s="83"/>
      <c r="G1174" s="83"/>
      <c r="H1174" s="83"/>
      <c r="I1174" s="16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</row>
    <row r="1175">
      <c r="A1175" s="83"/>
      <c r="B1175" s="83"/>
      <c r="C1175" s="83"/>
      <c r="D1175" s="83"/>
      <c r="E1175" s="83"/>
      <c r="F1175" s="83"/>
      <c r="G1175" s="83"/>
      <c r="H1175" s="83"/>
      <c r="I1175" s="16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</row>
    <row r="1176">
      <c r="A1176" s="83"/>
      <c r="B1176" s="83"/>
      <c r="C1176" s="83"/>
      <c r="D1176" s="83"/>
      <c r="E1176" s="83"/>
      <c r="F1176" s="83"/>
      <c r="G1176" s="83"/>
      <c r="H1176" s="83"/>
      <c r="I1176" s="16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</row>
    <row r="1177">
      <c r="A1177" s="83"/>
      <c r="B1177" s="83"/>
      <c r="C1177" s="83"/>
      <c r="D1177" s="83"/>
      <c r="E1177" s="83"/>
      <c r="F1177" s="83"/>
      <c r="G1177" s="83"/>
      <c r="H1177" s="83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</row>
    <row r="1178">
      <c r="A1178" s="83"/>
      <c r="B1178" s="83"/>
      <c r="C1178" s="83"/>
      <c r="D1178" s="83"/>
      <c r="E1178" s="83"/>
      <c r="F1178" s="83"/>
      <c r="G1178" s="83"/>
      <c r="H1178" s="83"/>
      <c r="I1178" s="16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</row>
    <row r="1179">
      <c r="A1179" s="83"/>
      <c r="B1179" s="83"/>
      <c r="C1179" s="83"/>
      <c r="D1179" s="83"/>
      <c r="E1179" s="83"/>
      <c r="F1179" s="83"/>
      <c r="G1179" s="83"/>
      <c r="H1179" s="83"/>
      <c r="I1179" s="16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</row>
    <row r="1180">
      <c r="A1180" s="83"/>
      <c r="B1180" s="83"/>
      <c r="C1180" s="83"/>
      <c r="D1180" s="83"/>
      <c r="E1180" s="83"/>
      <c r="F1180" s="83"/>
      <c r="G1180" s="83"/>
      <c r="H1180" s="83"/>
      <c r="I1180" s="16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</row>
    <row r="1181">
      <c r="A1181" s="83"/>
      <c r="B1181" s="83"/>
      <c r="C1181" s="83"/>
      <c r="D1181" s="83"/>
      <c r="E1181" s="83"/>
      <c r="F1181" s="83"/>
      <c r="G1181" s="83"/>
      <c r="H1181" s="83"/>
      <c r="I1181" s="16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</row>
    <row r="1182">
      <c r="A1182" s="83"/>
      <c r="B1182" s="83"/>
      <c r="C1182" s="83"/>
      <c r="D1182" s="83"/>
      <c r="E1182" s="83"/>
      <c r="F1182" s="83"/>
      <c r="G1182" s="83"/>
      <c r="H1182" s="83"/>
      <c r="I1182" s="16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</row>
    <row r="1183">
      <c r="A1183" s="83"/>
      <c r="B1183" s="83"/>
      <c r="C1183" s="83"/>
      <c r="D1183" s="83"/>
      <c r="E1183" s="83"/>
      <c r="F1183" s="83"/>
      <c r="G1183" s="83"/>
      <c r="H1183" s="83"/>
      <c r="I1183" s="16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</row>
    <row r="1184">
      <c r="A1184" s="83"/>
      <c r="B1184" s="83"/>
      <c r="C1184" s="83"/>
      <c r="D1184" s="83"/>
      <c r="E1184" s="83"/>
      <c r="F1184" s="83"/>
      <c r="G1184" s="83"/>
      <c r="H1184" s="83"/>
      <c r="I1184" s="16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</row>
    <row r="1185">
      <c r="A1185" s="83"/>
      <c r="B1185" s="83"/>
      <c r="C1185" s="83"/>
      <c r="D1185" s="83"/>
      <c r="E1185" s="83"/>
      <c r="F1185" s="83"/>
      <c r="G1185" s="83"/>
      <c r="H1185" s="83"/>
      <c r="I1185" s="16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</row>
    <row r="1186">
      <c r="A1186" s="83"/>
      <c r="B1186" s="83"/>
      <c r="C1186" s="83"/>
      <c r="D1186" s="83"/>
      <c r="E1186" s="83"/>
      <c r="F1186" s="83"/>
      <c r="G1186" s="83"/>
      <c r="H1186" s="83"/>
      <c r="I1186" s="16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</row>
    <row r="1187">
      <c r="A1187" s="83"/>
      <c r="B1187" s="83"/>
      <c r="C1187" s="83"/>
      <c r="D1187" s="83"/>
      <c r="E1187" s="83"/>
      <c r="F1187" s="83"/>
      <c r="G1187" s="83"/>
      <c r="H1187" s="83"/>
      <c r="I1187" s="16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</row>
    <row r="1188">
      <c r="A1188" s="83"/>
      <c r="B1188" s="83"/>
      <c r="C1188" s="83"/>
      <c r="D1188" s="83"/>
      <c r="E1188" s="83"/>
      <c r="F1188" s="83"/>
      <c r="G1188" s="83"/>
      <c r="H1188" s="83"/>
      <c r="I1188" s="16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</row>
    <row r="1189">
      <c r="A1189" s="83"/>
      <c r="B1189" s="83"/>
      <c r="C1189" s="83"/>
      <c r="D1189" s="83"/>
      <c r="E1189" s="83"/>
      <c r="F1189" s="83"/>
      <c r="G1189" s="83"/>
      <c r="H1189" s="83"/>
      <c r="I1189" s="16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</row>
    <row r="1190">
      <c r="A1190" s="83"/>
      <c r="B1190" s="83"/>
      <c r="C1190" s="83"/>
      <c r="D1190" s="83"/>
      <c r="E1190" s="83"/>
      <c r="F1190" s="83"/>
      <c r="G1190" s="83"/>
      <c r="H1190" s="83"/>
      <c r="I1190" s="16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</row>
    <row r="1191">
      <c r="A1191" s="83"/>
      <c r="B1191" s="83"/>
      <c r="C1191" s="83"/>
      <c r="D1191" s="83"/>
      <c r="E1191" s="83"/>
      <c r="F1191" s="83"/>
      <c r="G1191" s="83"/>
      <c r="H1191" s="83"/>
      <c r="I1191" s="16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</row>
    <row r="1192">
      <c r="A1192" s="83"/>
      <c r="B1192" s="83"/>
      <c r="C1192" s="83"/>
      <c r="D1192" s="83"/>
      <c r="E1192" s="83"/>
      <c r="F1192" s="83"/>
      <c r="G1192" s="83"/>
      <c r="H1192" s="83"/>
      <c r="I1192" s="16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</row>
    <row r="1193">
      <c r="A1193" s="83"/>
      <c r="B1193" s="83"/>
      <c r="C1193" s="83"/>
      <c r="D1193" s="83"/>
      <c r="E1193" s="83"/>
      <c r="F1193" s="83"/>
      <c r="G1193" s="83"/>
      <c r="H1193" s="83"/>
      <c r="I1193" s="16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</row>
    <row r="1194">
      <c r="A1194" s="83"/>
      <c r="B1194" s="83"/>
      <c r="C1194" s="83"/>
      <c r="D1194" s="83"/>
      <c r="E1194" s="83"/>
      <c r="F1194" s="83"/>
      <c r="G1194" s="83"/>
      <c r="H1194" s="83"/>
      <c r="I1194" s="16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</row>
    <row r="1195">
      <c r="A1195" s="83"/>
      <c r="B1195" s="83"/>
      <c r="C1195" s="83"/>
      <c r="D1195" s="83"/>
      <c r="E1195" s="83"/>
      <c r="F1195" s="83"/>
      <c r="G1195" s="83"/>
      <c r="H1195" s="83"/>
      <c r="I1195" s="16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</row>
    <row r="1196">
      <c r="A1196" s="83"/>
      <c r="B1196" s="83"/>
      <c r="C1196" s="83"/>
      <c r="D1196" s="83"/>
      <c r="E1196" s="83"/>
      <c r="F1196" s="83"/>
      <c r="G1196" s="83"/>
      <c r="H1196" s="83"/>
      <c r="I1196" s="16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</row>
    <row r="1197">
      <c r="A1197" s="83"/>
      <c r="B1197" s="83"/>
      <c r="C1197" s="83"/>
      <c r="D1197" s="83"/>
      <c r="E1197" s="83"/>
      <c r="F1197" s="83"/>
      <c r="G1197" s="83"/>
      <c r="H1197" s="83"/>
      <c r="I1197" s="16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</row>
    <row r="1198">
      <c r="A1198" s="83"/>
      <c r="B1198" s="83"/>
      <c r="C1198" s="83"/>
      <c r="D1198" s="83"/>
      <c r="E1198" s="83"/>
      <c r="F1198" s="83"/>
      <c r="G1198" s="83"/>
      <c r="H1198" s="83"/>
      <c r="I1198" s="16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</row>
    <row r="1199">
      <c r="A1199" s="83"/>
      <c r="B1199" s="83"/>
      <c r="C1199" s="83"/>
      <c r="D1199" s="83"/>
      <c r="E1199" s="83"/>
      <c r="F1199" s="83"/>
      <c r="G1199" s="83"/>
      <c r="H1199" s="83"/>
      <c r="I1199" s="16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</row>
    <row r="1200">
      <c r="A1200" s="83"/>
      <c r="B1200" s="83"/>
      <c r="C1200" s="83"/>
      <c r="D1200" s="83"/>
      <c r="E1200" s="83"/>
      <c r="F1200" s="83"/>
      <c r="G1200" s="83"/>
      <c r="H1200" s="83"/>
      <c r="I1200" s="16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</row>
    <row r="1201">
      <c r="A1201" s="83"/>
      <c r="B1201" s="83"/>
      <c r="C1201" s="83"/>
      <c r="D1201" s="83"/>
      <c r="E1201" s="83"/>
      <c r="F1201" s="83"/>
      <c r="G1201" s="83"/>
      <c r="H1201" s="83"/>
      <c r="I1201" s="16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</row>
    <row r="1202">
      <c r="A1202" s="83"/>
      <c r="B1202" s="83"/>
      <c r="C1202" s="83"/>
      <c r="D1202" s="83"/>
      <c r="E1202" s="83"/>
      <c r="F1202" s="83"/>
      <c r="G1202" s="83"/>
      <c r="H1202" s="83"/>
      <c r="I1202" s="16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</row>
    <row r="1203">
      <c r="A1203" s="83"/>
      <c r="B1203" s="83"/>
      <c r="C1203" s="83"/>
      <c r="D1203" s="83"/>
      <c r="E1203" s="83"/>
      <c r="F1203" s="83"/>
      <c r="G1203" s="83"/>
      <c r="H1203" s="83"/>
      <c r="I1203" s="16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</row>
    <row r="1204">
      <c r="A1204" s="83"/>
      <c r="B1204" s="83"/>
      <c r="C1204" s="83"/>
      <c r="D1204" s="83"/>
      <c r="E1204" s="83"/>
      <c r="F1204" s="83"/>
      <c r="G1204" s="83"/>
      <c r="H1204" s="83"/>
      <c r="I1204" s="16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</row>
    <row r="1205">
      <c r="A1205" s="83"/>
      <c r="B1205" s="83"/>
      <c r="C1205" s="83"/>
      <c r="D1205" s="83"/>
      <c r="E1205" s="83"/>
      <c r="F1205" s="83"/>
      <c r="G1205" s="83"/>
      <c r="H1205" s="83"/>
      <c r="I1205" s="16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</row>
    <row r="1206">
      <c r="A1206" s="83"/>
      <c r="B1206" s="83"/>
      <c r="C1206" s="83"/>
      <c r="D1206" s="83"/>
      <c r="E1206" s="83"/>
      <c r="F1206" s="83"/>
      <c r="G1206" s="83"/>
      <c r="H1206" s="83"/>
      <c r="I1206" s="16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</row>
    <row r="1207">
      <c r="A1207" s="83"/>
      <c r="B1207" s="83"/>
      <c r="C1207" s="83"/>
      <c r="D1207" s="83"/>
      <c r="E1207" s="83"/>
      <c r="F1207" s="83"/>
      <c r="G1207" s="83"/>
      <c r="H1207" s="83"/>
      <c r="I1207" s="16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</row>
    <row r="1208">
      <c r="A1208" s="83"/>
      <c r="B1208" s="83"/>
      <c r="C1208" s="83"/>
      <c r="D1208" s="83"/>
      <c r="E1208" s="83"/>
      <c r="F1208" s="83"/>
      <c r="G1208" s="83"/>
      <c r="H1208" s="83"/>
      <c r="I1208" s="16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</row>
    <row r="1209">
      <c r="A1209" s="83"/>
      <c r="B1209" s="83"/>
      <c r="C1209" s="83"/>
      <c r="D1209" s="83"/>
      <c r="E1209" s="83"/>
      <c r="F1209" s="83"/>
      <c r="G1209" s="83"/>
      <c r="H1209" s="83"/>
      <c r="I1209" s="16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</row>
    <row r="1210">
      <c r="A1210" s="83"/>
      <c r="B1210" s="83"/>
      <c r="C1210" s="83"/>
      <c r="D1210" s="83"/>
      <c r="E1210" s="83"/>
      <c r="F1210" s="83"/>
      <c r="G1210" s="83"/>
      <c r="H1210" s="83"/>
      <c r="I1210" s="16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</row>
    <row r="1211">
      <c r="A1211" s="83"/>
      <c r="B1211" s="83"/>
      <c r="C1211" s="83"/>
      <c r="D1211" s="83"/>
      <c r="E1211" s="83"/>
      <c r="F1211" s="83"/>
      <c r="G1211" s="83"/>
      <c r="H1211" s="83"/>
      <c r="I1211" s="16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</row>
    <row r="1212">
      <c r="A1212" s="83"/>
      <c r="B1212" s="83"/>
      <c r="C1212" s="83"/>
      <c r="D1212" s="83"/>
      <c r="E1212" s="83"/>
      <c r="F1212" s="83"/>
      <c r="G1212" s="83"/>
      <c r="H1212" s="83"/>
      <c r="I1212" s="16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</row>
    <row r="1213">
      <c r="A1213" s="83"/>
      <c r="B1213" s="83"/>
      <c r="C1213" s="83"/>
      <c r="D1213" s="83"/>
      <c r="E1213" s="83"/>
      <c r="F1213" s="83"/>
      <c r="G1213" s="83"/>
      <c r="H1213" s="83"/>
      <c r="I1213" s="16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</row>
    <row r="1214">
      <c r="A1214" s="83"/>
      <c r="B1214" s="83"/>
      <c r="C1214" s="83"/>
      <c r="D1214" s="83"/>
      <c r="E1214" s="83"/>
      <c r="F1214" s="83"/>
      <c r="G1214" s="83"/>
      <c r="H1214" s="83"/>
      <c r="I1214" s="16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</row>
    <row r="1215">
      <c r="A1215" s="83"/>
      <c r="B1215" s="83"/>
      <c r="C1215" s="83"/>
      <c r="D1215" s="83"/>
      <c r="E1215" s="83"/>
      <c r="F1215" s="83"/>
      <c r="G1215" s="83"/>
      <c r="H1215" s="83"/>
      <c r="I1215" s="16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</row>
    <row r="1216">
      <c r="A1216" s="83"/>
      <c r="B1216" s="83"/>
      <c r="C1216" s="83"/>
      <c r="D1216" s="83"/>
      <c r="E1216" s="83"/>
      <c r="F1216" s="83"/>
      <c r="G1216" s="83"/>
      <c r="H1216" s="83"/>
      <c r="I1216" s="16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</row>
    <row r="1217">
      <c r="A1217" s="83"/>
      <c r="B1217" s="83"/>
      <c r="C1217" s="83"/>
      <c r="D1217" s="83"/>
      <c r="E1217" s="83"/>
      <c r="F1217" s="83"/>
      <c r="G1217" s="83"/>
      <c r="H1217" s="83"/>
      <c r="I1217" s="16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</row>
    <row r="1218">
      <c r="A1218" s="83"/>
      <c r="B1218" s="83"/>
      <c r="C1218" s="83"/>
      <c r="D1218" s="83"/>
      <c r="E1218" s="83"/>
      <c r="F1218" s="83"/>
      <c r="G1218" s="83"/>
      <c r="H1218" s="83"/>
      <c r="I1218" s="16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</row>
    <row r="1219">
      <c r="A1219" s="83"/>
      <c r="B1219" s="83"/>
      <c r="C1219" s="83"/>
      <c r="D1219" s="83"/>
      <c r="E1219" s="83"/>
      <c r="F1219" s="83"/>
      <c r="G1219" s="83"/>
      <c r="H1219" s="83"/>
      <c r="I1219" s="16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</row>
    <row r="1220">
      <c r="A1220" s="83"/>
      <c r="B1220" s="83"/>
      <c r="C1220" s="83"/>
      <c r="D1220" s="83"/>
      <c r="E1220" s="83"/>
      <c r="F1220" s="83"/>
      <c r="G1220" s="83"/>
      <c r="H1220" s="83"/>
      <c r="I1220" s="16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</row>
    <row r="1221">
      <c r="A1221" s="83"/>
      <c r="B1221" s="83"/>
      <c r="C1221" s="83"/>
      <c r="D1221" s="83"/>
      <c r="E1221" s="83"/>
      <c r="F1221" s="83"/>
      <c r="G1221" s="83"/>
      <c r="H1221" s="83"/>
      <c r="I1221" s="16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</row>
    <row r="1222">
      <c r="A1222" s="83"/>
      <c r="B1222" s="83"/>
      <c r="C1222" s="83"/>
      <c r="D1222" s="83"/>
      <c r="E1222" s="83"/>
      <c r="F1222" s="83"/>
      <c r="G1222" s="83"/>
      <c r="H1222" s="83"/>
      <c r="I1222" s="16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</row>
    <row r="1223">
      <c r="A1223" s="83"/>
      <c r="B1223" s="83"/>
      <c r="C1223" s="83"/>
      <c r="D1223" s="83"/>
      <c r="E1223" s="83"/>
      <c r="F1223" s="83"/>
      <c r="G1223" s="83"/>
      <c r="H1223" s="83"/>
      <c r="I1223" s="16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</row>
    <row r="1224">
      <c r="A1224" s="83"/>
      <c r="B1224" s="83"/>
      <c r="C1224" s="83"/>
      <c r="D1224" s="83"/>
      <c r="E1224" s="83"/>
      <c r="F1224" s="83"/>
      <c r="G1224" s="83"/>
      <c r="H1224" s="83"/>
      <c r="I1224" s="16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</row>
    <row r="1225">
      <c r="A1225" s="83"/>
      <c r="B1225" s="83"/>
      <c r="C1225" s="83"/>
      <c r="D1225" s="83"/>
      <c r="E1225" s="83"/>
      <c r="F1225" s="83"/>
      <c r="G1225" s="83"/>
      <c r="H1225" s="83"/>
      <c r="I1225" s="16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</row>
    <row r="1226">
      <c r="A1226" s="83"/>
      <c r="B1226" s="83"/>
      <c r="C1226" s="83"/>
      <c r="D1226" s="83"/>
      <c r="E1226" s="83"/>
      <c r="F1226" s="83"/>
      <c r="G1226" s="83"/>
      <c r="H1226" s="83"/>
      <c r="I1226" s="16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</row>
    <row r="1227">
      <c r="A1227" s="83"/>
      <c r="B1227" s="83"/>
      <c r="C1227" s="83"/>
      <c r="D1227" s="83"/>
      <c r="E1227" s="83"/>
      <c r="F1227" s="83"/>
      <c r="G1227" s="83"/>
      <c r="H1227" s="83"/>
      <c r="I1227" s="16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</row>
    <row r="1228">
      <c r="A1228" s="83"/>
      <c r="B1228" s="83"/>
      <c r="C1228" s="83"/>
      <c r="D1228" s="83"/>
      <c r="E1228" s="83"/>
      <c r="F1228" s="83"/>
      <c r="G1228" s="83"/>
      <c r="H1228" s="83"/>
      <c r="I1228" s="16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</row>
    <row r="1229">
      <c r="A1229" s="83"/>
      <c r="B1229" s="83"/>
      <c r="C1229" s="83"/>
      <c r="D1229" s="83"/>
      <c r="E1229" s="83"/>
      <c r="F1229" s="83"/>
      <c r="G1229" s="83"/>
      <c r="H1229" s="83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</row>
    <row r="1230">
      <c r="A1230" s="83"/>
      <c r="B1230" s="83"/>
      <c r="C1230" s="83"/>
      <c r="D1230" s="83"/>
      <c r="E1230" s="83"/>
      <c r="F1230" s="83"/>
      <c r="G1230" s="83"/>
      <c r="H1230" s="83"/>
      <c r="I1230" s="16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</row>
    <row r="1231">
      <c r="A1231" s="83"/>
      <c r="B1231" s="83"/>
      <c r="C1231" s="83"/>
      <c r="D1231" s="83"/>
      <c r="E1231" s="83"/>
      <c r="F1231" s="83"/>
      <c r="G1231" s="83"/>
      <c r="H1231" s="83"/>
      <c r="I1231" s="16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</row>
    <row r="1232">
      <c r="A1232" s="83"/>
      <c r="B1232" s="83"/>
      <c r="C1232" s="83"/>
      <c r="D1232" s="83"/>
      <c r="E1232" s="83"/>
      <c r="F1232" s="83"/>
      <c r="G1232" s="83"/>
      <c r="H1232" s="83"/>
      <c r="I1232" s="16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</row>
    <row r="1233">
      <c r="A1233" s="83"/>
      <c r="B1233" s="83"/>
      <c r="C1233" s="83"/>
      <c r="D1233" s="83"/>
      <c r="E1233" s="83"/>
      <c r="F1233" s="83"/>
      <c r="G1233" s="83"/>
      <c r="H1233" s="83"/>
      <c r="I1233" s="16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</row>
    <row r="1234">
      <c r="A1234" s="83"/>
      <c r="B1234" s="83"/>
      <c r="C1234" s="83"/>
      <c r="D1234" s="83"/>
      <c r="E1234" s="83"/>
      <c r="F1234" s="83"/>
      <c r="G1234" s="83"/>
      <c r="H1234" s="83"/>
      <c r="I1234" s="16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</row>
    <row r="1235">
      <c r="A1235" s="83"/>
      <c r="B1235" s="83"/>
      <c r="C1235" s="83"/>
      <c r="D1235" s="83"/>
      <c r="E1235" s="83"/>
      <c r="F1235" s="83"/>
      <c r="G1235" s="83"/>
      <c r="H1235" s="83"/>
      <c r="I1235" s="16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</row>
    <row r="1236">
      <c r="A1236" s="83"/>
      <c r="B1236" s="83"/>
      <c r="C1236" s="83"/>
      <c r="D1236" s="83"/>
      <c r="E1236" s="83"/>
      <c r="F1236" s="83"/>
      <c r="G1236" s="83"/>
      <c r="H1236" s="83"/>
      <c r="I1236" s="16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</row>
    <row r="1237">
      <c r="A1237" s="83"/>
      <c r="B1237" s="83"/>
      <c r="C1237" s="83"/>
      <c r="D1237" s="83"/>
      <c r="E1237" s="83"/>
      <c r="F1237" s="83"/>
      <c r="G1237" s="83"/>
      <c r="H1237" s="83"/>
      <c r="I1237" s="16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</row>
    <row r="1238">
      <c r="A1238" s="83"/>
      <c r="B1238" s="83"/>
      <c r="C1238" s="83"/>
      <c r="D1238" s="83"/>
      <c r="E1238" s="83"/>
      <c r="F1238" s="83"/>
      <c r="G1238" s="83"/>
      <c r="H1238" s="83"/>
      <c r="I1238" s="16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</row>
    <row r="1239">
      <c r="A1239" s="83"/>
      <c r="B1239" s="83"/>
      <c r="C1239" s="83"/>
      <c r="D1239" s="83"/>
      <c r="E1239" s="83"/>
      <c r="F1239" s="83"/>
      <c r="G1239" s="83"/>
      <c r="H1239" s="83"/>
      <c r="I1239" s="16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</row>
    <row r="1240">
      <c r="A1240" s="83"/>
      <c r="B1240" s="83"/>
      <c r="C1240" s="83"/>
      <c r="D1240" s="83"/>
      <c r="E1240" s="83"/>
      <c r="F1240" s="83"/>
      <c r="G1240" s="83"/>
      <c r="H1240" s="83"/>
      <c r="I1240" s="16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</row>
    <row r="1241">
      <c r="A1241" s="83"/>
      <c r="B1241" s="83"/>
      <c r="C1241" s="83"/>
      <c r="D1241" s="83"/>
      <c r="E1241" s="83"/>
      <c r="F1241" s="83"/>
      <c r="G1241" s="83"/>
      <c r="H1241" s="83"/>
      <c r="I1241" s="16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</row>
    <row r="1242">
      <c r="A1242" s="83"/>
      <c r="B1242" s="83"/>
      <c r="C1242" s="83"/>
      <c r="D1242" s="83"/>
      <c r="E1242" s="83"/>
      <c r="F1242" s="83"/>
      <c r="G1242" s="83"/>
      <c r="H1242" s="83"/>
      <c r="I1242" s="16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</row>
    <row r="1243">
      <c r="A1243" s="83"/>
      <c r="B1243" s="83"/>
      <c r="C1243" s="83"/>
      <c r="D1243" s="83"/>
      <c r="E1243" s="83"/>
      <c r="F1243" s="83"/>
      <c r="G1243" s="83"/>
      <c r="H1243" s="83"/>
      <c r="I1243" s="16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</row>
    <row r="1244">
      <c r="A1244" s="83"/>
      <c r="B1244" s="83"/>
      <c r="C1244" s="83"/>
      <c r="D1244" s="83"/>
      <c r="E1244" s="83"/>
      <c r="F1244" s="83"/>
      <c r="G1244" s="83"/>
      <c r="H1244" s="83"/>
      <c r="I1244" s="16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</row>
    <row r="1245">
      <c r="A1245" s="83"/>
      <c r="B1245" s="83"/>
      <c r="C1245" s="83"/>
      <c r="D1245" s="83"/>
      <c r="E1245" s="83"/>
      <c r="F1245" s="83"/>
      <c r="G1245" s="83"/>
      <c r="H1245" s="83"/>
      <c r="I1245" s="16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</row>
    <row r="1246">
      <c r="A1246" s="83"/>
      <c r="B1246" s="83"/>
      <c r="C1246" s="83"/>
      <c r="D1246" s="83"/>
      <c r="E1246" s="83"/>
      <c r="F1246" s="83"/>
      <c r="G1246" s="83"/>
      <c r="H1246" s="83"/>
      <c r="I1246" s="16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</row>
    <row r="1247">
      <c r="A1247" s="83"/>
      <c r="B1247" s="83"/>
      <c r="C1247" s="83"/>
      <c r="D1247" s="83"/>
      <c r="E1247" s="83"/>
      <c r="F1247" s="83"/>
      <c r="G1247" s="83"/>
      <c r="H1247" s="83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</row>
    <row r="1248">
      <c r="A1248" s="83"/>
      <c r="B1248" s="83"/>
      <c r="C1248" s="83"/>
      <c r="D1248" s="83"/>
      <c r="E1248" s="83"/>
      <c r="F1248" s="83"/>
      <c r="G1248" s="83"/>
      <c r="H1248" s="83"/>
      <c r="I1248" s="16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</row>
    <row r="1249">
      <c r="A1249" s="83"/>
      <c r="B1249" s="83"/>
      <c r="C1249" s="83"/>
      <c r="D1249" s="83"/>
      <c r="E1249" s="83"/>
      <c r="F1249" s="83"/>
      <c r="G1249" s="83"/>
      <c r="H1249" s="83"/>
      <c r="I1249" s="16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</row>
    <row r="1250">
      <c r="A1250" s="83"/>
      <c r="B1250" s="83"/>
      <c r="C1250" s="83"/>
      <c r="D1250" s="83"/>
      <c r="E1250" s="83"/>
      <c r="F1250" s="83"/>
      <c r="G1250" s="83"/>
      <c r="H1250" s="83"/>
      <c r="I1250" s="16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</row>
    <row r="1251">
      <c r="A1251" s="83"/>
      <c r="B1251" s="83"/>
      <c r="C1251" s="83"/>
      <c r="D1251" s="83"/>
      <c r="E1251" s="83"/>
      <c r="F1251" s="83"/>
      <c r="G1251" s="83"/>
      <c r="H1251" s="83"/>
      <c r="I1251" s="16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</row>
    <row r="1252">
      <c r="A1252" s="83"/>
      <c r="B1252" s="83"/>
      <c r="C1252" s="83"/>
      <c r="D1252" s="83"/>
      <c r="E1252" s="83"/>
      <c r="F1252" s="83"/>
      <c r="G1252" s="83"/>
      <c r="H1252" s="83"/>
      <c r="I1252" s="16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</row>
    <row r="1253">
      <c r="A1253" s="83"/>
      <c r="B1253" s="83"/>
      <c r="C1253" s="83"/>
      <c r="D1253" s="83"/>
      <c r="E1253" s="83"/>
      <c r="F1253" s="83"/>
      <c r="G1253" s="83"/>
      <c r="H1253" s="83"/>
      <c r="I1253" s="16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</row>
    <row r="1254">
      <c r="A1254" s="83"/>
      <c r="B1254" s="83"/>
      <c r="C1254" s="83"/>
      <c r="D1254" s="83"/>
      <c r="E1254" s="83"/>
      <c r="F1254" s="83"/>
      <c r="G1254" s="83"/>
      <c r="H1254" s="83"/>
      <c r="I1254" s="16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</row>
    <row r="1255">
      <c r="A1255" s="83"/>
      <c r="B1255" s="83"/>
      <c r="C1255" s="83"/>
      <c r="D1255" s="83"/>
      <c r="E1255" s="83"/>
      <c r="F1255" s="83"/>
      <c r="G1255" s="83"/>
      <c r="H1255" s="83"/>
      <c r="I1255" s="16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</row>
    <row r="1256">
      <c r="A1256" s="83"/>
      <c r="B1256" s="83"/>
      <c r="C1256" s="83"/>
      <c r="D1256" s="83"/>
      <c r="E1256" s="83"/>
      <c r="F1256" s="83"/>
      <c r="G1256" s="83"/>
      <c r="H1256" s="83"/>
      <c r="I1256" s="16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</row>
    <row r="1257">
      <c r="A1257" s="83"/>
      <c r="B1257" s="83"/>
      <c r="C1257" s="83"/>
      <c r="D1257" s="83"/>
      <c r="E1257" s="83"/>
      <c r="F1257" s="83"/>
      <c r="G1257" s="83"/>
      <c r="H1257" s="83"/>
      <c r="I1257" s="16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</row>
    <row r="1258">
      <c r="A1258" s="83"/>
      <c r="B1258" s="83"/>
      <c r="C1258" s="83"/>
      <c r="D1258" s="83"/>
      <c r="E1258" s="83"/>
      <c r="F1258" s="83"/>
      <c r="G1258" s="83"/>
      <c r="H1258" s="83"/>
      <c r="I1258" s="16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</row>
    <row r="1259">
      <c r="A1259" s="83"/>
      <c r="B1259" s="83"/>
      <c r="C1259" s="83"/>
      <c r="D1259" s="83"/>
      <c r="E1259" s="83"/>
      <c r="F1259" s="83"/>
      <c r="G1259" s="83"/>
      <c r="H1259" s="83"/>
      <c r="I1259" s="16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</row>
    <row r="1260">
      <c r="A1260" s="83"/>
      <c r="B1260" s="83"/>
      <c r="C1260" s="83"/>
      <c r="D1260" s="83"/>
      <c r="E1260" s="83"/>
      <c r="F1260" s="83"/>
      <c r="G1260" s="83"/>
      <c r="H1260" s="83"/>
      <c r="I1260" s="16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</row>
    <row r="1261">
      <c r="A1261" s="83"/>
      <c r="B1261" s="83"/>
      <c r="C1261" s="83"/>
      <c r="D1261" s="83"/>
      <c r="E1261" s="83"/>
      <c r="F1261" s="83"/>
      <c r="G1261" s="83"/>
      <c r="H1261" s="83"/>
      <c r="I1261" s="16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</row>
    <row r="1262">
      <c r="A1262" s="83"/>
      <c r="B1262" s="83"/>
      <c r="C1262" s="83"/>
      <c r="D1262" s="83"/>
      <c r="E1262" s="83"/>
      <c r="F1262" s="83"/>
      <c r="G1262" s="83"/>
      <c r="H1262" s="83"/>
      <c r="I1262" s="16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</row>
    <row r="1263">
      <c r="A1263" s="83"/>
      <c r="B1263" s="83"/>
      <c r="C1263" s="83"/>
      <c r="D1263" s="83"/>
      <c r="E1263" s="83"/>
      <c r="F1263" s="83"/>
      <c r="G1263" s="83"/>
      <c r="H1263" s="83"/>
      <c r="I1263" s="16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</row>
    <row r="1264">
      <c r="A1264" s="83"/>
      <c r="B1264" s="83"/>
      <c r="C1264" s="83"/>
      <c r="D1264" s="83"/>
      <c r="E1264" s="83"/>
      <c r="F1264" s="83"/>
      <c r="G1264" s="83"/>
      <c r="H1264" s="83"/>
      <c r="I1264" s="16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</row>
    <row r="1265">
      <c r="A1265" s="83"/>
      <c r="B1265" s="83"/>
      <c r="C1265" s="83"/>
      <c r="D1265" s="83"/>
      <c r="E1265" s="83"/>
      <c r="F1265" s="83"/>
      <c r="G1265" s="83"/>
      <c r="H1265" s="83"/>
      <c r="I1265" s="16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</row>
    <row r="1266">
      <c r="A1266" s="83"/>
      <c r="B1266" s="83"/>
      <c r="C1266" s="83"/>
      <c r="D1266" s="83"/>
      <c r="E1266" s="83"/>
      <c r="F1266" s="83"/>
      <c r="G1266" s="83"/>
      <c r="H1266" s="83"/>
      <c r="I1266" s="16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</row>
    <row r="1267">
      <c r="A1267" s="83"/>
      <c r="B1267" s="83"/>
      <c r="C1267" s="83"/>
      <c r="D1267" s="83"/>
      <c r="E1267" s="83"/>
      <c r="F1267" s="83"/>
      <c r="G1267" s="83"/>
      <c r="H1267" s="83"/>
      <c r="I1267" s="16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</row>
    <row r="1268">
      <c r="A1268" s="83"/>
      <c r="B1268" s="83"/>
      <c r="C1268" s="83"/>
      <c r="D1268" s="83"/>
      <c r="E1268" s="83"/>
      <c r="F1268" s="83"/>
      <c r="G1268" s="83"/>
      <c r="H1268" s="83"/>
      <c r="I1268" s="16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</row>
    <row r="1269">
      <c r="A1269" s="83"/>
      <c r="B1269" s="83"/>
      <c r="C1269" s="83"/>
      <c r="D1269" s="83"/>
      <c r="E1269" s="83"/>
      <c r="F1269" s="83"/>
      <c r="G1269" s="83"/>
      <c r="H1269" s="83"/>
      <c r="I1269" s="16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</row>
    <row r="1270">
      <c r="A1270" s="83"/>
      <c r="B1270" s="83"/>
      <c r="C1270" s="83"/>
      <c r="D1270" s="83"/>
      <c r="E1270" s="83"/>
      <c r="F1270" s="83"/>
      <c r="G1270" s="83"/>
      <c r="H1270" s="83"/>
      <c r="I1270" s="16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</row>
    <row r="1271">
      <c r="A1271" s="83"/>
      <c r="B1271" s="83"/>
      <c r="C1271" s="83"/>
      <c r="D1271" s="83"/>
      <c r="E1271" s="83"/>
      <c r="F1271" s="83"/>
      <c r="G1271" s="83"/>
      <c r="H1271" s="83"/>
      <c r="I1271" s="16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</row>
    <row r="1272">
      <c r="A1272" s="83"/>
      <c r="B1272" s="83"/>
      <c r="C1272" s="83"/>
      <c r="D1272" s="83"/>
      <c r="E1272" s="83"/>
      <c r="F1272" s="83"/>
      <c r="G1272" s="83"/>
      <c r="H1272" s="83"/>
      <c r="I1272" s="16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</row>
    <row r="1273">
      <c r="A1273" s="83"/>
      <c r="B1273" s="83"/>
      <c r="C1273" s="83"/>
      <c r="D1273" s="83"/>
      <c r="E1273" s="83"/>
      <c r="F1273" s="83"/>
      <c r="G1273" s="83"/>
      <c r="H1273" s="83"/>
      <c r="I1273" s="16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</row>
    <row r="1274">
      <c r="A1274" s="83"/>
      <c r="B1274" s="83"/>
      <c r="C1274" s="83"/>
      <c r="D1274" s="83"/>
      <c r="E1274" s="83"/>
      <c r="F1274" s="83"/>
      <c r="G1274" s="83"/>
      <c r="H1274" s="83"/>
      <c r="I1274" s="16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</row>
    <row r="1275">
      <c r="A1275" s="83"/>
      <c r="B1275" s="83"/>
      <c r="C1275" s="83"/>
      <c r="D1275" s="83"/>
      <c r="E1275" s="83"/>
      <c r="F1275" s="83"/>
      <c r="G1275" s="83"/>
      <c r="H1275" s="83"/>
      <c r="I1275" s="16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</row>
    <row r="1276">
      <c r="A1276" s="83"/>
      <c r="B1276" s="83"/>
      <c r="C1276" s="83"/>
      <c r="D1276" s="83"/>
      <c r="E1276" s="83"/>
      <c r="F1276" s="83"/>
      <c r="G1276" s="83"/>
      <c r="H1276" s="83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</row>
    <row r="1277">
      <c r="A1277" s="83"/>
      <c r="B1277" s="83"/>
      <c r="C1277" s="83"/>
      <c r="D1277" s="83"/>
      <c r="E1277" s="83"/>
      <c r="F1277" s="83"/>
      <c r="G1277" s="83"/>
      <c r="H1277" s="83"/>
      <c r="I1277" s="16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</row>
    <row r="1278">
      <c r="A1278" s="83"/>
      <c r="B1278" s="83"/>
      <c r="C1278" s="83"/>
      <c r="D1278" s="83"/>
      <c r="E1278" s="83"/>
      <c r="F1278" s="83"/>
      <c r="G1278" s="83"/>
      <c r="H1278" s="83"/>
      <c r="I1278" s="16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</row>
    <row r="1279">
      <c r="A1279" s="83"/>
      <c r="B1279" s="83"/>
      <c r="C1279" s="83"/>
      <c r="D1279" s="83"/>
      <c r="E1279" s="83"/>
      <c r="F1279" s="83"/>
      <c r="G1279" s="83"/>
      <c r="H1279" s="83"/>
      <c r="I1279" s="16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</row>
    <row r="1280">
      <c r="A1280" s="83"/>
      <c r="B1280" s="83"/>
      <c r="C1280" s="83"/>
      <c r="D1280" s="83"/>
      <c r="E1280" s="83"/>
      <c r="F1280" s="83"/>
      <c r="G1280" s="83"/>
      <c r="H1280" s="83"/>
      <c r="I1280" s="16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</row>
    <row r="1281">
      <c r="A1281" s="83"/>
      <c r="B1281" s="83"/>
      <c r="C1281" s="83"/>
      <c r="D1281" s="83"/>
      <c r="E1281" s="83"/>
      <c r="F1281" s="83"/>
      <c r="G1281" s="83"/>
      <c r="H1281" s="83"/>
      <c r="I1281" s="16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</row>
    <row r="1282">
      <c r="A1282" s="83"/>
      <c r="B1282" s="83"/>
      <c r="C1282" s="83"/>
      <c r="D1282" s="83"/>
      <c r="E1282" s="83"/>
      <c r="F1282" s="83"/>
      <c r="G1282" s="83"/>
      <c r="H1282" s="83"/>
      <c r="I1282" s="16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</row>
    <row r="1283">
      <c r="A1283" s="83"/>
      <c r="B1283" s="83"/>
      <c r="C1283" s="83"/>
      <c r="D1283" s="83"/>
      <c r="E1283" s="83"/>
      <c r="F1283" s="83"/>
      <c r="G1283" s="83"/>
      <c r="H1283" s="83"/>
      <c r="I1283" s="16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</row>
    <row r="1284">
      <c r="A1284" s="83"/>
      <c r="B1284" s="83"/>
      <c r="C1284" s="83"/>
      <c r="D1284" s="83"/>
      <c r="E1284" s="83"/>
      <c r="F1284" s="83"/>
      <c r="G1284" s="83"/>
      <c r="H1284" s="83"/>
      <c r="I1284" s="16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</row>
    <row r="1285">
      <c r="A1285" s="83"/>
      <c r="B1285" s="83"/>
      <c r="C1285" s="83"/>
      <c r="D1285" s="83"/>
      <c r="E1285" s="83"/>
      <c r="F1285" s="83"/>
      <c r="G1285" s="83"/>
      <c r="H1285" s="83"/>
      <c r="I1285" s="16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</row>
    <row r="1286">
      <c r="A1286" s="83"/>
      <c r="B1286" s="83"/>
      <c r="C1286" s="83"/>
      <c r="D1286" s="83"/>
      <c r="E1286" s="83"/>
      <c r="F1286" s="83"/>
      <c r="G1286" s="83"/>
      <c r="H1286" s="83"/>
      <c r="I1286" s="16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</row>
    <row r="1287">
      <c r="A1287" s="83"/>
      <c r="B1287" s="83"/>
      <c r="C1287" s="83"/>
      <c r="D1287" s="83"/>
      <c r="E1287" s="83"/>
      <c r="F1287" s="83"/>
      <c r="G1287" s="83"/>
      <c r="H1287" s="83"/>
      <c r="I1287" s="16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</row>
    <row r="1288">
      <c r="A1288" s="83"/>
      <c r="B1288" s="83"/>
      <c r="C1288" s="83"/>
      <c r="D1288" s="83"/>
      <c r="E1288" s="83"/>
      <c r="F1288" s="83"/>
      <c r="G1288" s="83"/>
      <c r="H1288" s="83"/>
      <c r="I1288" s="16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</row>
    <row r="1289">
      <c r="A1289" s="83"/>
      <c r="B1289" s="83"/>
      <c r="C1289" s="83"/>
      <c r="D1289" s="83"/>
      <c r="E1289" s="83"/>
      <c r="F1289" s="83"/>
      <c r="G1289" s="83"/>
      <c r="H1289" s="83"/>
      <c r="I1289" s="16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</row>
    <row r="1290">
      <c r="A1290" s="83"/>
      <c r="B1290" s="83"/>
      <c r="C1290" s="83"/>
      <c r="D1290" s="83"/>
      <c r="E1290" s="83"/>
      <c r="F1290" s="83"/>
      <c r="G1290" s="83"/>
      <c r="H1290" s="83"/>
      <c r="I1290" s="16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</row>
    <row r="1291">
      <c r="A1291" s="83"/>
      <c r="B1291" s="83"/>
      <c r="C1291" s="83"/>
      <c r="D1291" s="83"/>
      <c r="E1291" s="83"/>
      <c r="F1291" s="83"/>
      <c r="G1291" s="83"/>
      <c r="H1291" s="83"/>
      <c r="I1291" s="16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</row>
    <row r="1292">
      <c r="A1292" s="83"/>
      <c r="B1292" s="83"/>
      <c r="C1292" s="83"/>
      <c r="D1292" s="83"/>
      <c r="E1292" s="83"/>
      <c r="F1292" s="83"/>
      <c r="G1292" s="83"/>
      <c r="H1292" s="83"/>
      <c r="I1292" s="16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</row>
    <row r="1293">
      <c r="A1293" s="83"/>
      <c r="B1293" s="83"/>
      <c r="C1293" s="83"/>
      <c r="D1293" s="83"/>
      <c r="E1293" s="83"/>
      <c r="F1293" s="83"/>
      <c r="G1293" s="83"/>
      <c r="H1293" s="83"/>
      <c r="I1293" s="16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</row>
    <row r="1294">
      <c r="A1294" s="83"/>
      <c r="B1294" s="83"/>
      <c r="C1294" s="83"/>
      <c r="D1294" s="83"/>
      <c r="E1294" s="83"/>
      <c r="F1294" s="83"/>
      <c r="G1294" s="83"/>
      <c r="H1294" s="83"/>
      <c r="I1294" s="16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</row>
    <row r="1295">
      <c r="A1295" s="83"/>
      <c r="B1295" s="83"/>
      <c r="C1295" s="83"/>
      <c r="D1295" s="83"/>
      <c r="E1295" s="83"/>
      <c r="F1295" s="83"/>
      <c r="G1295" s="83"/>
      <c r="H1295" s="83"/>
      <c r="I1295" s="16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</row>
    <row r="1296">
      <c r="A1296" s="83"/>
      <c r="B1296" s="83"/>
      <c r="C1296" s="83"/>
      <c r="D1296" s="83"/>
      <c r="E1296" s="83"/>
      <c r="F1296" s="83"/>
      <c r="G1296" s="83"/>
      <c r="H1296" s="83"/>
      <c r="I1296" s="16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</row>
    <row r="1297">
      <c r="A1297" s="83"/>
      <c r="B1297" s="83"/>
      <c r="C1297" s="83"/>
      <c r="D1297" s="83"/>
      <c r="E1297" s="83"/>
      <c r="F1297" s="83"/>
      <c r="G1297" s="83"/>
      <c r="H1297" s="83"/>
      <c r="I1297" s="16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</row>
    <row r="1298">
      <c r="A1298" s="83"/>
      <c r="B1298" s="83"/>
      <c r="C1298" s="83"/>
      <c r="D1298" s="83"/>
      <c r="E1298" s="83"/>
      <c r="F1298" s="83"/>
      <c r="G1298" s="83"/>
      <c r="H1298" s="83"/>
      <c r="I1298" s="16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</row>
    <row r="1299">
      <c r="A1299" s="83"/>
      <c r="B1299" s="83"/>
      <c r="C1299" s="83"/>
      <c r="D1299" s="83"/>
      <c r="E1299" s="83"/>
      <c r="F1299" s="83"/>
      <c r="G1299" s="83"/>
      <c r="H1299" s="83"/>
      <c r="I1299" s="16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</row>
    <row r="1300">
      <c r="A1300" s="83"/>
      <c r="B1300" s="83"/>
      <c r="C1300" s="83"/>
      <c r="D1300" s="83"/>
      <c r="E1300" s="83"/>
      <c r="F1300" s="83"/>
      <c r="G1300" s="83"/>
      <c r="H1300" s="83"/>
      <c r="I1300" s="16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</row>
    <row r="1301">
      <c r="A1301" s="83"/>
      <c r="B1301" s="83"/>
      <c r="C1301" s="83"/>
      <c r="D1301" s="83"/>
      <c r="E1301" s="83"/>
      <c r="F1301" s="83"/>
      <c r="G1301" s="83"/>
      <c r="H1301" s="83"/>
      <c r="I1301" s="16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</row>
    <row r="1302">
      <c r="A1302" s="83"/>
      <c r="B1302" s="83"/>
      <c r="C1302" s="83"/>
      <c r="D1302" s="83"/>
      <c r="E1302" s="83"/>
      <c r="F1302" s="83"/>
      <c r="G1302" s="83"/>
      <c r="H1302" s="83"/>
      <c r="I1302" s="16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</row>
    <row r="1303">
      <c r="A1303" s="83"/>
      <c r="B1303" s="83"/>
      <c r="C1303" s="83"/>
      <c r="D1303" s="83"/>
      <c r="E1303" s="83"/>
      <c r="F1303" s="83"/>
      <c r="G1303" s="83"/>
      <c r="H1303" s="83"/>
      <c r="I1303" s="16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</row>
    <row r="1304">
      <c r="A1304" s="83"/>
      <c r="B1304" s="83"/>
      <c r="C1304" s="83"/>
      <c r="D1304" s="83"/>
      <c r="E1304" s="83"/>
      <c r="F1304" s="83"/>
      <c r="G1304" s="83"/>
      <c r="H1304" s="83"/>
      <c r="I1304" s="16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</row>
    <row r="1305">
      <c r="A1305" s="83"/>
      <c r="B1305" s="83"/>
      <c r="C1305" s="83"/>
      <c r="D1305" s="83"/>
      <c r="E1305" s="83"/>
      <c r="F1305" s="83"/>
      <c r="G1305" s="83"/>
      <c r="H1305" s="83"/>
      <c r="I1305" s="16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</row>
    <row r="1306">
      <c r="A1306" s="83"/>
      <c r="B1306" s="83"/>
      <c r="C1306" s="83"/>
      <c r="D1306" s="83"/>
      <c r="E1306" s="83"/>
      <c r="F1306" s="83"/>
      <c r="G1306" s="83"/>
      <c r="H1306" s="83"/>
      <c r="I1306" s="16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</row>
    <row r="1307">
      <c r="A1307" s="83"/>
      <c r="B1307" s="83"/>
      <c r="C1307" s="83"/>
      <c r="D1307" s="83"/>
      <c r="E1307" s="83"/>
      <c r="F1307" s="83"/>
      <c r="G1307" s="83"/>
      <c r="H1307" s="83"/>
      <c r="I1307" s="16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</row>
    <row r="1308">
      <c r="A1308" s="83"/>
      <c r="B1308" s="83"/>
      <c r="C1308" s="83"/>
      <c r="D1308" s="83"/>
      <c r="E1308" s="83"/>
      <c r="F1308" s="83"/>
      <c r="G1308" s="83"/>
      <c r="H1308" s="83"/>
      <c r="I1308" s="16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</row>
    <row r="1309">
      <c r="A1309" s="83"/>
      <c r="B1309" s="83"/>
      <c r="C1309" s="83"/>
      <c r="D1309" s="83"/>
      <c r="E1309" s="83"/>
      <c r="F1309" s="83"/>
      <c r="G1309" s="83"/>
      <c r="H1309" s="83"/>
      <c r="I1309" s="16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</row>
    <row r="1310">
      <c r="A1310" s="83"/>
      <c r="B1310" s="83"/>
      <c r="C1310" s="83"/>
      <c r="D1310" s="83"/>
      <c r="E1310" s="83"/>
      <c r="F1310" s="83"/>
      <c r="G1310" s="83"/>
      <c r="H1310" s="83"/>
      <c r="I1310" s="16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</row>
    <row r="1311">
      <c r="A1311" s="83"/>
      <c r="B1311" s="83"/>
      <c r="C1311" s="83"/>
      <c r="D1311" s="83"/>
      <c r="E1311" s="83"/>
      <c r="F1311" s="83"/>
      <c r="G1311" s="83"/>
      <c r="H1311" s="83"/>
      <c r="I1311" s="16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</row>
    <row r="1312">
      <c r="A1312" s="83"/>
      <c r="B1312" s="83"/>
      <c r="C1312" s="83"/>
      <c r="D1312" s="83"/>
      <c r="E1312" s="83"/>
      <c r="F1312" s="83"/>
      <c r="G1312" s="83"/>
      <c r="H1312" s="83"/>
      <c r="I1312" s="16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</row>
    <row r="1313">
      <c r="A1313" s="83"/>
      <c r="B1313" s="83"/>
      <c r="C1313" s="83"/>
      <c r="D1313" s="83"/>
      <c r="E1313" s="83"/>
      <c r="F1313" s="83"/>
      <c r="G1313" s="83"/>
      <c r="H1313" s="83"/>
      <c r="I1313" s="16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</row>
    <row r="1314">
      <c r="A1314" s="83"/>
      <c r="B1314" s="83"/>
      <c r="C1314" s="83"/>
      <c r="D1314" s="83"/>
      <c r="E1314" s="83"/>
      <c r="F1314" s="83"/>
      <c r="G1314" s="83"/>
      <c r="H1314" s="83"/>
      <c r="I1314" s="16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</row>
    <row r="1315">
      <c r="A1315" s="83"/>
      <c r="B1315" s="83"/>
      <c r="C1315" s="83"/>
      <c r="D1315" s="83"/>
      <c r="E1315" s="83"/>
      <c r="F1315" s="83"/>
      <c r="G1315" s="83"/>
      <c r="H1315" s="83"/>
      <c r="I1315" s="16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</row>
    <row r="1316">
      <c r="A1316" s="83"/>
      <c r="B1316" s="83"/>
      <c r="C1316" s="83"/>
      <c r="D1316" s="83"/>
      <c r="E1316" s="83"/>
      <c r="F1316" s="83"/>
      <c r="G1316" s="83"/>
      <c r="H1316" s="83"/>
      <c r="I1316" s="16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</row>
    <row r="1317">
      <c r="A1317" s="83"/>
      <c r="B1317" s="83"/>
      <c r="C1317" s="83"/>
      <c r="D1317" s="83"/>
      <c r="E1317" s="83"/>
      <c r="F1317" s="83"/>
      <c r="G1317" s="83"/>
      <c r="H1317" s="83"/>
      <c r="I1317" s="16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</row>
    <row r="1318">
      <c r="A1318" s="83"/>
      <c r="B1318" s="83"/>
      <c r="C1318" s="83"/>
      <c r="D1318" s="83"/>
      <c r="E1318" s="83"/>
      <c r="F1318" s="83"/>
      <c r="G1318" s="83"/>
      <c r="H1318" s="83"/>
      <c r="I1318" s="16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</row>
    <row r="1319">
      <c r="A1319" s="83"/>
      <c r="B1319" s="83"/>
      <c r="C1319" s="83"/>
      <c r="D1319" s="83"/>
      <c r="E1319" s="83"/>
      <c r="F1319" s="83"/>
      <c r="G1319" s="83"/>
      <c r="H1319" s="83"/>
      <c r="I1319" s="16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</row>
    <row r="1320">
      <c r="A1320" s="83"/>
      <c r="B1320" s="83"/>
      <c r="C1320" s="83"/>
      <c r="D1320" s="83"/>
      <c r="E1320" s="83"/>
      <c r="F1320" s="83"/>
      <c r="G1320" s="83"/>
      <c r="H1320" s="83"/>
      <c r="I1320" s="16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</row>
    <row r="1321">
      <c r="A1321" s="83"/>
      <c r="B1321" s="83"/>
      <c r="C1321" s="83"/>
      <c r="D1321" s="83"/>
      <c r="E1321" s="83"/>
      <c r="F1321" s="83"/>
      <c r="G1321" s="83"/>
      <c r="H1321" s="83"/>
      <c r="I1321" s="16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</row>
    <row r="1322">
      <c r="A1322" s="83"/>
      <c r="B1322" s="83"/>
      <c r="C1322" s="83"/>
      <c r="D1322" s="83"/>
      <c r="E1322" s="83"/>
      <c r="F1322" s="83"/>
      <c r="G1322" s="83"/>
      <c r="H1322" s="83"/>
      <c r="I1322" s="16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</row>
    <row r="1323">
      <c r="A1323" s="83"/>
      <c r="B1323" s="83"/>
      <c r="C1323" s="83"/>
      <c r="D1323" s="83"/>
      <c r="E1323" s="83"/>
      <c r="F1323" s="83"/>
      <c r="G1323" s="83"/>
      <c r="H1323" s="83"/>
      <c r="I1323" s="16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</row>
    <row r="1324">
      <c r="A1324" s="83"/>
      <c r="B1324" s="83"/>
      <c r="C1324" s="83"/>
      <c r="D1324" s="83"/>
      <c r="E1324" s="83"/>
      <c r="F1324" s="83"/>
      <c r="G1324" s="83"/>
      <c r="H1324" s="83"/>
      <c r="I1324" s="16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</row>
    <row r="1325">
      <c r="A1325" s="83"/>
      <c r="B1325" s="83"/>
      <c r="C1325" s="83"/>
      <c r="D1325" s="83"/>
      <c r="E1325" s="83"/>
      <c r="F1325" s="83"/>
      <c r="G1325" s="83"/>
      <c r="H1325" s="83"/>
      <c r="I1325" s="16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</row>
    <row r="1326">
      <c r="A1326" s="83"/>
      <c r="B1326" s="83"/>
      <c r="C1326" s="83"/>
      <c r="D1326" s="83"/>
      <c r="E1326" s="83"/>
      <c r="F1326" s="83"/>
      <c r="G1326" s="83"/>
      <c r="H1326" s="83"/>
      <c r="I1326" s="16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</row>
    <row r="1327">
      <c r="A1327" s="83"/>
      <c r="B1327" s="83"/>
      <c r="C1327" s="83"/>
      <c r="D1327" s="83"/>
      <c r="E1327" s="83"/>
      <c r="F1327" s="83"/>
      <c r="G1327" s="83"/>
      <c r="H1327" s="83"/>
      <c r="I1327" s="16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</row>
    <row r="1328">
      <c r="A1328" s="83"/>
      <c r="B1328" s="83"/>
      <c r="C1328" s="83"/>
      <c r="D1328" s="83"/>
      <c r="E1328" s="83"/>
      <c r="F1328" s="83"/>
      <c r="G1328" s="83"/>
      <c r="H1328" s="83"/>
      <c r="I1328" s="16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</row>
    <row r="1329">
      <c r="A1329" s="83"/>
      <c r="B1329" s="83"/>
      <c r="C1329" s="83"/>
      <c r="D1329" s="83"/>
      <c r="E1329" s="83"/>
      <c r="F1329" s="83"/>
      <c r="G1329" s="83"/>
      <c r="H1329" s="83"/>
      <c r="I1329" s="16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</row>
    <row r="1330">
      <c r="A1330" s="83"/>
      <c r="B1330" s="83"/>
      <c r="C1330" s="83"/>
      <c r="D1330" s="83"/>
      <c r="E1330" s="83"/>
      <c r="F1330" s="83"/>
      <c r="G1330" s="83"/>
      <c r="H1330" s="83"/>
      <c r="I1330" s="16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</row>
    <row r="1331">
      <c r="A1331" s="83"/>
      <c r="B1331" s="83"/>
      <c r="C1331" s="83"/>
      <c r="D1331" s="83"/>
      <c r="E1331" s="83"/>
      <c r="F1331" s="83"/>
      <c r="G1331" s="83"/>
      <c r="H1331" s="83"/>
      <c r="I1331" s="16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</row>
    <row r="1332">
      <c r="A1332" s="83"/>
      <c r="B1332" s="83"/>
      <c r="C1332" s="83"/>
      <c r="D1332" s="83"/>
      <c r="E1332" s="83"/>
      <c r="F1332" s="83"/>
      <c r="G1332" s="83"/>
      <c r="H1332" s="83"/>
      <c r="I1332" s="16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</row>
    <row r="1333">
      <c r="A1333" s="83"/>
      <c r="B1333" s="83"/>
      <c r="C1333" s="83"/>
      <c r="D1333" s="83"/>
      <c r="E1333" s="83"/>
      <c r="F1333" s="83"/>
      <c r="G1333" s="83"/>
      <c r="H1333" s="83"/>
      <c r="I1333" s="16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</row>
    <row r="1334">
      <c r="A1334" s="83"/>
      <c r="B1334" s="83"/>
      <c r="C1334" s="83"/>
      <c r="D1334" s="83"/>
      <c r="E1334" s="83"/>
      <c r="F1334" s="83"/>
      <c r="G1334" s="83"/>
      <c r="H1334" s="83"/>
      <c r="I1334" s="16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</row>
    <row r="1335">
      <c r="A1335" s="83"/>
      <c r="B1335" s="83"/>
      <c r="C1335" s="83"/>
      <c r="D1335" s="83"/>
      <c r="E1335" s="83"/>
      <c r="F1335" s="83"/>
      <c r="G1335" s="83"/>
      <c r="H1335" s="83"/>
      <c r="I1335" s="16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</row>
    <row r="1336">
      <c r="A1336" s="83"/>
      <c r="B1336" s="83"/>
      <c r="C1336" s="83"/>
      <c r="D1336" s="83"/>
      <c r="E1336" s="83"/>
      <c r="F1336" s="83"/>
      <c r="G1336" s="83"/>
      <c r="H1336" s="83"/>
      <c r="I1336" s="16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</row>
    <row r="1337">
      <c r="A1337" s="83"/>
      <c r="B1337" s="83"/>
      <c r="C1337" s="83"/>
      <c r="D1337" s="83"/>
      <c r="E1337" s="83"/>
      <c r="F1337" s="83"/>
      <c r="G1337" s="83"/>
      <c r="H1337" s="83"/>
      <c r="I1337" s="16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</row>
    <row r="1338">
      <c r="A1338" s="83"/>
      <c r="B1338" s="83"/>
      <c r="C1338" s="83"/>
      <c r="D1338" s="83"/>
      <c r="E1338" s="83"/>
      <c r="F1338" s="83"/>
      <c r="G1338" s="83"/>
      <c r="H1338" s="83"/>
      <c r="I1338" s="16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</row>
    <row r="1339">
      <c r="A1339" s="83"/>
      <c r="B1339" s="83"/>
      <c r="C1339" s="83"/>
      <c r="D1339" s="83"/>
      <c r="E1339" s="83"/>
      <c r="F1339" s="83"/>
      <c r="G1339" s="83"/>
      <c r="H1339" s="83"/>
      <c r="I1339" s="16"/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</row>
    <row r="1340">
      <c r="A1340" s="83"/>
      <c r="B1340" s="83"/>
      <c r="C1340" s="83"/>
      <c r="D1340" s="83"/>
      <c r="E1340" s="83"/>
      <c r="F1340" s="83"/>
      <c r="G1340" s="83"/>
      <c r="H1340" s="83"/>
      <c r="I1340" s="16"/>
      <c r="J1340" s="16"/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</row>
    <row r="1341">
      <c r="A1341" s="83"/>
      <c r="B1341" s="83"/>
      <c r="C1341" s="83"/>
      <c r="D1341" s="83"/>
      <c r="E1341" s="83"/>
      <c r="F1341" s="83"/>
      <c r="G1341" s="83"/>
      <c r="H1341" s="83"/>
      <c r="I1341" s="16"/>
      <c r="J1341" s="16"/>
      <c r="K1341" s="16"/>
      <c r="L1341" s="16"/>
      <c r="M1341" s="16"/>
      <c r="N1341" s="16"/>
      <c r="O1341" s="16"/>
      <c r="P1341" s="16"/>
      <c r="Q1341" s="16"/>
      <c r="R1341" s="16"/>
      <c r="S1341" s="16"/>
      <c r="T1341" s="16"/>
      <c r="U1341" s="16"/>
    </row>
    <row r="1342">
      <c r="A1342" s="83"/>
      <c r="B1342" s="83"/>
      <c r="C1342" s="83"/>
      <c r="D1342" s="83"/>
      <c r="E1342" s="83"/>
      <c r="F1342" s="83"/>
      <c r="G1342" s="83"/>
      <c r="H1342" s="83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</row>
    <row r="1343">
      <c r="A1343" s="83"/>
      <c r="B1343" s="83"/>
      <c r="C1343" s="83"/>
      <c r="D1343" s="83"/>
      <c r="E1343" s="83"/>
      <c r="F1343" s="83"/>
      <c r="G1343" s="83"/>
      <c r="H1343" s="83"/>
      <c r="I1343" s="16"/>
      <c r="J1343" s="16"/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</row>
    <row r="1344">
      <c r="A1344" s="83"/>
      <c r="B1344" s="83"/>
      <c r="C1344" s="83"/>
      <c r="D1344" s="83"/>
      <c r="E1344" s="83"/>
      <c r="F1344" s="83"/>
      <c r="G1344" s="83"/>
      <c r="H1344" s="83"/>
      <c r="I1344" s="16"/>
      <c r="J1344" s="16"/>
      <c r="K1344" s="16"/>
      <c r="L1344" s="16"/>
      <c r="M1344" s="16"/>
      <c r="N1344" s="16"/>
      <c r="O1344" s="16"/>
      <c r="P1344" s="16"/>
      <c r="Q1344" s="16"/>
      <c r="R1344" s="16"/>
      <c r="S1344" s="16"/>
      <c r="T1344" s="16"/>
      <c r="U1344" s="16"/>
    </row>
    <row r="1345">
      <c r="A1345" s="83"/>
      <c r="B1345" s="83"/>
      <c r="C1345" s="83"/>
      <c r="D1345" s="83"/>
      <c r="E1345" s="83"/>
      <c r="F1345" s="83"/>
      <c r="G1345" s="83"/>
      <c r="H1345" s="83"/>
      <c r="I1345" s="16"/>
      <c r="J1345" s="16"/>
      <c r="K1345" s="16"/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</row>
    <row r="1346">
      <c r="A1346" s="83"/>
      <c r="B1346" s="83"/>
      <c r="C1346" s="83"/>
      <c r="D1346" s="83"/>
      <c r="E1346" s="83"/>
      <c r="F1346" s="83"/>
      <c r="G1346" s="83"/>
      <c r="H1346" s="83"/>
      <c r="I1346" s="16"/>
      <c r="J1346" s="16"/>
      <c r="K1346" s="16"/>
      <c r="L1346" s="16"/>
      <c r="M1346" s="16"/>
      <c r="N1346" s="16"/>
      <c r="O1346" s="16"/>
      <c r="P1346" s="16"/>
      <c r="Q1346" s="16"/>
      <c r="R1346" s="16"/>
      <c r="S1346" s="16"/>
      <c r="T1346" s="16"/>
      <c r="U1346" s="16"/>
    </row>
    <row r="1347">
      <c r="A1347" s="83"/>
      <c r="B1347" s="83"/>
      <c r="C1347" s="83"/>
      <c r="D1347" s="83"/>
      <c r="E1347" s="83"/>
      <c r="F1347" s="83"/>
      <c r="G1347" s="83"/>
      <c r="H1347" s="83"/>
      <c r="I1347" s="16"/>
      <c r="J1347" s="16"/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</row>
    <row r="1348">
      <c r="A1348" s="83"/>
      <c r="B1348" s="83"/>
      <c r="C1348" s="83"/>
      <c r="D1348" s="83"/>
      <c r="E1348" s="83"/>
      <c r="F1348" s="83"/>
      <c r="G1348" s="83"/>
      <c r="H1348" s="83"/>
      <c r="I1348" s="16"/>
      <c r="J1348" s="16"/>
      <c r="K1348" s="16"/>
      <c r="L1348" s="16"/>
      <c r="M1348" s="16"/>
      <c r="N1348" s="16"/>
      <c r="O1348" s="16"/>
      <c r="P1348" s="16"/>
      <c r="Q1348" s="16"/>
      <c r="R1348" s="16"/>
      <c r="S1348" s="16"/>
      <c r="T1348" s="16"/>
      <c r="U1348" s="16"/>
    </row>
    <row r="1349">
      <c r="A1349" s="83"/>
      <c r="B1349" s="83"/>
      <c r="C1349" s="83"/>
      <c r="D1349" s="83"/>
      <c r="E1349" s="83"/>
      <c r="F1349" s="83"/>
      <c r="G1349" s="83"/>
      <c r="H1349" s="83"/>
      <c r="I1349" s="16"/>
      <c r="J1349" s="16"/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</row>
    <row r="1350">
      <c r="A1350" s="83"/>
      <c r="B1350" s="83"/>
      <c r="C1350" s="83"/>
      <c r="D1350" s="83"/>
      <c r="E1350" s="83"/>
      <c r="F1350" s="83"/>
      <c r="G1350" s="83"/>
      <c r="H1350" s="83"/>
      <c r="I1350" s="16"/>
      <c r="J1350" s="16"/>
      <c r="K1350" s="16"/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</row>
    <row r="1351">
      <c r="A1351" s="83"/>
      <c r="B1351" s="83"/>
      <c r="C1351" s="83"/>
      <c r="D1351" s="83"/>
      <c r="E1351" s="83"/>
      <c r="F1351" s="83"/>
      <c r="G1351" s="83"/>
      <c r="H1351" s="83"/>
      <c r="I1351" s="16"/>
      <c r="J1351" s="16"/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</row>
    <row r="1352">
      <c r="A1352" s="83"/>
      <c r="B1352" s="83"/>
      <c r="C1352" s="83"/>
      <c r="D1352" s="83"/>
      <c r="E1352" s="83"/>
      <c r="F1352" s="83"/>
      <c r="G1352" s="83"/>
      <c r="H1352" s="83"/>
      <c r="I1352" s="16"/>
      <c r="J1352" s="16"/>
      <c r="K1352" s="16"/>
      <c r="L1352" s="16"/>
      <c r="M1352" s="16"/>
      <c r="N1352" s="16"/>
      <c r="O1352" s="16"/>
      <c r="P1352" s="16"/>
      <c r="Q1352" s="16"/>
      <c r="R1352" s="16"/>
      <c r="S1352" s="16"/>
      <c r="T1352" s="16"/>
      <c r="U1352" s="16"/>
    </row>
    <row r="1353">
      <c r="A1353" s="83"/>
      <c r="B1353" s="83"/>
      <c r="C1353" s="83"/>
      <c r="D1353" s="83"/>
      <c r="E1353" s="83"/>
      <c r="F1353" s="83"/>
      <c r="G1353" s="83"/>
      <c r="H1353" s="83"/>
      <c r="I1353" s="16"/>
      <c r="J1353" s="16"/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</row>
    <row r="1354">
      <c r="A1354" s="83"/>
      <c r="B1354" s="83"/>
      <c r="C1354" s="83"/>
      <c r="D1354" s="83"/>
      <c r="E1354" s="83"/>
      <c r="F1354" s="83"/>
      <c r="G1354" s="83"/>
      <c r="H1354" s="83"/>
      <c r="I1354" s="16"/>
      <c r="J1354" s="16"/>
      <c r="K1354" s="16"/>
      <c r="L1354" s="16"/>
      <c r="M1354" s="16"/>
      <c r="N1354" s="16"/>
      <c r="O1354" s="16"/>
      <c r="P1354" s="16"/>
      <c r="Q1354" s="16"/>
      <c r="R1354" s="16"/>
      <c r="S1354" s="16"/>
      <c r="T1354" s="16"/>
      <c r="U1354" s="16"/>
    </row>
    <row r="1355">
      <c r="A1355" s="83"/>
      <c r="B1355" s="83"/>
      <c r="C1355" s="83"/>
      <c r="D1355" s="83"/>
      <c r="E1355" s="83"/>
      <c r="F1355" s="83"/>
      <c r="G1355" s="83"/>
      <c r="H1355" s="83"/>
      <c r="I1355" s="16"/>
      <c r="J1355" s="16"/>
      <c r="K1355" s="16"/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</row>
    <row r="1356">
      <c r="A1356" s="83"/>
      <c r="B1356" s="83"/>
      <c r="C1356" s="83"/>
      <c r="D1356" s="83"/>
      <c r="E1356" s="83"/>
      <c r="F1356" s="83"/>
      <c r="G1356" s="83"/>
      <c r="H1356" s="83"/>
      <c r="I1356" s="16"/>
      <c r="J1356" s="16"/>
      <c r="K1356" s="16"/>
      <c r="L1356" s="16"/>
      <c r="M1356" s="16"/>
      <c r="N1356" s="16"/>
      <c r="O1356" s="16"/>
      <c r="P1356" s="16"/>
      <c r="Q1356" s="16"/>
      <c r="R1356" s="16"/>
      <c r="S1356" s="16"/>
      <c r="T1356" s="16"/>
      <c r="U1356" s="16"/>
    </row>
    <row r="1357">
      <c r="A1357" s="83"/>
      <c r="B1357" s="83"/>
      <c r="C1357" s="83"/>
      <c r="D1357" s="83"/>
      <c r="E1357" s="83"/>
      <c r="F1357" s="83"/>
      <c r="G1357" s="83"/>
      <c r="H1357" s="83"/>
      <c r="I1357" s="16"/>
      <c r="J1357" s="16"/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</row>
    <row r="1358">
      <c r="A1358" s="83"/>
      <c r="B1358" s="83"/>
      <c r="C1358" s="83"/>
      <c r="D1358" s="83"/>
      <c r="E1358" s="83"/>
      <c r="F1358" s="83"/>
      <c r="G1358" s="83"/>
      <c r="H1358" s="83"/>
      <c r="I1358" s="16"/>
      <c r="J1358" s="16"/>
      <c r="K1358" s="16"/>
      <c r="L1358" s="16"/>
      <c r="M1358" s="16"/>
      <c r="N1358" s="16"/>
      <c r="O1358" s="16"/>
      <c r="P1358" s="16"/>
      <c r="Q1358" s="16"/>
      <c r="R1358" s="16"/>
      <c r="S1358" s="16"/>
      <c r="T1358" s="16"/>
      <c r="U1358" s="16"/>
    </row>
    <row r="1359">
      <c r="A1359" s="83"/>
      <c r="B1359" s="83"/>
      <c r="C1359" s="83"/>
      <c r="D1359" s="83"/>
      <c r="E1359" s="83"/>
      <c r="F1359" s="83"/>
      <c r="G1359" s="83"/>
      <c r="H1359" s="83"/>
      <c r="I1359" s="16"/>
      <c r="J1359" s="16"/>
      <c r="K1359" s="16"/>
      <c r="L1359" s="16"/>
      <c r="M1359" s="16"/>
      <c r="N1359" s="16"/>
      <c r="O1359" s="16"/>
      <c r="P1359" s="16"/>
      <c r="Q1359" s="16"/>
      <c r="R1359" s="16"/>
      <c r="S1359" s="16"/>
      <c r="T1359" s="16"/>
      <c r="U1359" s="16"/>
    </row>
    <row r="1360">
      <c r="A1360" s="83"/>
      <c r="B1360" s="83"/>
      <c r="C1360" s="83"/>
      <c r="D1360" s="83"/>
      <c r="E1360" s="83"/>
      <c r="F1360" s="83"/>
      <c r="G1360" s="83"/>
      <c r="H1360" s="83"/>
      <c r="I1360" s="16"/>
      <c r="J1360" s="16"/>
      <c r="K1360" s="16"/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</row>
    <row r="1361">
      <c r="A1361" s="83"/>
      <c r="B1361" s="83"/>
      <c r="C1361" s="83"/>
      <c r="D1361" s="83"/>
      <c r="E1361" s="83"/>
      <c r="F1361" s="83"/>
      <c r="G1361" s="83"/>
      <c r="H1361" s="83"/>
      <c r="I1361" s="16"/>
      <c r="J1361" s="16"/>
      <c r="K1361" s="16"/>
      <c r="L1361" s="16"/>
      <c r="M1361" s="16"/>
      <c r="N1361" s="16"/>
      <c r="O1361" s="16"/>
      <c r="P1361" s="16"/>
      <c r="Q1361" s="16"/>
      <c r="R1361" s="16"/>
      <c r="S1361" s="16"/>
      <c r="T1361" s="16"/>
      <c r="U1361" s="16"/>
    </row>
    <row r="1362">
      <c r="A1362" s="83"/>
      <c r="B1362" s="83"/>
      <c r="C1362" s="83"/>
      <c r="D1362" s="83"/>
      <c r="E1362" s="83"/>
      <c r="F1362" s="83"/>
      <c r="G1362" s="83"/>
      <c r="H1362" s="83"/>
      <c r="I1362" s="16"/>
      <c r="J1362" s="16"/>
      <c r="K1362" s="16"/>
      <c r="L1362" s="16"/>
      <c r="M1362" s="16"/>
      <c r="N1362" s="16"/>
      <c r="O1362" s="16"/>
      <c r="P1362" s="16"/>
      <c r="Q1362" s="16"/>
      <c r="R1362" s="16"/>
      <c r="S1362" s="16"/>
      <c r="T1362" s="16"/>
      <c r="U1362" s="16"/>
    </row>
    <row r="1363">
      <c r="A1363" s="83"/>
      <c r="B1363" s="83"/>
      <c r="C1363" s="83"/>
      <c r="D1363" s="83"/>
      <c r="E1363" s="83"/>
      <c r="F1363" s="83"/>
      <c r="G1363" s="83"/>
      <c r="H1363" s="83"/>
      <c r="I1363" s="16"/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16"/>
      <c r="U1363" s="16"/>
    </row>
    <row r="1364">
      <c r="A1364" s="83"/>
      <c r="B1364" s="83"/>
      <c r="C1364" s="83"/>
      <c r="D1364" s="83"/>
      <c r="E1364" s="83"/>
      <c r="F1364" s="83"/>
      <c r="G1364" s="83"/>
      <c r="H1364" s="83"/>
      <c r="I1364" s="16"/>
      <c r="J1364" s="16"/>
      <c r="K1364" s="16"/>
      <c r="L1364" s="16"/>
      <c r="M1364" s="16"/>
      <c r="N1364" s="16"/>
      <c r="O1364" s="16"/>
      <c r="P1364" s="16"/>
      <c r="Q1364" s="16"/>
      <c r="R1364" s="16"/>
      <c r="S1364" s="16"/>
      <c r="T1364" s="16"/>
      <c r="U1364" s="16"/>
    </row>
    <row r="1365">
      <c r="A1365" s="83"/>
      <c r="B1365" s="83"/>
      <c r="C1365" s="83"/>
      <c r="D1365" s="83"/>
      <c r="E1365" s="83"/>
      <c r="F1365" s="83"/>
      <c r="G1365" s="83"/>
      <c r="H1365" s="83"/>
      <c r="I1365" s="16"/>
      <c r="J1365" s="16"/>
      <c r="K1365" s="16"/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</row>
    <row r="1366">
      <c r="A1366" s="83"/>
      <c r="B1366" s="83"/>
      <c r="C1366" s="83"/>
      <c r="D1366" s="83"/>
      <c r="E1366" s="83"/>
      <c r="F1366" s="83"/>
      <c r="G1366" s="83"/>
      <c r="H1366" s="83"/>
      <c r="I1366" s="16"/>
      <c r="J1366" s="16"/>
      <c r="K1366" s="16"/>
      <c r="L1366" s="16"/>
      <c r="M1366" s="16"/>
      <c r="N1366" s="16"/>
      <c r="O1366" s="16"/>
      <c r="P1366" s="16"/>
      <c r="Q1366" s="16"/>
      <c r="R1366" s="16"/>
      <c r="S1366" s="16"/>
      <c r="T1366" s="16"/>
      <c r="U1366" s="16"/>
    </row>
    <row r="1367">
      <c r="A1367" s="83"/>
      <c r="B1367" s="83"/>
      <c r="C1367" s="83"/>
      <c r="D1367" s="83"/>
      <c r="E1367" s="83"/>
      <c r="F1367" s="83"/>
      <c r="G1367" s="83"/>
      <c r="H1367" s="83"/>
      <c r="I1367" s="16"/>
      <c r="J1367" s="16"/>
      <c r="K1367" s="16"/>
      <c r="L1367" s="16"/>
      <c r="M1367" s="16"/>
      <c r="N1367" s="16"/>
      <c r="O1367" s="16"/>
      <c r="P1367" s="16"/>
      <c r="Q1367" s="16"/>
      <c r="R1367" s="16"/>
      <c r="S1367" s="16"/>
      <c r="T1367" s="16"/>
      <c r="U1367" s="16"/>
    </row>
    <row r="1368">
      <c r="A1368" s="83"/>
      <c r="B1368" s="83"/>
      <c r="C1368" s="83"/>
      <c r="D1368" s="83"/>
      <c r="E1368" s="83"/>
      <c r="F1368" s="83"/>
      <c r="G1368" s="83"/>
      <c r="H1368" s="83"/>
      <c r="I1368" s="16"/>
      <c r="J1368" s="16"/>
      <c r="K1368" s="16"/>
      <c r="L1368" s="16"/>
      <c r="M1368" s="16"/>
      <c r="N1368" s="16"/>
      <c r="O1368" s="16"/>
      <c r="P1368" s="16"/>
      <c r="Q1368" s="16"/>
      <c r="R1368" s="16"/>
      <c r="S1368" s="16"/>
      <c r="T1368" s="16"/>
      <c r="U1368" s="16"/>
    </row>
    <row r="1369">
      <c r="A1369" s="83"/>
      <c r="B1369" s="83"/>
      <c r="C1369" s="83"/>
      <c r="D1369" s="83"/>
      <c r="E1369" s="83"/>
      <c r="F1369" s="83"/>
      <c r="G1369" s="83"/>
      <c r="H1369" s="83"/>
      <c r="I1369" s="16"/>
      <c r="J1369" s="16"/>
      <c r="K1369" s="16"/>
      <c r="L1369" s="16"/>
      <c r="M1369" s="16"/>
      <c r="N1369" s="16"/>
      <c r="O1369" s="16"/>
      <c r="P1369" s="16"/>
      <c r="Q1369" s="16"/>
      <c r="R1369" s="16"/>
      <c r="S1369" s="16"/>
      <c r="T1369" s="16"/>
      <c r="U1369" s="16"/>
    </row>
    <row r="1370">
      <c r="A1370" s="83"/>
      <c r="B1370" s="83"/>
      <c r="C1370" s="83"/>
      <c r="D1370" s="83"/>
      <c r="E1370" s="83"/>
      <c r="F1370" s="83"/>
      <c r="G1370" s="83"/>
      <c r="H1370" s="83"/>
      <c r="I1370" s="16"/>
      <c r="J1370" s="16"/>
      <c r="K1370" s="16"/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</row>
    <row r="1371">
      <c r="A1371" s="83"/>
      <c r="B1371" s="83"/>
      <c r="C1371" s="83"/>
      <c r="D1371" s="83"/>
      <c r="E1371" s="83"/>
      <c r="F1371" s="83"/>
      <c r="G1371" s="83"/>
      <c r="H1371" s="83"/>
      <c r="I1371" s="16"/>
      <c r="J1371" s="16"/>
      <c r="K1371" s="16"/>
      <c r="L1371" s="16"/>
      <c r="M1371" s="16"/>
      <c r="N1371" s="16"/>
      <c r="O1371" s="16"/>
      <c r="P1371" s="16"/>
      <c r="Q1371" s="16"/>
      <c r="R1371" s="16"/>
      <c r="S1371" s="16"/>
      <c r="T1371" s="16"/>
      <c r="U1371" s="16"/>
    </row>
    <row r="1372">
      <c r="A1372" s="83"/>
      <c r="B1372" s="83"/>
      <c r="C1372" s="83"/>
      <c r="D1372" s="83"/>
      <c r="E1372" s="83"/>
      <c r="F1372" s="83"/>
      <c r="G1372" s="83"/>
      <c r="H1372" s="83"/>
      <c r="I1372" s="16"/>
      <c r="J1372" s="16"/>
      <c r="K1372" s="16"/>
      <c r="L1372" s="16"/>
      <c r="M1372" s="16"/>
      <c r="N1372" s="16"/>
      <c r="O1372" s="16"/>
      <c r="P1372" s="16"/>
      <c r="Q1372" s="16"/>
      <c r="R1372" s="16"/>
      <c r="S1372" s="16"/>
      <c r="T1372" s="16"/>
      <c r="U1372" s="16"/>
    </row>
    <row r="1373">
      <c r="A1373" s="83"/>
      <c r="B1373" s="83"/>
      <c r="C1373" s="83"/>
      <c r="D1373" s="83"/>
      <c r="E1373" s="83"/>
      <c r="F1373" s="83"/>
      <c r="G1373" s="83"/>
      <c r="H1373" s="83"/>
      <c r="I1373" s="16"/>
      <c r="J1373" s="16"/>
      <c r="K1373" s="16"/>
      <c r="L1373" s="16"/>
      <c r="M1373" s="16"/>
      <c r="N1373" s="16"/>
      <c r="O1373" s="16"/>
      <c r="P1373" s="16"/>
      <c r="Q1373" s="16"/>
      <c r="R1373" s="16"/>
      <c r="S1373" s="16"/>
      <c r="T1373" s="16"/>
      <c r="U1373" s="16"/>
    </row>
    <row r="1374">
      <c r="A1374" s="83"/>
      <c r="B1374" s="83"/>
      <c r="C1374" s="83"/>
      <c r="D1374" s="83"/>
      <c r="E1374" s="83"/>
      <c r="F1374" s="83"/>
      <c r="G1374" s="83"/>
      <c r="H1374" s="83"/>
      <c r="I1374" s="16"/>
      <c r="J1374" s="16"/>
      <c r="K1374" s="16"/>
      <c r="L1374" s="16"/>
      <c r="M1374" s="16"/>
      <c r="N1374" s="16"/>
      <c r="O1374" s="16"/>
      <c r="P1374" s="16"/>
      <c r="Q1374" s="16"/>
      <c r="R1374" s="16"/>
      <c r="S1374" s="16"/>
      <c r="T1374" s="16"/>
      <c r="U1374" s="16"/>
    </row>
    <row r="1375">
      <c r="A1375" s="83"/>
      <c r="B1375" s="83"/>
      <c r="C1375" s="83"/>
      <c r="D1375" s="83"/>
      <c r="E1375" s="83"/>
      <c r="F1375" s="83"/>
      <c r="G1375" s="83"/>
      <c r="H1375" s="83"/>
      <c r="I1375" s="16"/>
      <c r="J1375" s="16"/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</row>
    <row r="1376">
      <c r="A1376" s="83"/>
      <c r="B1376" s="83"/>
      <c r="C1376" s="83"/>
      <c r="D1376" s="83"/>
      <c r="E1376" s="83"/>
      <c r="F1376" s="83"/>
      <c r="G1376" s="83"/>
      <c r="H1376" s="83"/>
      <c r="I1376" s="16"/>
      <c r="J1376" s="16"/>
      <c r="K1376" s="16"/>
      <c r="L1376" s="16"/>
      <c r="M1376" s="16"/>
      <c r="N1376" s="16"/>
      <c r="O1376" s="16"/>
      <c r="P1376" s="16"/>
      <c r="Q1376" s="16"/>
      <c r="R1376" s="16"/>
      <c r="S1376" s="16"/>
      <c r="T1376" s="16"/>
      <c r="U1376" s="16"/>
    </row>
    <row r="1377">
      <c r="A1377" s="83"/>
      <c r="B1377" s="83"/>
      <c r="C1377" s="83"/>
      <c r="D1377" s="83"/>
      <c r="E1377" s="83"/>
      <c r="F1377" s="83"/>
      <c r="G1377" s="83"/>
      <c r="H1377" s="83"/>
      <c r="I1377" s="16"/>
      <c r="J1377" s="16"/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</row>
    <row r="1378">
      <c r="A1378" s="83"/>
      <c r="B1378" s="83"/>
      <c r="C1378" s="83"/>
      <c r="D1378" s="83"/>
      <c r="E1378" s="83"/>
      <c r="F1378" s="83"/>
      <c r="G1378" s="83"/>
      <c r="H1378" s="83"/>
      <c r="I1378" s="16"/>
      <c r="J1378" s="16"/>
      <c r="K1378" s="16"/>
      <c r="L1378" s="16"/>
      <c r="M1378" s="16"/>
      <c r="N1378" s="16"/>
      <c r="O1378" s="16"/>
      <c r="P1378" s="16"/>
      <c r="Q1378" s="16"/>
      <c r="R1378" s="16"/>
      <c r="S1378" s="16"/>
      <c r="T1378" s="16"/>
      <c r="U1378" s="16"/>
    </row>
    <row r="1379">
      <c r="A1379" s="83"/>
      <c r="B1379" s="83"/>
      <c r="C1379" s="83"/>
      <c r="D1379" s="83"/>
      <c r="E1379" s="83"/>
      <c r="F1379" s="83"/>
      <c r="G1379" s="83"/>
      <c r="H1379" s="83"/>
      <c r="I1379" s="16"/>
      <c r="J1379" s="16"/>
      <c r="K1379" s="16"/>
      <c r="L1379" s="16"/>
      <c r="M1379" s="16"/>
      <c r="N1379" s="16"/>
      <c r="O1379" s="16"/>
      <c r="P1379" s="16"/>
      <c r="Q1379" s="16"/>
      <c r="R1379" s="16"/>
      <c r="S1379" s="16"/>
      <c r="T1379" s="16"/>
      <c r="U1379" s="16"/>
    </row>
    <row r="1380">
      <c r="A1380" s="83"/>
      <c r="B1380" s="83"/>
      <c r="C1380" s="83"/>
      <c r="D1380" s="83"/>
      <c r="E1380" s="83"/>
      <c r="F1380" s="83"/>
      <c r="G1380" s="83"/>
      <c r="H1380" s="83"/>
      <c r="I1380" s="16"/>
      <c r="J1380" s="16"/>
      <c r="K1380" s="16"/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</row>
    <row r="1381">
      <c r="A1381" s="83"/>
      <c r="B1381" s="83"/>
      <c r="C1381" s="83"/>
      <c r="D1381" s="83"/>
      <c r="E1381" s="83"/>
      <c r="F1381" s="83"/>
      <c r="G1381" s="83"/>
      <c r="H1381" s="83"/>
      <c r="I1381" s="16"/>
      <c r="J1381" s="16"/>
      <c r="K1381" s="16"/>
      <c r="L1381" s="16"/>
      <c r="M1381" s="16"/>
      <c r="N1381" s="16"/>
      <c r="O1381" s="16"/>
      <c r="P1381" s="16"/>
      <c r="Q1381" s="16"/>
      <c r="R1381" s="16"/>
      <c r="S1381" s="16"/>
      <c r="T1381" s="16"/>
      <c r="U1381" s="16"/>
    </row>
    <row r="1382">
      <c r="A1382" s="83"/>
      <c r="B1382" s="83"/>
      <c r="C1382" s="83"/>
      <c r="D1382" s="83"/>
      <c r="E1382" s="83"/>
      <c r="F1382" s="83"/>
      <c r="G1382" s="83"/>
      <c r="H1382" s="83"/>
      <c r="I1382" s="16"/>
      <c r="J1382" s="16"/>
      <c r="K1382" s="16"/>
      <c r="L1382" s="16"/>
      <c r="M1382" s="16"/>
      <c r="N1382" s="16"/>
      <c r="O1382" s="16"/>
      <c r="P1382" s="16"/>
      <c r="Q1382" s="16"/>
      <c r="R1382" s="16"/>
      <c r="S1382" s="16"/>
      <c r="T1382" s="16"/>
      <c r="U1382" s="16"/>
    </row>
    <row r="1383">
      <c r="A1383" s="83"/>
      <c r="B1383" s="83"/>
      <c r="C1383" s="83"/>
      <c r="D1383" s="83"/>
      <c r="E1383" s="83"/>
      <c r="F1383" s="83"/>
      <c r="G1383" s="83"/>
      <c r="H1383" s="83"/>
      <c r="I1383" s="16"/>
      <c r="J1383" s="16"/>
      <c r="K1383" s="16"/>
      <c r="L1383" s="16"/>
      <c r="M1383" s="16"/>
      <c r="N1383" s="16"/>
      <c r="O1383" s="16"/>
      <c r="P1383" s="16"/>
      <c r="Q1383" s="16"/>
      <c r="R1383" s="16"/>
      <c r="S1383" s="16"/>
      <c r="T1383" s="16"/>
      <c r="U1383" s="16"/>
    </row>
    <row r="1384">
      <c r="A1384" s="83"/>
      <c r="B1384" s="83"/>
      <c r="C1384" s="83"/>
      <c r="D1384" s="83"/>
      <c r="E1384" s="83"/>
      <c r="F1384" s="83"/>
      <c r="G1384" s="83"/>
      <c r="H1384" s="83"/>
      <c r="I1384" s="16"/>
      <c r="J1384" s="16"/>
      <c r="K1384" s="16"/>
      <c r="L1384" s="16"/>
      <c r="M1384" s="16"/>
      <c r="N1384" s="16"/>
      <c r="O1384" s="16"/>
      <c r="P1384" s="16"/>
      <c r="Q1384" s="16"/>
      <c r="R1384" s="16"/>
      <c r="S1384" s="16"/>
      <c r="T1384" s="16"/>
      <c r="U1384" s="16"/>
    </row>
    <row r="1385">
      <c r="A1385" s="83"/>
      <c r="B1385" s="83"/>
      <c r="C1385" s="83"/>
      <c r="D1385" s="83"/>
      <c r="E1385" s="83"/>
      <c r="F1385" s="83"/>
      <c r="G1385" s="83"/>
      <c r="H1385" s="83"/>
      <c r="I1385" s="16"/>
      <c r="J1385" s="16"/>
      <c r="K1385" s="16"/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</row>
    <row r="1386">
      <c r="A1386" s="83"/>
      <c r="B1386" s="83"/>
      <c r="C1386" s="83"/>
      <c r="D1386" s="83"/>
      <c r="E1386" s="83"/>
      <c r="F1386" s="83"/>
      <c r="G1386" s="83"/>
      <c r="H1386" s="83"/>
      <c r="I1386" s="16"/>
      <c r="J1386" s="16"/>
      <c r="K1386" s="16"/>
      <c r="L1386" s="16"/>
      <c r="M1386" s="16"/>
      <c r="N1386" s="16"/>
      <c r="O1386" s="16"/>
      <c r="P1386" s="16"/>
      <c r="Q1386" s="16"/>
      <c r="R1386" s="16"/>
      <c r="S1386" s="16"/>
      <c r="T1386" s="16"/>
      <c r="U1386" s="16"/>
    </row>
    <row r="1387">
      <c r="A1387" s="83"/>
      <c r="B1387" s="83"/>
      <c r="C1387" s="83"/>
      <c r="D1387" s="83"/>
      <c r="E1387" s="83"/>
      <c r="F1387" s="83"/>
      <c r="G1387" s="83"/>
      <c r="H1387" s="83"/>
      <c r="I1387" s="16"/>
      <c r="J1387" s="16"/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</row>
    <row r="1388">
      <c r="A1388" s="83"/>
      <c r="B1388" s="83"/>
      <c r="C1388" s="83"/>
      <c r="D1388" s="83"/>
      <c r="E1388" s="83"/>
      <c r="F1388" s="83"/>
      <c r="G1388" s="83"/>
      <c r="H1388" s="83"/>
      <c r="I1388" s="16"/>
      <c r="J1388" s="16"/>
      <c r="K1388" s="16"/>
      <c r="L1388" s="16"/>
      <c r="M1388" s="16"/>
      <c r="N1388" s="16"/>
      <c r="O1388" s="16"/>
      <c r="P1388" s="16"/>
      <c r="Q1388" s="16"/>
      <c r="R1388" s="16"/>
      <c r="S1388" s="16"/>
      <c r="T1388" s="16"/>
      <c r="U1388" s="16"/>
    </row>
    <row r="1389">
      <c r="A1389" s="83"/>
      <c r="B1389" s="83"/>
      <c r="C1389" s="83"/>
      <c r="D1389" s="83"/>
      <c r="E1389" s="83"/>
      <c r="F1389" s="83"/>
      <c r="G1389" s="83"/>
      <c r="H1389" s="83"/>
      <c r="I1389" s="16"/>
      <c r="J1389" s="16"/>
      <c r="K1389" s="16"/>
      <c r="L1389" s="16"/>
      <c r="M1389" s="16"/>
      <c r="N1389" s="16"/>
      <c r="O1389" s="16"/>
      <c r="P1389" s="16"/>
      <c r="Q1389" s="16"/>
      <c r="R1389" s="16"/>
      <c r="S1389" s="16"/>
      <c r="T1389" s="16"/>
      <c r="U1389" s="16"/>
    </row>
    <row r="1390">
      <c r="A1390" s="83"/>
      <c r="B1390" s="83"/>
      <c r="C1390" s="83"/>
      <c r="D1390" s="83"/>
      <c r="E1390" s="83"/>
      <c r="F1390" s="83"/>
      <c r="G1390" s="83"/>
      <c r="H1390" s="83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</row>
    <row r="1391">
      <c r="A1391" s="83"/>
      <c r="B1391" s="83"/>
      <c r="C1391" s="83"/>
      <c r="D1391" s="83"/>
      <c r="E1391" s="83"/>
      <c r="F1391" s="83"/>
      <c r="G1391" s="83"/>
      <c r="H1391" s="83"/>
      <c r="I1391" s="16"/>
      <c r="J1391" s="16"/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</row>
    <row r="1392">
      <c r="A1392" s="83"/>
      <c r="B1392" s="83"/>
      <c r="C1392" s="83"/>
      <c r="D1392" s="83"/>
      <c r="E1392" s="83"/>
      <c r="F1392" s="83"/>
      <c r="G1392" s="83"/>
      <c r="H1392" s="83"/>
      <c r="I1392" s="16"/>
      <c r="J1392" s="16"/>
      <c r="K1392" s="16"/>
      <c r="L1392" s="16"/>
      <c r="M1392" s="16"/>
      <c r="N1392" s="16"/>
      <c r="O1392" s="16"/>
      <c r="P1392" s="16"/>
      <c r="Q1392" s="16"/>
      <c r="R1392" s="16"/>
      <c r="S1392" s="16"/>
      <c r="T1392" s="16"/>
      <c r="U1392" s="16"/>
    </row>
    <row r="1393">
      <c r="A1393" s="83"/>
      <c r="B1393" s="83"/>
      <c r="C1393" s="83"/>
      <c r="D1393" s="83"/>
      <c r="E1393" s="83"/>
      <c r="F1393" s="83"/>
      <c r="G1393" s="83"/>
      <c r="H1393" s="83"/>
      <c r="I1393" s="16"/>
      <c r="J1393" s="16"/>
      <c r="K1393" s="16"/>
      <c r="L1393" s="16"/>
      <c r="M1393" s="16"/>
      <c r="N1393" s="16"/>
      <c r="O1393" s="16"/>
      <c r="P1393" s="16"/>
      <c r="Q1393" s="16"/>
      <c r="R1393" s="16"/>
      <c r="S1393" s="16"/>
      <c r="T1393" s="16"/>
      <c r="U1393" s="16"/>
    </row>
    <row r="1394">
      <c r="A1394" s="83"/>
      <c r="B1394" s="83"/>
      <c r="C1394" s="83"/>
      <c r="D1394" s="83"/>
      <c r="E1394" s="83"/>
      <c r="F1394" s="83"/>
      <c r="G1394" s="83"/>
      <c r="H1394" s="83"/>
      <c r="I1394" s="16"/>
      <c r="J1394" s="16"/>
      <c r="K1394" s="16"/>
      <c r="L1394" s="16"/>
      <c r="M1394" s="16"/>
      <c r="N1394" s="16"/>
      <c r="O1394" s="16"/>
      <c r="P1394" s="16"/>
      <c r="Q1394" s="16"/>
      <c r="R1394" s="16"/>
      <c r="S1394" s="16"/>
      <c r="T1394" s="16"/>
      <c r="U1394" s="16"/>
    </row>
    <row r="1395">
      <c r="A1395" s="83"/>
      <c r="B1395" s="83"/>
      <c r="C1395" s="83"/>
      <c r="D1395" s="83"/>
      <c r="E1395" s="83"/>
      <c r="F1395" s="83"/>
      <c r="G1395" s="83"/>
      <c r="H1395" s="83"/>
      <c r="I1395" s="16"/>
      <c r="J1395" s="16"/>
      <c r="K1395" s="16"/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</row>
    <row r="1396">
      <c r="A1396" s="83"/>
      <c r="B1396" s="83"/>
      <c r="C1396" s="83"/>
      <c r="D1396" s="83"/>
      <c r="E1396" s="83"/>
      <c r="F1396" s="83"/>
      <c r="G1396" s="83"/>
      <c r="H1396" s="83"/>
      <c r="I1396" s="16"/>
      <c r="J1396" s="16"/>
      <c r="K1396" s="16"/>
      <c r="L1396" s="16"/>
      <c r="M1396" s="16"/>
      <c r="N1396" s="16"/>
      <c r="O1396" s="16"/>
      <c r="P1396" s="16"/>
      <c r="Q1396" s="16"/>
      <c r="R1396" s="16"/>
      <c r="S1396" s="16"/>
      <c r="T1396" s="16"/>
      <c r="U1396" s="16"/>
    </row>
    <row r="1397">
      <c r="A1397" s="83"/>
      <c r="B1397" s="83"/>
      <c r="C1397" s="83"/>
      <c r="D1397" s="83"/>
      <c r="E1397" s="83"/>
      <c r="F1397" s="83"/>
      <c r="G1397" s="83"/>
      <c r="H1397" s="83"/>
      <c r="I1397" s="16"/>
      <c r="J1397" s="16"/>
      <c r="K1397" s="16"/>
      <c r="L1397" s="16"/>
      <c r="M1397" s="16"/>
      <c r="N1397" s="16"/>
      <c r="O1397" s="16"/>
      <c r="P1397" s="16"/>
      <c r="Q1397" s="16"/>
      <c r="R1397" s="16"/>
      <c r="S1397" s="16"/>
      <c r="T1397" s="16"/>
      <c r="U1397" s="16"/>
    </row>
    <row r="1398">
      <c r="A1398" s="83"/>
      <c r="B1398" s="83"/>
      <c r="C1398" s="83"/>
      <c r="D1398" s="83"/>
      <c r="E1398" s="83"/>
      <c r="F1398" s="83"/>
      <c r="G1398" s="83"/>
      <c r="H1398" s="83"/>
      <c r="I1398" s="16"/>
      <c r="J1398" s="16"/>
      <c r="K1398" s="16"/>
      <c r="L1398" s="16"/>
      <c r="M1398" s="16"/>
      <c r="N1398" s="16"/>
      <c r="O1398" s="16"/>
      <c r="P1398" s="16"/>
      <c r="Q1398" s="16"/>
      <c r="R1398" s="16"/>
      <c r="S1398" s="16"/>
      <c r="T1398" s="16"/>
      <c r="U1398" s="16"/>
    </row>
    <row r="1399">
      <c r="A1399" s="83"/>
      <c r="B1399" s="83"/>
      <c r="C1399" s="83"/>
      <c r="D1399" s="83"/>
      <c r="E1399" s="83"/>
      <c r="F1399" s="83"/>
      <c r="G1399" s="83"/>
      <c r="H1399" s="83"/>
      <c r="I1399" s="16"/>
      <c r="J1399" s="16"/>
      <c r="K1399" s="16"/>
      <c r="L1399" s="16"/>
      <c r="M1399" s="16"/>
      <c r="N1399" s="16"/>
      <c r="O1399" s="16"/>
      <c r="P1399" s="16"/>
      <c r="Q1399" s="16"/>
      <c r="R1399" s="16"/>
      <c r="S1399" s="16"/>
      <c r="T1399" s="16"/>
      <c r="U1399" s="16"/>
    </row>
    <row r="1400">
      <c r="A1400" s="83"/>
      <c r="B1400" s="83"/>
      <c r="C1400" s="83"/>
      <c r="D1400" s="83"/>
      <c r="E1400" s="83"/>
      <c r="F1400" s="83"/>
      <c r="G1400" s="83"/>
      <c r="H1400" s="83"/>
      <c r="I1400" s="16"/>
      <c r="J1400" s="16"/>
      <c r="K1400" s="16"/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</row>
    <row r="1401">
      <c r="A1401" s="83"/>
      <c r="B1401" s="83"/>
      <c r="C1401" s="83"/>
      <c r="D1401" s="83"/>
      <c r="E1401" s="83"/>
      <c r="F1401" s="83"/>
      <c r="G1401" s="83"/>
      <c r="H1401" s="83"/>
      <c r="I1401" s="16"/>
      <c r="J1401" s="16"/>
      <c r="K1401" s="16"/>
      <c r="L1401" s="16"/>
      <c r="M1401" s="16"/>
      <c r="N1401" s="16"/>
      <c r="O1401" s="16"/>
      <c r="P1401" s="16"/>
      <c r="Q1401" s="16"/>
      <c r="R1401" s="16"/>
      <c r="S1401" s="16"/>
      <c r="T1401" s="16"/>
      <c r="U1401" s="16"/>
    </row>
    <row r="1402">
      <c r="A1402" s="83"/>
      <c r="B1402" s="83"/>
      <c r="C1402" s="83"/>
      <c r="D1402" s="83"/>
      <c r="E1402" s="83"/>
      <c r="F1402" s="83"/>
      <c r="G1402" s="83"/>
      <c r="H1402" s="83"/>
      <c r="I1402" s="16"/>
      <c r="J1402" s="16"/>
      <c r="K1402" s="16"/>
      <c r="L1402" s="16"/>
      <c r="M1402" s="16"/>
      <c r="N1402" s="16"/>
      <c r="O1402" s="16"/>
      <c r="P1402" s="16"/>
      <c r="Q1402" s="16"/>
      <c r="R1402" s="16"/>
      <c r="S1402" s="16"/>
      <c r="T1402" s="16"/>
      <c r="U1402" s="16"/>
    </row>
    <row r="1403">
      <c r="A1403" s="83"/>
      <c r="B1403" s="83"/>
      <c r="C1403" s="83"/>
      <c r="D1403" s="83"/>
      <c r="E1403" s="83"/>
      <c r="F1403" s="83"/>
      <c r="G1403" s="83"/>
      <c r="H1403" s="83"/>
      <c r="I1403" s="16"/>
      <c r="J1403" s="16"/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</row>
    <row r="1404">
      <c r="A1404" s="83"/>
      <c r="B1404" s="83"/>
      <c r="C1404" s="83"/>
      <c r="D1404" s="83"/>
      <c r="E1404" s="83"/>
      <c r="F1404" s="83"/>
      <c r="G1404" s="83"/>
      <c r="H1404" s="83"/>
      <c r="I1404" s="16"/>
      <c r="J1404" s="16"/>
      <c r="K1404" s="16"/>
      <c r="L1404" s="16"/>
      <c r="M1404" s="16"/>
      <c r="N1404" s="16"/>
      <c r="O1404" s="16"/>
      <c r="P1404" s="16"/>
      <c r="Q1404" s="16"/>
      <c r="R1404" s="16"/>
      <c r="S1404" s="16"/>
      <c r="T1404" s="16"/>
      <c r="U1404" s="16"/>
    </row>
    <row r="1405">
      <c r="A1405" s="83"/>
      <c r="B1405" s="83"/>
      <c r="C1405" s="83"/>
      <c r="D1405" s="83"/>
      <c r="E1405" s="83"/>
      <c r="F1405" s="83"/>
      <c r="G1405" s="83"/>
      <c r="H1405" s="83"/>
      <c r="I1405" s="16"/>
      <c r="J1405" s="16"/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</row>
    <row r="1406">
      <c r="A1406" s="83"/>
      <c r="B1406" s="83"/>
      <c r="C1406" s="83"/>
      <c r="D1406" s="83"/>
      <c r="E1406" s="83"/>
      <c r="F1406" s="83"/>
      <c r="G1406" s="83"/>
      <c r="H1406" s="83"/>
      <c r="I1406" s="16"/>
      <c r="J1406" s="16"/>
      <c r="K1406" s="16"/>
      <c r="L1406" s="16"/>
      <c r="M1406" s="16"/>
      <c r="N1406" s="16"/>
      <c r="O1406" s="16"/>
      <c r="P1406" s="16"/>
      <c r="Q1406" s="16"/>
      <c r="R1406" s="16"/>
      <c r="S1406" s="16"/>
      <c r="T1406" s="16"/>
      <c r="U1406" s="16"/>
    </row>
    <row r="1407">
      <c r="A1407" s="83"/>
      <c r="B1407" s="83"/>
      <c r="C1407" s="83"/>
      <c r="D1407" s="83"/>
      <c r="E1407" s="83"/>
      <c r="F1407" s="83"/>
      <c r="G1407" s="83"/>
      <c r="H1407" s="83"/>
      <c r="I1407" s="16"/>
      <c r="J1407" s="16"/>
      <c r="K1407" s="16"/>
      <c r="L1407" s="16"/>
      <c r="M1407" s="16"/>
      <c r="N1407" s="16"/>
      <c r="O1407" s="16"/>
      <c r="P1407" s="16"/>
      <c r="Q1407" s="16"/>
      <c r="R1407" s="16"/>
      <c r="S1407" s="16"/>
      <c r="T1407" s="16"/>
      <c r="U1407" s="16"/>
    </row>
    <row r="1408">
      <c r="A1408" s="83"/>
      <c r="B1408" s="83"/>
      <c r="C1408" s="83"/>
      <c r="D1408" s="83"/>
      <c r="E1408" s="83"/>
      <c r="F1408" s="83"/>
      <c r="G1408" s="83"/>
      <c r="H1408" s="83"/>
      <c r="I1408" s="16"/>
      <c r="J1408" s="16"/>
      <c r="K1408" s="16"/>
      <c r="L1408" s="16"/>
      <c r="M1408" s="16"/>
      <c r="N1408" s="16"/>
      <c r="O1408" s="16"/>
      <c r="P1408" s="16"/>
      <c r="Q1408" s="16"/>
      <c r="R1408" s="16"/>
      <c r="S1408" s="16"/>
      <c r="T1408" s="16"/>
      <c r="U1408" s="16"/>
    </row>
    <row r="1409">
      <c r="A1409" s="83"/>
      <c r="B1409" s="83"/>
      <c r="C1409" s="83"/>
      <c r="D1409" s="83"/>
      <c r="E1409" s="83"/>
      <c r="F1409" s="83"/>
      <c r="G1409" s="83"/>
      <c r="H1409" s="83"/>
      <c r="I1409" s="16"/>
      <c r="J1409" s="16"/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</row>
    <row r="1410">
      <c r="A1410" s="83"/>
      <c r="B1410" s="83"/>
      <c r="C1410" s="83"/>
      <c r="D1410" s="83"/>
      <c r="E1410" s="83"/>
      <c r="F1410" s="83"/>
      <c r="G1410" s="83"/>
      <c r="H1410" s="83"/>
      <c r="I1410" s="16"/>
      <c r="J1410" s="16"/>
      <c r="K1410" s="16"/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</row>
    <row r="1411">
      <c r="A1411" s="83"/>
      <c r="B1411" s="83"/>
      <c r="C1411" s="83"/>
      <c r="D1411" s="83"/>
      <c r="E1411" s="83"/>
      <c r="F1411" s="83"/>
      <c r="G1411" s="83"/>
      <c r="H1411" s="83"/>
      <c r="I1411" s="16"/>
      <c r="J1411" s="16"/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</row>
    <row r="1412">
      <c r="A1412" s="83"/>
      <c r="B1412" s="83"/>
      <c r="C1412" s="83"/>
      <c r="D1412" s="83"/>
      <c r="E1412" s="83"/>
      <c r="F1412" s="83"/>
      <c r="G1412" s="83"/>
      <c r="H1412" s="83"/>
      <c r="I1412" s="16"/>
      <c r="J1412" s="16"/>
      <c r="K1412" s="16"/>
      <c r="L1412" s="16"/>
      <c r="M1412" s="16"/>
      <c r="N1412" s="16"/>
      <c r="O1412" s="16"/>
      <c r="P1412" s="16"/>
      <c r="Q1412" s="16"/>
      <c r="R1412" s="16"/>
      <c r="S1412" s="16"/>
      <c r="T1412" s="16"/>
      <c r="U1412" s="16"/>
    </row>
    <row r="1413">
      <c r="A1413" s="83"/>
      <c r="B1413" s="83"/>
      <c r="C1413" s="83"/>
      <c r="D1413" s="83"/>
      <c r="E1413" s="83"/>
      <c r="F1413" s="83"/>
      <c r="G1413" s="83"/>
      <c r="H1413" s="83"/>
      <c r="I1413" s="16"/>
      <c r="J1413" s="16"/>
      <c r="K1413" s="16"/>
      <c r="L1413" s="16"/>
      <c r="M1413" s="16"/>
      <c r="N1413" s="16"/>
      <c r="O1413" s="16"/>
      <c r="P1413" s="16"/>
      <c r="Q1413" s="16"/>
      <c r="R1413" s="16"/>
      <c r="S1413" s="16"/>
      <c r="T1413" s="16"/>
      <c r="U1413" s="16"/>
    </row>
    <row r="1414">
      <c r="A1414" s="83"/>
      <c r="B1414" s="83"/>
      <c r="C1414" s="83"/>
      <c r="D1414" s="83"/>
      <c r="E1414" s="83"/>
      <c r="F1414" s="83"/>
      <c r="G1414" s="83"/>
      <c r="H1414" s="83"/>
      <c r="I1414" s="16"/>
      <c r="J1414" s="16"/>
      <c r="K1414" s="16"/>
      <c r="L1414" s="16"/>
      <c r="M1414" s="16"/>
      <c r="N1414" s="16"/>
      <c r="O1414" s="16"/>
      <c r="P1414" s="16"/>
      <c r="Q1414" s="16"/>
      <c r="R1414" s="16"/>
      <c r="S1414" s="16"/>
      <c r="T1414" s="16"/>
      <c r="U1414" s="16"/>
    </row>
    <row r="1415">
      <c r="A1415" s="83"/>
      <c r="B1415" s="83"/>
      <c r="C1415" s="83"/>
      <c r="D1415" s="83"/>
      <c r="E1415" s="83"/>
      <c r="F1415" s="83"/>
      <c r="G1415" s="83"/>
      <c r="H1415" s="83"/>
      <c r="I1415" s="16"/>
      <c r="J1415" s="16"/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</row>
    <row r="1416">
      <c r="A1416" s="83"/>
      <c r="B1416" s="83"/>
      <c r="C1416" s="83"/>
      <c r="D1416" s="83"/>
      <c r="E1416" s="83"/>
      <c r="F1416" s="83"/>
      <c r="G1416" s="83"/>
      <c r="H1416" s="83"/>
      <c r="I1416" s="16"/>
      <c r="J1416" s="16"/>
      <c r="K1416" s="16"/>
      <c r="L1416" s="16"/>
      <c r="M1416" s="16"/>
      <c r="N1416" s="16"/>
      <c r="O1416" s="16"/>
      <c r="P1416" s="16"/>
      <c r="Q1416" s="16"/>
      <c r="R1416" s="16"/>
      <c r="S1416" s="16"/>
      <c r="T1416" s="16"/>
      <c r="U1416" s="16"/>
    </row>
    <row r="1417">
      <c r="A1417" s="83"/>
      <c r="B1417" s="83"/>
      <c r="C1417" s="83"/>
      <c r="D1417" s="83"/>
      <c r="E1417" s="83"/>
      <c r="F1417" s="83"/>
      <c r="G1417" s="83"/>
      <c r="H1417" s="83"/>
      <c r="I1417" s="16"/>
      <c r="J1417" s="16"/>
      <c r="K1417" s="16"/>
      <c r="L1417" s="16"/>
      <c r="M1417" s="16"/>
      <c r="N1417" s="16"/>
      <c r="O1417" s="16"/>
      <c r="P1417" s="16"/>
      <c r="Q1417" s="16"/>
      <c r="R1417" s="16"/>
      <c r="S1417" s="16"/>
      <c r="T1417" s="16"/>
      <c r="U1417" s="16"/>
    </row>
    <row r="1418">
      <c r="A1418" s="83"/>
      <c r="B1418" s="83"/>
      <c r="C1418" s="83"/>
      <c r="D1418" s="83"/>
      <c r="E1418" s="83"/>
      <c r="F1418" s="83"/>
      <c r="G1418" s="83"/>
      <c r="H1418" s="83"/>
      <c r="I1418" s="16"/>
      <c r="J1418" s="16"/>
      <c r="K1418" s="16"/>
      <c r="L1418" s="16"/>
      <c r="M1418" s="16"/>
      <c r="N1418" s="16"/>
      <c r="O1418" s="16"/>
      <c r="P1418" s="16"/>
      <c r="Q1418" s="16"/>
      <c r="R1418" s="16"/>
      <c r="S1418" s="16"/>
      <c r="T1418" s="16"/>
      <c r="U1418" s="16"/>
    </row>
    <row r="1419">
      <c r="A1419" s="83"/>
      <c r="B1419" s="83"/>
      <c r="C1419" s="83"/>
      <c r="D1419" s="83"/>
      <c r="E1419" s="83"/>
      <c r="F1419" s="83"/>
      <c r="G1419" s="83"/>
      <c r="H1419" s="83"/>
      <c r="I1419" s="16"/>
      <c r="J1419" s="16"/>
      <c r="K1419" s="16"/>
      <c r="L1419" s="16"/>
      <c r="M1419" s="16"/>
      <c r="N1419" s="16"/>
      <c r="O1419" s="16"/>
      <c r="P1419" s="16"/>
      <c r="Q1419" s="16"/>
      <c r="R1419" s="16"/>
      <c r="S1419" s="16"/>
      <c r="T1419" s="16"/>
      <c r="U1419" s="16"/>
    </row>
    <row r="1420">
      <c r="A1420" s="83"/>
      <c r="B1420" s="83"/>
      <c r="C1420" s="83"/>
      <c r="D1420" s="83"/>
      <c r="E1420" s="83"/>
      <c r="F1420" s="83"/>
      <c r="G1420" s="83"/>
      <c r="H1420" s="83"/>
      <c r="I1420" s="16"/>
      <c r="J1420" s="16"/>
      <c r="K1420" s="16"/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</row>
    <row r="1421">
      <c r="A1421" s="83"/>
      <c r="B1421" s="83"/>
      <c r="C1421" s="83"/>
      <c r="D1421" s="83"/>
      <c r="E1421" s="83"/>
      <c r="F1421" s="83"/>
      <c r="G1421" s="83"/>
      <c r="H1421" s="83"/>
      <c r="I1421" s="16"/>
      <c r="J1421" s="16"/>
      <c r="K1421" s="16"/>
      <c r="L1421" s="16"/>
      <c r="M1421" s="16"/>
      <c r="N1421" s="16"/>
      <c r="O1421" s="16"/>
      <c r="P1421" s="16"/>
      <c r="Q1421" s="16"/>
      <c r="R1421" s="16"/>
      <c r="S1421" s="16"/>
      <c r="T1421" s="16"/>
      <c r="U1421" s="16"/>
    </row>
    <row r="1422">
      <c r="A1422" s="83"/>
      <c r="B1422" s="83"/>
      <c r="C1422" s="83"/>
      <c r="D1422" s="83"/>
      <c r="E1422" s="83"/>
      <c r="F1422" s="83"/>
      <c r="G1422" s="83"/>
      <c r="H1422" s="83"/>
      <c r="I1422" s="16"/>
      <c r="J1422" s="16"/>
      <c r="K1422" s="16"/>
      <c r="L1422" s="16"/>
      <c r="M1422" s="16"/>
      <c r="N1422" s="16"/>
      <c r="O1422" s="16"/>
      <c r="P1422" s="16"/>
      <c r="Q1422" s="16"/>
      <c r="R1422" s="16"/>
      <c r="S1422" s="16"/>
      <c r="T1422" s="16"/>
      <c r="U1422" s="16"/>
    </row>
    <row r="1423">
      <c r="A1423" s="83"/>
      <c r="B1423" s="83"/>
      <c r="C1423" s="83"/>
      <c r="D1423" s="83"/>
      <c r="E1423" s="83"/>
      <c r="F1423" s="83"/>
      <c r="G1423" s="83"/>
      <c r="H1423" s="83"/>
      <c r="I1423" s="16"/>
      <c r="J1423" s="16"/>
      <c r="K1423" s="16"/>
      <c r="L1423" s="16"/>
      <c r="M1423" s="16"/>
      <c r="N1423" s="16"/>
      <c r="O1423" s="16"/>
      <c r="P1423" s="16"/>
      <c r="Q1423" s="16"/>
      <c r="R1423" s="16"/>
      <c r="S1423" s="16"/>
      <c r="T1423" s="16"/>
      <c r="U1423" s="16"/>
    </row>
    <row r="1424">
      <c r="A1424" s="83"/>
      <c r="B1424" s="83"/>
      <c r="C1424" s="83"/>
      <c r="D1424" s="83"/>
      <c r="E1424" s="83"/>
      <c r="F1424" s="83"/>
      <c r="G1424" s="83"/>
      <c r="H1424" s="83"/>
      <c r="I1424" s="16"/>
      <c r="J1424" s="16"/>
      <c r="K1424" s="16"/>
      <c r="L1424" s="16"/>
      <c r="M1424" s="16"/>
      <c r="N1424" s="16"/>
      <c r="O1424" s="16"/>
      <c r="P1424" s="16"/>
      <c r="Q1424" s="16"/>
      <c r="R1424" s="16"/>
      <c r="S1424" s="16"/>
      <c r="T1424" s="16"/>
      <c r="U1424" s="16"/>
    </row>
    <row r="1425">
      <c r="A1425" s="83"/>
      <c r="B1425" s="83"/>
      <c r="C1425" s="83"/>
      <c r="D1425" s="83"/>
      <c r="E1425" s="83"/>
      <c r="F1425" s="83"/>
      <c r="G1425" s="83"/>
      <c r="H1425" s="83"/>
      <c r="I1425" s="16"/>
      <c r="J1425" s="16"/>
      <c r="K1425" s="16"/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</row>
    <row r="1426">
      <c r="A1426" s="83"/>
      <c r="B1426" s="83"/>
      <c r="C1426" s="83"/>
      <c r="D1426" s="83"/>
      <c r="E1426" s="83"/>
      <c r="F1426" s="83"/>
      <c r="G1426" s="83"/>
      <c r="H1426" s="83"/>
      <c r="I1426" s="16"/>
      <c r="J1426" s="16"/>
      <c r="K1426" s="16"/>
      <c r="L1426" s="16"/>
      <c r="M1426" s="16"/>
      <c r="N1426" s="16"/>
      <c r="O1426" s="16"/>
      <c r="P1426" s="16"/>
      <c r="Q1426" s="16"/>
      <c r="R1426" s="16"/>
      <c r="S1426" s="16"/>
      <c r="T1426" s="16"/>
      <c r="U1426" s="16"/>
    </row>
    <row r="1427">
      <c r="A1427" s="83"/>
      <c r="B1427" s="83"/>
      <c r="C1427" s="83"/>
      <c r="D1427" s="83"/>
      <c r="E1427" s="83"/>
      <c r="F1427" s="83"/>
      <c r="G1427" s="83"/>
      <c r="H1427" s="83"/>
      <c r="I1427" s="16"/>
      <c r="J1427" s="16"/>
      <c r="K1427" s="16"/>
      <c r="L1427" s="16"/>
      <c r="M1427" s="16"/>
      <c r="N1427" s="16"/>
      <c r="O1427" s="16"/>
      <c r="P1427" s="16"/>
      <c r="Q1427" s="16"/>
      <c r="R1427" s="16"/>
      <c r="S1427" s="16"/>
      <c r="T1427" s="16"/>
      <c r="U1427" s="16"/>
    </row>
    <row r="1428">
      <c r="A1428" s="83"/>
      <c r="B1428" s="83"/>
      <c r="C1428" s="83"/>
      <c r="D1428" s="83"/>
      <c r="E1428" s="83"/>
      <c r="F1428" s="83"/>
      <c r="G1428" s="83"/>
      <c r="H1428" s="83"/>
      <c r="I1428" s="16"/>
      <c r="J1428" s="16"/>
      <c r="K1428" s="16"/>
      <c r="L1428" s="16"/>
      <c r="M1428" s="16"/>
      <c r="N1428" s="16"/>
      <c r="O1428" s="16"/>
      <c r="P1428" s="16"/>
      <c r="Q1428" s="16"/>
      <c r="R1428" s="16"/>
      <c r="S1428" s="16"/>
      <c r="T1428" s="16"/>
      <c r="U1428" s="16"/>
    </row>
    <row r="1429">
      <c r="A1429" s="83"/>
      <c r="B1429" s="83"/>
      <c r="C1429" s="83"/>
      <c r="D1429" s="83"/>
      <c r="E1429" s="83"/>
      <c r="F1429" s="83"/>
      <c r="G1429" s="83"/>
      <c r="H1429" s="83"/>
      <c r="I1429" s="16"/>
      <c r="J1429" s="16"/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</row>
    <row r="1430">
      <c r="A1430" s="83"/>
      <c r="B1430" s="83"/>
      <c r="C1430" s="83"/>
      <c r="D1430" s="83"/>
      <c r="E1430" s="83"/>
      <c r="F1430" s="83"/>
      <c r="G1430" s="83"/>
      <c r="H1430" s="83"/>
      <c r="I1430" s="16"/>
      <c r="J1430" s="16"/>
      <c r="K1430" s="16"/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</row>
    <row r="1431">
      <c r="A1431" s="83"/>
      <c r="B1431" s="83"/>
      <c r="C1431" s="83"/>
      <c r="D1431" s="83"/>
      <c r="E1431" s="83"/>
      <c r="F1431" s="83"/>
      <c r="G1431" s="83"/>
      <c r="H1431" s="83"/>
      <c r="I1431" s="16"/>
      <c r="J1431" s="16"/>
      <c r="K1431" s="16"/>
      <c r="L1431" s="16"/>
      <c r="M1431" s="16"/>
      <c r="N1431" s="16"/>
      <c r="O1431" s="16"/>
      <c r="P1431" s="16"/>
      <c r="Q1431" s="16"/>
      <c r="R1431" s="16"/>
      <c r="S1431" s="16"/>
      <c r="T1431" s="16"/>
      <c r="U1431" s="16"/>
    </row>
    <row r="1432">
      <c r="A1432" s="83"/>
      <c r="B1432" s="83"/>
      <c r="C1432" s="83"/>
      <c r="D1432" s="83"/>
      <c r="E1432" s="83"/>
      <c r="F1432" s="83"/>
      <c r="G1432" s="83"/>
      <c r="H1432" s="83"/>
      <c r="I1432" s="16"/>
      <c r="J1432" s="16"/>
      <c r="K1432" s="16"/>
      <c r="L1432" s="16"/>
      <c r="M1432" s="16"/>
      <c r="N1432" s="16"/>
      <c r="O1432" s="16"/>
      <c r="P1432" s="16"/>
      <c r="Q1432" s="16"/>
      <c r="R1432" s="16"/>
      <c r="S1432" s="16"/>
      <c r="T1432" s="16"/>
      <c r="U1432" s="16"/>
    </row>
    <row r="1433">
      <c r="A1433" s="83"/>
      <c r="B1433" s="83"/>
      <c r="C1433" s="83"/>
      <c r="D1433" s="83"/>
      <c r="E1433" s="83"/>
      <c r="F1433" s="83"/>
      <c r="G1433" s="83"/>
      <c r="H1433" s="83"/>
      <c r="I1433" s="16"/>
      <c r="J1433" s="16"/>
      <c r="K1433" s="16"/>
      <c r="L1433" s="16"/>
      <c r="M1433" s="16"/>
      <c r="N1433" s="16"/>
      <c r="O1433" s="16"/>
      <c r="P1433" s="16"/>
      <c r="Q1433" s="16"/>
      <c r="R1433" s="16"/>
      <c r="S1433" s="16"/>
      <c r="T1433" s="16"/>
      <c r="U1433" s="16"/>
    </row>
    <row r="1434">
      <c r="A1434" s="83"/>
      <c r="B1434" s="83"/>
      <c r="C1434" s="83"/>
      <c r="D1434" s="83"/>
      <c r="E1434" s="83"/>
      <c r="F1434" s="83"/>
      <c r="G1434" s="83"/>
      <c r="H1434" s="83"/>
      <c r="I1434" s="16"/>
      <c r="J1434" s="16"/>
      <c r="K1434" s="16"/>
      <c r="L1434" s="16"/>
      <c r="M1434" s="16"/>
      <c r="N1434" s="16"/>
      <c r="O1434" s="16"/>
      <c r="P1434" s="16"/>
      <c r="Q1434" s="16"/>
      <c r="R1434" s="16"/>
      <c r="S1434" s="16"/>
      <c r="T1434" s="16"/>
      <c r="U1434" s="16"/>
    </row>
    <row r="1435">
      <c r="A1435" s="83"/>
      <c r="B1435" s="83"/>
      <c r="C1435" s="83"/>
      <c r="D1435" s="83"/>
      <c r="E1435" s="83"/>
      <c r="F1435" s="83"/>
      <c r="G1435" s="83"/>
      <c r="H1435" s="83"/>
      <c r="I1435" s="16"/>
      <c r="J1435" s="16"/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</row>
    <row r="1436">
      <c r="A1436" s="83"/>
      <c r="B1436" s="83"/>
      <c r="C1436" s="83"/>
      <c r="D1436" s="83"/>
      <c r="E1436" s="83"/>
      <c r="F1436" s="83"/>
      <c r="G1436" s="83"/>
      <c r="H1436" s="83"/>
      <c r="I1436" s="16"/>
      <c r="J1436" s="16"/>
      <c r="K1436" s="16"/>
      <c r="L1436" s="16"/>
      <c r="M1436" s="16"/>
      <c r="N1436" s="16"/>
      <c r="O1436" s="16"/>
      <c r="P1436" s="16"/>
      <c r="Q1436" s="16"/>
      <c r="R1436" s="16"/>
      <c r="S1436" s="16"/>
      <c r="T1436" s="16"/>
      <c r="U1436" s="16"/>
    </row>
    <row r="1437">
      <c r="A1437" s="83"/>
      <c r="B1437" s="83"/>
      <c r="C1437" s="83"/>
      <c r="D1437" s="83"/>
      <c r="E1437" s="83"/>
      <c r="F1437" s="83"/>
      <c r="G1437" s="83"/>
      <c r="H1437" s="83"/>
      <c r="I1437" s="16"/>
      <c r="J1437" s="16"/>
      <c r="K1437" s="16"/>
      <c r="L1437" s="16"/>
      <c r="M1437" s="16"/>
      <c r="N1437" s="16"/>
      <c r="O1437" s="16"/>
      <c r="P1437" s="16"/>
      <c r="Q1437" s="16"/>
      <c r="R1437" s="16"/>
      <c r="S1437" s="16"/>
      <c r="T1437" s="16"/>
      <c r="U1437" s="16"/>
    </row>
    <row r="1438">
      <c r="A1438" s="83"/>
      <c r="B1438" s="83"/>
      <c r="C1438" s="83"/>
      <c r="D1438" s="83"/>
      <c r="E1438" s="83"/>
      <c r="F1438" s="83"/>
      <c r="G1438" s="83"/>
      <c r="H1438" s="83"/>
      <c r="I1438" s="16"/>
      <c r="J1438" s="16"/>
      <c r="K1438" s="16"/>
      <c r="L1438" s="16"/>
      <c r="M1438" s="16"/>
      <c r="N1438" s="16"/>
      <c r="O1438" s="16"/>
      <c r="P1438" s="16"/>
      <c r="Q1438" s="16"/>
      <c r="R1438" s="16"/>
      <c r="S1438" s="16"/>
      <c r="T1438" s="16"/>
      <c r="U1438" s="16"/>
    </row>
    <row r="1439">
      <c r="A1439" s="83"/>
      <c r="B1439" s="83"/>
      <c r="C1439" s="83"/>
      <c r="D1439" s="83"/>
      <c r="E1439" s="83"/>
      <c r="F1439" s="83"/>
      <c r="G1439" s="83"/>
      <c r="H1439" s="83"/>
      <c r="I1439" s="16"/>
      <c r="J1439" s="16"/>
      <c r="K1439" s="16"/>
      <c r="L1439" s="16"/>
      <c r="M1439" s="16"/>
      <c r="N1439" s="16"/>
      <c r="O1439" s="16"/>
      <c r="P1439" s="16"/>
      <c r="Q1439" s="16"/>
      <c r="R1439" s="16"/>
      <c r="S1439" s="16"/>
      <c r="T1439" s="16"/>
      <c r="U1439" s="16"/>
    </row>
    <row r="1440">
      <c r="A1440" s="83"/>
      <c r="B1440" s="83"/>
      <c r="C1440" s="83"/>
      <c r="D1440" s="83"/>
      <c r="E1440" s="83"/>
      <c r="F1440" s="83"/>
      <c r="G1440" s="83"/>
      <c r="H1440" s="83"/>
      <c r="I1440" s="16"/>
      <c r="J1440" s="16"/>
      <c r="K1440" s="16"/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</row>
    <row r="1441">
      <c r="A1441" s="83"/>
      <c r="B1441" s="83"/>
      <c r="C1441" s="83"/>
      <c r="D1441" s="83"/>
      <c r="E1441" s="83"/>
      <c r="F1441" s="83"/>
      <c r="G1441" s="83"/>
      <c r="H1441" s="83"/>
      <c r="I1441" s="16"/>
      <c r="J1441" s="16"/>
      <c r="K1441" s="16"/>
      <c r="L1441" s="16"/>
      <c r="M1441" s="16"/>
      <c r="N1441" s="16"/>
      <c r="O1441" s="16"/>
      <c r="P1441" s="16"/>
      <c r="Q1441" s="16"/>
      <c r="R1441" s="16"/>
      <c r="S1441" s="16"/>
      <c r="T1441" s="16"/>
      <c r="U1441" s="16"/>
    </row>
    <row r="1442">
      <c r="A1442" s="83"/>
      <c r="B1442" s="83"/>
      <c r="C1442" s="83"/>
      <c r="D1442" s="83"/>
      <c r="E1442" s="83"/>
      <c r="F1442" s="83"/>
      <c r="G1442" s="83"/>
      <c r="H1442" s="83"/>
      <c r="I1442" s="16"/>
      <c r="J1442" s="16"/>
      <c r="K1442" s="16"/>
      <c r="L1442" s="16"/>
      <c r="M1442" s="16"/>
      <c r="N1442" s="16"/>
      <c r="O1442" s="16"/>
      <c r="P1442" s="16"/>
      <c r="Q1442" s="16"/>
      <c r="R1442" s="16"/>
      <c r="S1442" s="16"/>
      <c r="T1442" s="16"/>
      <c r="U1442" s="16"/>
    </row>
    <row r="1443">
      <c r="A1443" s="83"/>
      <c r="B1443" s="83"/>
      <c r="C1443" s="83"/>
      <c r="D1443" s="83"/>
      <c r="E1443" s="83"/>
      <c r="F1443" s="83"/>
      <c r="G1443" s="83"/>
      <c r="H1443" s="83"/>
      <c r="I1443" s="16"/>
      <c r="J1443" s="16"/>
      <c r="K1443" s="16"/>
      <c r="L1443" s="16"/>
      <c r="M1443" s="16"/>
      <c r="N1443" s="16"/>
      <c r="O1443" s="16"/>
      <c r="P1443" s="16"/>
      <c r="Q1443" s="16"/>
      <c r="R1443" s="16"/>
      <c r="S1443" s="16"/>
      <c r="T1443" s="16"/>
      <c r="U1443" s="16"/>
    </row>
    <row r="1444">
      <c r="A1444" s="83"/>
      <c r="B1444" s="83"/>
      <c r="C1444" s="83"/>
      <c r="D1444" s="83"/>
      <c r="E1444" s="83"/>
      <c r="F1444" s="83"/>
      <c r="G1444" s="83"/>
      <c r="H1444" s="83"/>
      <c r="I1444" s="16"/>
      <c r="J1444" s="16"/>
      <c r="K1444" s="16"/>
      <c r="L1444" s="16"/>
      <c r="M1444" s="16"/>
      <c r="N1444" s="16"/>
      <c r="O1444" s="16"/>
      <c r="P1444" s="16"/>
      <c r="Q1444" s="16"/>
      <c r="R1444" s="16"/>
      <c r="S1444" s="16"/>
      <c r="T1444" s="16"/>
      <c r="U1444" s="16"/>
    </row>
    <row r="1445">
      <c r="A1445" s="83"/>
      <c r="B1445" s="83"/>
      <c r="C1445" s="83"/>
      <c r="D1445" s="83"/>
      <c r="E1445" s="83"/>
      <c r="F1445" s="83"/>
      <c r="G1445" s="83"/>
      <c r="H1445" s="83"/>
      <c r="I1445" s="16"/>
      <c r="J1445" s="16"/>
      <c r="K1445" s="16"/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</row>
    <row r="1446">
      <c r="A1446" s="83"/>
      <c r="B1446" s="83"/>
      <c r="C1446" s="83"/>
      <c r="D1446" s="83"/>
      <c r="E1446" s="83"/>
      <c r="F1446" s="83"/>
      <c r="G1446" s="83"/>
      <c r="H1446" s="83"/>
      <c r="I1446" s="16"/>
      <c r="J1446" s="16"/>
      <c r="K1446" s="16"/>
      <c r="L1446" s="16"/>
      <c r="M1446" s="16"/>
      <c r="N1446" s="16"/>
      <c r="O1446" s="16"/>
      <c r="P1446" s="16"/>
      <c r="Q1446" s="16"/>
      <c r="R1446" s="16"/>
      <c r="S1446" s="16"/>
      <c r="T1446" s="16"/>
      <c r="U1446" s="16"/>
    </row>
    <row r="1447">
      <c r="A1447" s="83"/>
      <c r="B1447" s="83"/>
      <c r="C1447" s="83"/>
      <c r="D1447" s="83"/>
      <c r="E1447" s="83"/>
      <c r="F1447" s="83"/>
      <c r="G1447" s="83"/>
      <c r="H1447" s="83"/>
      <c r="I1447" s="16"/>
      <c r="J1447" s="16"/>
      <c r="K1447" s="16"/>
      <c r="L1447" s="16"/>
      <c r="M1447" s="16"/>
      <c r="N1447" s="16"/>
      <c r="O1447" s="16"/>
      <c r="P1447" s="16"/>
      <c r="Q1447" s="16"/>
      <c r="R1447" s="16"/>
      <c r="S1447" s="16"/>
      <c r="T1447" s="16"/>
      <c r="U1447" s="16"/>
    </row>
    <row r="1448">
      <c r="A1448" s="83"/>
      <c r="B1448" s="83"/>
      <c r="C1448" s="83"/>
      <c r="D1448" s="83"/>
      <c r="E1448" s="83"/>
      <c r="F1448" s="83"/>
      <c r="G1448" s="83"/>
      <c r="H1448" s="83"/>
      <c r="I1448" s="16"/>
      <c r="J1448" s="16"/>
      <c r="K1448" s="16"/>
      <c r="L1448" s="16"/>
      <c r="M1448" s="16"/>
      <c r="N1448" s="16"/>
      <c r="O1448" s="16"/>
      <c r="P1448" s="16"/>
      <c r="Q1448" s="16"/>
      <c r="R1448" s="16"/>
      <c r="S1448" s="16"/>
      <c r="T1448" s="16"/>
      <c r="U1448" s="16"/>
    </row>
    <row r="1449">
      <c r="A1449" s="83"/>
      <c r="B1449" s="83"/>
      <c r="C1449" s="83"/>
      <c r="D1449" s="83"/>
      <c r="E1449" s="83"/>
      <c r="F1449" s="83"/>
      <c r="G1449" s="83"/>
      <c r="H1449" s="83"/>
      <c r="I1449" s="16"/>
      <c r="J1449" s="16"/>
      <c r="K1449" s="16"/>
      <c r="L1449" s="16"/>
      <c r="M1449" s="16"/>
      <c r="N1449" s="16"/>
      <c r="O1449" s="16"/>
      <c r="P1449" s="16"/>
      <c r="Q1449" s="16"/>
      <c r="R1449" s="16"/>
      <c r="S1449" s="16"/>
      <c r="T1449" s="16"/>
      <c r="U1449" s="16"/>
    </row>
    <row r="1450">
      <c r="A1450" s="83"/>
      <c r="B1450" s="83"/>
      <c r="C1450" s="83"/>
      <c r="D1450" s="83"/>
      <c r="E1450" s="83"/>
      <c r="F1450" s="83"/>
      <c r="G1450" s="83"/>
      <c r="H1450" s="83"/>
      <c r="I1450" s="16"/>
      <c r="J1450" s="16"/>
      <c r="K1450" s="16"/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</row>
    <row r="1451">
      <c r="A1451" s="83"/>
      <c r="B1451" s="83"/>
      <c r="C1451" s="83"/>
      <c r="D1451" s="83"/>
      <c r="E1451" s="83"/>
      <c r="F1451" s="83"/>
      <c r="G1451" s="83"/>
      <c r="H1451" s="83"/>
      <c r="I1451" s="16"/>
      <c r="J1451" s="16"/>
      <c r="K1451" s="16"/>
      <c r="L1451" s="16"/>
      <c r="M1451" s="16"/>
      <c r="N1451" s="16"/>
      <c r="O1451" s="16"/>
      <c r="P1451" s="16"/>
      <c r="Q1451" s="16"/>
      <c r="R1451" s="16"/>
      <c r="S1451" s="16"/>
      <c r="T1451" s="16"/>
      <c r="U1451" s="16"/>
    </row>
    <row r="1452">
      <c r="A1452" s="83"/>
      <c r="B1452" s="83"/>
      <c r="C1452" s="83"/>
      <c r="D1452" s="83"/>
      <c r="E1452" s="83"/>
      <c r="F1452" s="83"/>
      <c r="G1452" s="83"/>
      <c r="H1452" s="83"/>
      <c r="I1452" s="16"/>
      <c r="J1452" s="16"/>
      <c r="K1452" s="16"/>
      <c r="L1452" s="16"/>
      <c r="M1452" s="16"/>
      <c r="N1452" s="16"/>
      <c r="O1452" s="16"/>
      <c r="P1452" s="16"/>
      <c r="Q1452" s="16"/>
      <c r="R1452" s="16"/>
      <c r="S1452" s="16"/>
      <c r="T1452" s="16"/>
      <c r="U1452" s="16"/>
    </row>
    <row r="1453">
      <c r="A1453" s="83"/>
      <c r="B1453" s="83"/>
      <c r="C1453" s="83"/>
      <c r="D1453" s="83"/>
      <c r="E1453" s="83"/>
      <c r="F1453" s="83"/>
      <c r="G1453" s="83"/>
      <c r="H1453" s="83"/>
      <c r="I1453" s="16"/>
      <c r="J1453" s="16"/>
      <c r="K1453" s="16"/>
      <c r="L1453" s="16"/>
      <c r="M1453" s="16"/>
      <c r="N1453" s="16"/>
      <c r="O1453" s="16"/>
      <c r="P1453" s="16"/>
      <c r="Q1453" s="16"/>
      <c r="R1453" s="16"/>
      <c r="S1453" s="16"/>
      <c r="T1453" s="16"/>
      <c r="U1453" s="16"/>
    </row>
    <row r="1454">
      <c r="A1454" s="83"/>
      <c r="B1454" s="83"/>
      <c r="C1454" s="83"/>
      <c r="D1454" s="83"/>
      <c r="E1454" s="83"/>
      <c r="F1454" s="83"/>
      <c r="G1454" s="83"/>
      <c r="H1454" s="83"/>
      <c r="I1454" s="16"/>
      <c r="J1454" s="16"/>
      <c r="K1454" s="16"/>
      <c r="L1454" s="16"/>
      <c r="M1454" s="16"/>
      <c r="N1454" s="16"/>
      <c r="O1454" s="16"/>
      <c r="P1454" s="16"/>
      <c r="Q1454" s="16"/>
      <c r="R1454" s="16"/>
      <c r="S1454" s="16"/>
      <c r="T1454" s="16"/>
      <c r="U1454" s="16"/>
    </row>
    <row r="1455">
      <c r="A1455" s="83"/>
      <c r="B1455" s="83"/>
      <c r="C1455" s="83"/>
      <c r="D1455" s="83"/>
      <c r="E1455" s="83"/>
      <c r="F1455" s="83"/>
      <c r="G1455" s="83"/>
      <c r="H1455" s="83"/>
      <c r="I1455" s="16"/>
      <c r="J1455" s="16"/>
      <c r="K1455" s="16"/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</row>
    <row r="1456">
      <c r="A1456" s="83"/>
      <c r="B1456" s="83"/>
      <c r="C1456" s="83"/>
      <c r="D1456" s="83"/>
      <c r="E1456" s="83"/>
      <c r="F1456" s="83"/>
      <c r="G1456" s="83"/>
      <c r="H1456" s="83"/>
      <c r="I1456" s="16"/>
      <c r="J1456" s="16"/>
      <c r="K1456" s="16"/>
      <c r="L1456" s="16"/>
      <c r="M1456" s="16"/>
      <c r="N1456" s="16"/>
      <c r="O1456" s="16"/>
      <c r="P1456" s="16"/>
      <c r="Q1456" s="16"/>
      <c r="R1456" s="16"/>
      <c r="S1456" s="16"/>
      <c r="T1456" s="16"/>
      <c r="U1456" s="16"/>
    </row>
    <row r="1457">
      <c r="A1457" s="83"/>
      <c r="B1457" s="83"/>
      <c r="C1457" s="83"/>
      <c r="D1457" s="83"/>
      <c r="E1457" s="83"/>
      <c r="F1457" s="83"/>
      <c r="G1457" s="83"/>
      <c r="H1457" s="83"/>
      <c r="I1457" s="16"/>
      <c r="J1457" s="16"/>
      <c r="K1457" s="16"/>
      <c r="L1457" s="16"/>
      <c r="M1457" s="16"/>
      <c r="N1457" s="16"/>
      <c r="O1457" s="16"/>
      <c r="P1457" s="16"/>
      <c r="Q1457" s="16"/>
      <c r="R1457" s="16"/>
      <c r="S1457" s="16"/>
      <c r="T1457" s="16"/>
      <c r="U1457" s="16"/>
    </row>
    <row r="1458">
      <c r="A1458" s="83"/>
      <c r="B1458" s="83"/>
      <c r="C1458" s="83"/>
      <c r="D1458" s="83"/>
      <c r="E1458" s="83"/>
      <c r="F1458" s="83"/>
      <c r="G1458" s="83"/>
      <c r="H1458" s="83"/>
      <c r="I1458" s="16"/>
      <c r="J1458" s="16"/>
      <c r="K1458" s="16"/>
      <c r="L1458" s="16"/>
      <c r="M1458" s="16"/>
      <c r="N1458" s="16"/>
      <c r="O1458" s="16"/>
      <c r="P1458" s="16"/>
      <c r="Q1458" s="16"/>
      <c r="R1458" s="16"/>
      <c r="S1458" s="16"/>
      <c r="T1458" s="16"/>
      <c r="U1458" s="16"/>
    </row>
    <row r="1459">
      <c r="A1459" s="83"/>
      <c r="B1459" s="83"/>
      <c r="C1459" s="83"/>
      <c r="D1459" s="83"/>
      <c r="E1459" s="83"/>
      <c r="F1459" s="83"/>
      <c r="G1459" s="83"/>
      <c r="H1459" s="83"/>
      <c r="I1459" s="16"/>
      <c r="J1459" s="16"/>
      <c r="K1459" s="16"/>
      <c r="L1459" s="16"/>
      <c r="M1459" s="16"/>
      <c r="N1459" s="16"/>
      <c r="O1459" s="16"/>
      <c r="P1459" s="16"/>
      <c r="Q1459" s="16"/>
      <c r="R1459" s="16"/>
      <c r="S1459" s="16"/>
      <c r="T1459" s="16"/>
      <c r="U1459" s="16"/>
    </row>
    <row r="1460">
      <c r="A1460" s="83"/>
      <c r="B1460" s="83"/>
      <c r="C1460" s="83"/>
      <c r="D1460" s="83"/>
      <c r="E1460" s="83"/>
      <c r="F1460" s="83"/>
      <c r="G1460" s="83"/>
      <c r="H1460" s="83"/>
      <c r="I1460" s="16"/>
      <c r="J1460" s="16"/>
      <c r="K1460" s="16"/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</row>
    <row r="1461">
      <c r="A1461" s="83"/>
      <c r="B1461" s="83"/>
      <c r="C1461" s="83"/>
      <c r="D1461" s="83"/>
      <c r="E1461" s="83"/>
      <c r="F1461" s="83"/>
      <c r="G1461" s="83"/>
      <c r="H1461" s="83"/>
      <c r="I1461" s="16"/>
      <c r="J1461" s="16"/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</row>
    <row r="1462">
      <c r="A1462" s="83"/>
      <c r="B1462" s="83"/>
      <c r="C1462" s="83"/>
      <c r="D1462" s="83"/>
      <c r="E1462" s="83"/>
      <c r="F1462" s="83"/>
      <c r="G1462" s="83"/>
      <c r="H1462" s="83"/>
      <c r="I1462" s="16"/>
      <c r="J1462" s="16"/>
      <c r="K1462" s="16"/>
      <c r="L1462" s="16"/>
      <c r="M1462" s="16"/>
      <c r="N1462" s="16"/>
      <c r="O1462" s="16"/>
      <c r="P1462" s="16"/>
      <c r="Q1462" s="16"/>
      <c r="R1462" s="16"/>
      <c r="S1462" s="16"/>
      <c r="T1462" s="16"/>
      <c r="U1462" s="16"/>
    </row>
    <row r="1463">
      <c r="A1463" s="83"/>
      <c r="B1463" s="83"/>
      <c r="C1463" s="83"/>
      <c r="D1463" s="83"/>
      <c r="E1463" s="83"/>
      <c r="F1463" s="83"/>
      <c r="G1463" s="83"/>
      <c r="H1463" s="83"/>
      <c r="I1463" s="16"/>
      <c r="J1463" s="16"/>
      <c r="K1463" s="16"/>
      <c r="L1463" s="16"/>
      <c r="M1463" s="16"/>
      <c r="N1463" s="16"/>
      <c r="O1463" s="16"/>
      <c r="P1463" s="16"/>
      <c r="Q1463" s="16"/>
      <c r="R1463" s="16"/>
      <c r="S1463" s="16"/>
      <c r="T1463" s="16"/>
      <c r="U1463" s="16"/>
    </row>
    <row r="1464">
      <c r="A1464" s="83"/>
      <c r="B1464" s="83"/>
      <c r="C1464" s="83"/>
      <c r="D1464" s="83"/>
      <c r="E1464" s="83"/>
      <c r="F1464" s="83"/>
      <c r="G1464" s="83"/>
      <c r="H1464" s="83"/>
      <c r="I1464" s="16"/>
      <c r="J1464" s="16"/>
      <c r="K1464" s="16"/>
      <c r="L1464" s="16"/>
      <c r="M1464" s="16"/>
      <c r="N1464" s="16"/>
      <c r="O1464" s="16"/>
      <c r="P1464" s="16"/>
      <c r="Q1464" s="16"/>
      <c r="R1464" s="16"/>
      <c r="S1464" s="16"/>
      <c r="T1464" s="16"/>
      <c r="U1464" s="16"/>
    </row>
    <row r="1465">
      <c r="A1465" s="83"/>
      <c r="B1465" s="83"/>
      <c r="C1465" s="83"/>
      <c r="D1465" s="83"/>
      <c r="E1465" s="83"/>
      <c r="F1465" s="83"/>
      <c r="G1465" s="83"/>
      <c r="H1465" s="83"/>
      <c r="I1465" s="16"/>
      <c r="J1465" s="16"/>
      <c r="K1465" s="16"/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</row>
    <row r="1466">
      <c r="A1466" s="83"/>
      <c r="B1466" s="83"/>
      <c r="C1466" s="83"/>
      <c r="D1466" s="83"/>
      <c r="E1466" s="83"/>
      <c r="F1466" s="83"/>
      <c r="G1466" s="83"/>
      <c r="H1466" s="83"/>
      <c r="I1466" s="16"/>
      <c r="J1466" s="16"/>
      <c r="K1466" s="16"/>
      <c r="L1466" s="16"/>
      <c r="M1466" s="16"/>
      <c r="N1466" s="16"/>
      <c r="O1466" s="16"/>
      <c r="P1466" s="16"/>
      <c r="Q1466" s="16"/>
      <c r="R1466" s="16"/>
      <c r="S1466" s="16"/>
      <c r="T1466" s="16"/>
      <c r="U1466" s="16"/>
    </row>
    <row r="1467">
      <c r="A1467" s="83"/>
      <c r="B1467" s="83"/>
      <c r="C1467" s="83"/>
      <c r="D1467" s="83"/>
      <c r="E1467" s="83"/>
      <c r="F1467" s="83"/>
      <c r="G1467" s="83"/>
      <c r="H1467" s="83"/>
      <c r="I1467" s="16"/>
      <c r="J1467" s="16"/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</row>
    <row r="1468">
      <c r="A1468" s="83"/>
      <c r="B1468" s="83"/>
      <c r="C1468" s="83"/>
      <c r="D1468" s="83"/>
      <c r="E1468" s="83"/>
      <c r="F1468" s="83"/>
      <c r="G1468" s="83"/>
      <c r="H1468" s="83"/>
      <c r="I1468" s="16"/>
      <c r="J1468" s="16"/>
      <c r="K1468" s="16"/>
      <c r="L1468" s="16"/>
      <c r="M1468" s="16"/>
      <c r="N1468" s="16"/>
      <c r="O1468" s="16"/>
      <c r="P1468" s="16"/>
      <c r="Q1468" s="16"/>
      <c r="R1468" s="16"/>
      <c r="S1468" s="16"/>
      <c r="T1468" s="16"/>
      <c r="U1468" s="16"/>
    </row>
    <row r="1469">
      <c r="A1469" s="83"/>
      <c r="B1469" s="83"/>
      <c r="C1469" s="83"/>
      <c r="D1469" s="83"/>
      <c r="E1469" s="83"/>
      <c r="F1469" s="83"/>
      <c r="G1469" s="83"/>
      <c r="H1469" s="83"/>
      <c r="I1469" s="16"/>
      <c r="J1469" s="16"/>
      <c r="K1469" s="16"/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</row>
    <row r="1470">
      <c r="A1470" s="83"/>
      <c r="B1470" s="83"/>
      <c r="C1470" s="83"/>
      <c r="D1470" s="83"/>
      <c r="E1470" s="83"/>
      <c r="F1470" s="83"/>
      <c r="G1470" s="83"/>
      <c r="H1470" s="83"/>
      <c r="I1470" s="16"/>
      <c r="J1470" s="16"/>
      <c r="K1470" s="16"/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</row>
    <row r="1471">
      <c r="A1471" s="83"/>
      <c r="B1471" s="83"/>
      <c r="C1471" s="83"/>
      <c r="D1471" s="83"/>
      <c r="E1471" s="83"/>
      <c r="F1471" s="83"/>
      <c r="G1471" s="83"/>
      <c r="H1471" s="83"/>
      <c r="I1471" s="16"/>
      <c r="J1471" s="16"/>
      <c r="K1471" s="16"/>
      <c r="L1471" s="16"/>
      <c r="M1471" s="16"/>
      <c r="N1471" s="16"/>
      <c r="O1471" s="16"/>
      <c r="P1471" s="16"/>
      <c r="Q1471" s="16"/>
      <c r="R1471" s="16"/>
      <c r="S1471" s="16"/>
      <c r="T1471" s="16"/>
      <c r="U1471" s="16"/>
    </row>
    <row r="1472">
      <c r="A1472" s="83"/>
      <c r="B1472" s="83"/>
      <c r="C1472" s="83"/>
      <c r="D1472" s="83"/>
      <c r="E1472" s="83"/>
      <c r="F1472" s="83"/>
      <c r="G1472" s="83"/>
      <c r="H1472" s="83"/>
      <c r="I1472" s="16"/>
      <c r="J1472" s="16"/>
      <c r="K1472" s="16"/>
      <c r="L1472" s="16"/>
      <c r="M1472" s="16"/>
      <c r="N1472" s="16"/>
      <c r="O1472" s="16"/>
      <c r="P1472" s="16"/>
      <c r="Q1472" s="16"/>
      <c r="R1472" s="16"/>
      <c r="S1472" s="16"/>
      <c r="T1472" s="16"/>
      <c r="U1472" s="16"/>
    </row>
    <row r="1473">
      <c r="A1473" s="83"/>
      <c r="B1473" s="83"/>
      <c r="C1473" s="83"/>
      <c r="D1473" s="83"/>
      <c r="E1473" s="83"/>
      <c r="F1473" s="83"/>
      <c r="G1473" s="83"/>
      <c r="H1473" s="83"/>
      <c r="I1473" s="16"/>
      <c r="J1473" s="16"/>
      <c r="K1473" s="16"/>
      <c r="L1473" s="16"/>
      <c r="M1473" s="16"/>
      <c r="N1473" s="16"/>
      <c r="O1473" s="16"/>
      <c r="P1473" s="16"/>
      <c r="Q1473" s="16"/>
      <c r="R1473" s="16"/>
      <c r="S1473" s="16"/>
      <c r="T1473" s="16"/>
      <c r="U1473" s="16"/>
    </row>
    <row r="1474">
      <c r="A1474" s="83"/>
      <c r="B1474" s="83"/>
      <c r="C1474" s="83"/>
      <c r="D1474" s="83"/>
      <c r="E1474" s="83"/>
      <c r="F1474" s="83"/>
      <c r="G1474" s="83"/>
      <c r="H1474" s="83"/>
      <c r="I1474" s="16"/>
      <c r="J1474" s="16"/>
      <c r="K1474" s="16"/>
      <c r="L1474" s="16"/>
      <c r="M1474" s="16"/>
      <c r="N1474" s="16"/>
      <c r="O1474" s="16"/>
      <c r="P1474" s="16"/>
      <c r="Q1474" s="16"/>
      <c r="R1474" s="16"/>
      <c r="S1474" s="16"/>
      <c r="T1474" s="16"/>
      <c r="U1474" s="16"/>
    </row>
    <row r="1475">
      <c r="A1475" s="83"/>
      <c r="B1475" s="83"/>
      <c r="C1475" s="83"/>
      <c r="D1475" s="83"/>
      <c r="E1475" s="83"/>
      <c r="F1475" s="83"/>
      <c r="G1475" s="83"/>
      <c r="H1475" s="83"/>
      <c r="I1475" s="16"/>
      <c r="J1475" s="16"/>
      <c r="K1475" s="16"/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</row>
    <row r="1476">
      <c r="A1476" s="83"/>
      <c r="B1476" s="83"/>
      <c r="C1476" s="83"/>
      <c r="D1476" s="83"/>
      <c r="E1476" s="83"/>
      <c r="F1476" s="83"/>
      <c r="G1476" s="83"/>
      <c r="H1476" s="83"/>
      <c r="I1476" s="16"/>
      <c r="J1476" s="16"/>
      <c r="K1476" s="16"/>
      <c r="L1476" s="16"/>
      <c r="M1476" s="16"/>
      <c r="N1476" s="16"/>
      <c r="O1476" s="16"/>
      <c r="P1476" s="16"/>
      <c r="Q1476" s="16"/>
      <c r="R1476" s="16"/>
      <c r="S1476" s="16"/>
      <c r="T1476" s="16"/>
      <c r="U1476" s="16"/>
    </row>
    <row r="1477">
      <c r="A1477" s="83"/>
      <c r="B1477" s="83"/>
      <c r="C1477" s="83"/>
      <c r="D1477" s="83"/>
      <c r="E1477" s="83"/>
      <c r="F1477" s="83"/>
      <c r="G1477" s="83"/>
      <c r="H1477" s="83"/>
      <c r="I1477" s="16"/>
      <c r="J1477" s="16"/>
      <c r="K1477" s="16"/>
      <c r="L1477" s="16"/>
      <c r="M1477" s="16"/>
      <c r="N1477" s="16"/>
      <c r="O1477" s="16"/>
      <c r="P1477" s="16"/>
      <c r="Q1477" s="16"/>
      <c r="R1477" s="16"/>
      <c r="S1477" s="16"/>
      <c r="T1477" s="16"/>
      <c r="U1477" s="16"/>
    </row>
    <row r="1478">
      <c r="A1478" s="83"/>
      <c r="B1478" s="83"/>
      <c r="C1478" s="83"/>
      <c r="D1478" s="83"/>
      <c r="E1478" s="83"/>
      <c r="F1478" s="83"/>
      <c r="G1478" s="83"/>
      <c r="H1478" s="83"/>
      <c r="I1478" s="16"/>
      <c r="J1478" s="16"/>
      <c r="K1478" s="16"/>
      <c r="L1478" s="16"/>
      <c r="M1478" s="16"/>
      <c r="N1478" s="16"/>
      <c r="O1478" s="16"/>
      <c r="P1478" s="16"/>
      <c r="Q1478" s="16"/>
      <c r="R1478" s="16"/>
      <c r="S1478" s="16"/>
      <c r="T1478" s="16"/>
      <c r="U1478" s="16"/>
    </row>
    <row r="1479">
      <c r="A1479" s="83"/>
      <c r="B1479" s="83"/>
      <c r="C1479" s="83"/>
      <c r="D1479" s="83"/>
      <c r="E1479" s="83"/>
      <c r="F1479" s="83"/>
      <c r="G1479" s="83"/>
      <c r="H1479" s="83"/>
      <c r="I1479" s="16"/>
      <c r="J1479" s="16"/>
      <c r="K1479" s="16"/>
      <c r="L1479" s="16"/>
      <c r="M1479" s="16"/>
      <c r="N1479" s="16"/>
      <c r="O1479" s="16"/>
      <c r="P1479" s="16"/>
      <c r="Q1479" s="16"/>
      <c r="R1479" s="16"/>
      <c r="S1479" s="16"/>
      <c r="T1479" s="16"/>
      <c r="U1479" s="16"/>
    </row>
    <row r="1480">
      <c r="A1480" s="83"/>
      <c r="B1480" s="83"/>
      <c r="C1480" s="83"/>
      <c r="D1480" s="83"/>
      <c r="E1480" s="83"/>
      <c r="F1480" s="83"/>
      <c r="G1480" s="83"/>
      <c r="H1480" s="83"/>
      <c r="I1480" s="16"/>
      <c r="J1480" s="16"/>
      <c r="K1480" s="16"/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</row>
    <row r="1481">
      <c r="A1481" s="83"/>
      <c r="B1481" s="83"/>
      <c r="C1481" s="83"/>
      <c r="D1481" s="83"/>
      <c r="E1481" s="83"/>
      <c r="F1481" s="83"/>
      <c r="G1481" s="83"/>
      <c r="H1481" s="83"/>
      <c r="I1481" s="16"/>
      <c r="J1481" s="16"/>
      <c r="K1481" s="16"/>
      <c r="L1481" s="16"/>
      <c r="M1481" s="16"/>
      <c r="N1481" s="16"/>
      <c r="O1481" s="16"/>
      <c r="P1481" s="16"/>
      <c r="Q1481" s="16"/>
      <c r="R1481" s="16"/>
      <c r="S1481" s="16"/>
      <c r="T1481" s="16"/>
      <c r="U1481" s="16"/>
    </row>
    <row r="1482">
      <c r="A1482" s="83"/>
      <c r="B1482" s="83"/>
      <c r="C1482" s="83"/>
      <c r="D1482" s="83"/>
      <c r="E1482" s="83"/>
      <c r="F1482" s="83"/>
      <c r="G1482" s="83"/>
      <c r="H1482" s="83"/>
      <c r="I1482" s="16"/>
      <c r="J1482" s="16"/>
      <c r="K1482" s="16"/>
      <c r="L1482" s="16"/>
      <c r="M1482" s="16"/>
      <c r="N1482" s="16"/>
      <c r="O1482" s="16"/>
      <c r="P1482" s="16"/>
      <c r="Q1482" s="16"/>
      <c r="R1482" s="16"/>
      <c r="S1482" s="16"/>
      <c r="T1482" s="16"/>
      <c r="U1482" s="16"/>
    </row>
    <row r="1483">
      <c r="A1483" s="83"/>
      <c r="B1483" s="83"/>
      <c r="C1483" s="83"/>
      <c r="D1483" s="83"/>
      <c r="E1483" s="83"/>
      <c r="F1483" s="83"/>
      <c r="G1483" s="83"/>
      <c r="H1483" s="83"/>
      <c r="I1483" s="16"/>
      <c r="J1483" s="16"/>
      <c r="K1483" s="16"/>
      <c r="L1483" s="16"/>
      <c r="M1483" s="16"/>
      <c r="N1483" s="16"/>
      <c r="O1483" s="16"/>
      <c r="P1483" s="16"/>
      <c r="Q1483" s="16"/>
      <c r="R1483" s="16"/>
      <c r="S1483" s="16"/>
      <c r="T1483" s="16"/>
      <c r="U1483" s="16"/>
    </row>
    <row r="1484">
      <c r="A1484" s="83"/>
      <c r="B1484" s="83"/>
      <c r="C1484" s="83"/>
      <c r="D1484" s="83"/>
      <c r="E1484" s="83"/>
      <c r="F1484" s="83"/>
      <c r="G1484" s="83"/>
      <c r="H1484" s="83"/>
      <c r="I1484" s="16"/>
      <c r="J1484" s="16"/>
      <c r="K1484" s="16"/>
      <c r="L1484" s="16"/>
      <c r="M1484" s="16"/>
      <c r="N1484" s="16"/>
      <c r="O1484" s="16"/>
      <c r="P1484" s="16"/>
      <c r="Q1484" s="16"/>
      <c r="R1484" s="16"/>
      <c r="S1484" s="16"/>
      <c r="T1484" s="16"/>
      <c r="U1484" s="16"/>
    </row>
    <row r="1485">
      <c r="A1485" s="83"/>
      <c r="B1485" s="83"/>
      <c r="C1485" s="83"/>
      <c r="D1485" s="83"/>
      <c r="E1485" s="83"/>
      <c r="F1485" s="83"/>
      <c r="G1485" s="83"/>
      <c r="H1485" s="83"/>
      <c r="I1485" s="16"/>
      <c r="J1485" s="16"/>
      <c r="K1485" s="16"/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</row>
    <row r="1486">
      <c r="A1486" s="83"/>
      <c r="B1486" s="83"/>
      <c r="C1486" s="83"/>
      <c r="D1486" s="83"/>
      <c r="E1486" s="83"/>
      <c r="F1486" s="83"/>
      <c r="G1486" s="83"/>
      <c r="H1486" s="83"/>
      <c r="I1486" s="16"/>
      <c r="J1486" s="16"/>
      <c r="K1486" s="16"/>
      <c r="L1486" s="16"/>
      <c r="M1486" s="16"/>
      <c r="N1486" s="16"/>
      <c r="O1486" s="16"/>
      <c r="P1486" s="16"/>
      <c r="Q1486" s="16"/>
      <c r="R1486" s="16"/>
      <c r="S1486" s="16"/>
      <c r="T1486" s="16"/>
      <c r="U1486" s="16"/>
    </row>
    <row r="1487">
      <c r="A1487" s="83"/>
      <c r="B1487" s="83"/>
      <c r="C1487" s="83"/>
      <c r="D1487" s="83"/>
      <c r="E1487" s="83"/>
      <c r="F1487" s="83"/>
      <c r="G1487" s="83"/>
      <c r="H1487" s="83"/>
      <c r="I1487" s="16"/>
      <c r="J1487" s="16"/>
      <c r="K1487" s="16"/>
      <c r="L1487" s="16"/>
      <c r="M1487" s="16"/>
      <c r="N1487" s="16"/>
      <c r="O1487" s="16"/>
      <c r="P1487" s="16"/>
      <c r="Q1487" s="16"/>
      <c r="R1487" s="16"/>
      <c r="S1487" s="16"/>
      <c r="T1487" s="16"/>
      <c r="U1487" s="16"/>
    </row>
    <row r="1488">
      <c r="A1488" s="83"/>
      <c r="B1488" s="83"/>
      <c r="C1488" s="83"/>
      <c r="D1488" s="83"/>
      <c r="E1488" s="83"/>
      <c r="F1488" s="83"/>
      <c r="G1488" s="83"/>
      <c r="H1488" s="83"/>
      <c r="I1488" s="16"/>
      <c r="J1488" s="16"/>
      <c r="K1488" s="16"/>
      <c r="L1488" s="16"/>
      <c r="M1488" s="16"/>
      <c r="N1488" s="16"/>
      <c r="O1488" s="16"/>
      <c r="P1488" s="16"/>
      <c r="Q1488" s="16"/>
      <c r="R1488" s="16"/>
      <c r="S1488" s="16"/>
      <c r="T1488" s="16"/>
      <c r="U1488" s="16"/>
    </row>
    <row r="1489">
      <c r="A1489" s="83"/>
      <c r="B1489" s="83"/>
      <c r="C1489" s="83"/>
      <c r="D1489" s="83"/>
      <c r="E1489" s="83"/>
      <c r="F1489" s="83"/>
      <c r="G1489" s="83"/>
      <c r="H1489" s="83"/>
      <c r="I1489" s="16"/>
      <c r="J1489" s="16"/>
      <c r="K1489" s="16"/>
      <c r="L1489" s="16"/>
      <c r="M1489" s="16"/>
      <c r="N1489" s="16"/>
      <c r="O1489" s="16"/>
      <c r="P1489" s="16"/>
      <c r="Q1489" s="16"/>
      <c r="R1489" s="16"/>
      <c r="S1489" s="16"/>
      <c r="T1489" s="16"/>
      <c r="U1489" s="16"/>
    </row>
    <row r="1490">
      <c r="A1490" s="83"/>
      <c r="B1490" s="83"/>
      <c r="C1490" s="83"/>
      <c r="D1490" s="83"/>
      <c r="E1490" s="83"/>
      <c r="F1490" s="83"/>
      <c r="G1490" s="83"/>
      <c r="H1490" s="83"/>
      <c r="I1490" s="16"/>
      <c r="J1490" s="16"/>
      <c r="K1490" s="16"/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</row>
    <row r="1491">
      <c r="A1491" s="83"/>
      <c r="B1491" s="83"/>
      <c r="C1491" s="83"/>
      <c r="D1491" s="83"/>
      <c r="E1491" s="83"/>
      <c r="F1491" s="83"/>
      <c r="G1491" s="83"/>
      <c r="H1491" s="83"/>
      <c r="I1491" s="16"/>
      <c r="J1491" s="16"/>
      <c r="K1491" s="16"/>
      <c r="L1491" s="16"/>
      <c r="M1491" s="16"/>
      <c r="N1491" s="16"/>
      <c r="O1491" s="16"/>
      <c r="P1491" s="16"/>
      <c r="Q1491" s="16"/>
      <c r="R1491" s="16"/>
      <c r="S1491" s="16"/>
      <c r="T1491" s="16"/>
      <c r="U1491" s="16"/>
    </row>
    <row r="1492">
      <c r="A1492" s="83"/>
      <c r="B1492" s="83"/>
      <c r="C1492" s="83"/>
      <c r="D1492" s="83"/>
      <c r="E1492" s="83"/>
      <c r="F1492" s="83"/>
      <c r="G1492" s="83"/>
      <c r="H1492" s="83"/>
      <c r="I1492" s="16"/>
      <c r="J1492" s="16"/>
      <c r="K1492" s="16"/>
      <c r="L1492" s="16"/>
      <c r="M1492" s="16"/>
      <c r="N1492" s="16"/>
      <c r="O1492" s="16"/>
      <c r="P1492" s="16"/>
      <c r="Q1492" s="16"/>
      <c r="R1492" s="16"/>
      <c r="S1492" s="16"/>
      <c r="T1492" s="16"/>
      <c r="U1492" s="16"/>
    </row>
    <row r="1493">
      <c r="A1493" s="83"/>
      <c r="B1493" s="83"/>
      <c r="C1493" s="83"/>
      <c r="D1493" s="83"/>
      <c r="E1493" s="83"/>
      <c r="F1493" s="83"/>
      <c r="G1493" s="83"/>
      <c r="H1493" s="83"/>
      <c r="I1493" s="16"/>
      <c r="J1493" s="16"/>
      <c r="K1493" s="16"/>
      <c r="L1493" s="16"/>
      <c r="M1493" s="16"/>
      <c r="N1493" s="16"/>
      <c r="O1493" s="16"/>
      <c r="P1493" s="16"/>
      <c r="Q1493" s="16"/>
      <c r="R1493" s="16"/>
      <c r="S1493" s="16"/>
      <c r="T1493" s="16"/>
      <c r="U1493" s="16"/>
    </row>
    <row r="1494">
      <c r="A1494" s="83"/>
      <c r="B1494" s="83"/>
      <c r="C1494" s="83"/>
      <c r="D1494" s="83"/>
      <c r="E1494" s="83"/>
      <c r="F1494" s="83"/>
      <c r="G1494" s="83"/>
      <c r="H1494" s="83"/>
      <c r="I1494" s="16"/>
      <c r="J1494" s="16"/>
      <c r="K1494" s="16"/>
      <c r="L1494" s="16"/>
      <c r="M1494" s="16"/>
      <c r="N1494" s="16"/>
      <c r="O1494" s="16"/>
      <c r="P1494" s="16"/>
      <c r="Q1494" s="16"/>
      <c r="R1494" s="16"/>
      <c r="S1494" s="16"/>
      <c r="T1494" s="16"/>
      <c r="U1494" s="16"/>
    </row>
    <row r="1495">
      <c r="A1495" s="83"/>
      <c r="B1495" s="83"/>
      <c r="C1495" s="83"/>
      <c r="D1495" s="83"/>
      <c r="E1495" s="83"/>
      <c r="F1495" s="83"/>
      <c r="G1495" s="83"/>
      <c r="H1495" s="83"/>
      <c r="I1495" s="16"/>
      <c r="J1495" s="16"/>
      <c r="K1495" s="16"/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</row>
    <row r="1496">
      <c r="A1496" s="83"/>
      <c r="B1496" s="83"/>
      <c r="C1496" s="83"/>
      <c r="D1496" s="83"/>
      <c r="E1496" s="83"/>
      <c r="F1496" s="83"/>
      <c r="G1496" s="83"/>
      <c r="H1496" s="83"/>
      <c r="I1496" s="16"/>
      <c r="J1496" s="16"/>
      <c r="K1496" s="16"/>
      <c r="L1496" s="16"/>
      <c r="M1496" s="16"/>
      <c r="N1496" s="16"/>
      <c r="O1496" s="16"/>
      <c r="P1496" s="16"/>
      <c r="Q1496" s="16"/>
      <c r="R1496" s="16"/>
      <c r="S1496" s="16"/>
      <c r="T1496" s="16"/>
      <c r="U1496" s="16"/>
    </row>
    <row r="1497">
      <c r="A1497" s="83"/>
      <c r="B1497" s="83"/>
      <c r="C1497" s="83"/>
      <c r="D1497" s="83"/>
      <c r="E1497" s="83"/>
      <c r="F1497" s="83"/>
      <c r="G1497" s="83"/>
      <c r="H1497" s="83"/>
      <c r="I1497" s="16"/>
      <c r="J1497" s="16"/>
      <c r="K1497" s="16"/>
      <c r="L1497" s="16"/>
      <c r="M1497" s="16"/>
      <c r="N1497" s="16"/>
      <c r="O1497" s="16"/>
      <c r="P1497" s="16"/>
      <c r="Q1497" s="16"/>
      <c r="R1497" s="16"/>
      <c r="S1497" s="16"/>
      <c r="T1497" s="16"/>
      <c r="U1497" s="16"/>
    </row>
    <row r="1498">
      <c r="A1498" s="83"/>
      <c r="B1498" s="83"/>
      <c r="C1498" s="83"/>
      <c r="D1498" s="83"/>
      <c r="E1498" s="83"/>
      <c r="F1498" s="83"/>
      <c r="G1498" s="83"/>
      <c r="H1498" s="83"/>
      <c r="I1498" s="16"/>
      <c r="J1498" s="16"/>
      <c r="K1498" s="16"/>
      <c r="L1498" s="16"/>
      <c r="M1498" s="16"/>
      <c r="N1498" s="16"/>
      <c r="O1498" s="16"/>
      <c r="P1498" s="16"/>
      <c r="Q1498" s="16"/>
      <c r="R1498" s="16"/>
      <c r="S1498" s="16"/>
      <c r="T1498" s="16"/>
      <c r="U1498" s="16"/>
    </row>
    <row r="1499">
      <c r="A1499" s="83"/>
      <c r="B1499" s="83"/>
      <c r="C1499" s="83"/>
      <c r="D1499" s="83"/>
      <c r="E1499" s="83"/>
      <c r="F1499" s="83"/>
      <c r="G1499" s="83"/>
      <c r="H1499" s="83"/>
      <c r="I1499" s="16"/>
      <c r="J1499" s="16"/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16"/>
    </row>
    <row r="1500">
      <c r="A1500" s="83"/>
      <c r="B1500" s="83"/>
      <c r="C1500" s="83"/>
      <c r="D1500" s="83"/>
      <c r="E1500" s="83"/>
      <c r="F1500" s="83"/>
      <c r="G1500" s="83"/>
      <c r="H1500" s="83"/>
      <c r="I1500" s="16"/>
      <c r="J1500" s="16"/>
      <c r="K1500" s="16"/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</row>
    <row r="1501">
      <c r="A1501" s="83"/>
      <c r="B1501" s="83"/>
      <c r="C1501" s="83"/>
      <c r="D1501" s="83"/>
      <c r="E1501" s="83"/>
      <c r="F1501" s="83"/>
      <c r="G1501" s="83"/>
      <c r="H1501" s="83"/>
      <c r="I1501" s="16"/>
      <c r="J1501" s="16"/>
      <c r="K1501" s="16"/>
      <c r="L1501" s="16"/>
      <c r="M1501" s="16"/>
      <c r="N1501" s="16"/>
      <c r="O1501" s="16"/>
      <c r="P1501" s="16"/>
      <c r="Q1501" s="16"/>
      <c r="R1501" s="16"/>
      <c r="S1501" s="16"/>
      <c r="T1501" s="16"/>
      <c r="U1501" s="16"/>
    </row>
    <row r="1502">
      <c r="A1502" s="83"/>
      <c r="B1502" s="83"/>
      <c r="C1502" s="83"/>
      <c r="D1502" s="83"/>
      <c r="E1502" s="83"/>
      <c r="F1502" s="83"/>
      <c r="G1502" s="83"/>
      <c r="H1502" s="83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25"/>
    <col customWidth="1" min="2" max="2" width="39.5"/>
    <col customWidth="1" min="3" max="3" width="10.38"/>
    <col customWidth="1" min="4" max="4" width="13.13"/>
    <col customWidth="1" min="5" max="5" width="10.38"/>
    <col customWidth="1" min="6" max="6" width="11.38"/>
    <col customWidth="1" min="7" max="7" width="14.63"/>
    <col customWidth="1" min="8" max="8" width="13.75"/>
    <col customWidth="1" min="9" max="9" width="14.0"/>
    <col customWidth="1" min="10" max="11" width="11.38"/>
  </cols>
  <sheetData>
    <row r="1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/>
    </row>
    <row r="2">
      <c r="A2" s="10"/>
      <c r="B2" s="12"/>
      <c r="C2" s="13"/>
      <c r="D2" s="14"/>
      <c r="E2" s="13"/>
      <c r="F2" s="15"/>
      <c r="G2" s="15">
        <v>0.06</v>
      </c>
      <c r="H2" s="15"/>
      <c r="I2" s="15"/>
      <c r="J2" s="11"/>
      <c r="K2" s="15"/>
    </row>
    <row r="3">
      <c r="A3" s="10"/>
      <c r="B3" s="12" t="s">
        <v>10</v>
      </c>
      <c r="C3" s="13"/>
      <c r="D3" s="14">
        <v>0.24</v>
      </c>
      <c r="E3" s="13">
        <v>190.0</v>
      </c>
      <c r="F3" s="15">
        <v>188.6</v>
      </c>
      <c r="G3" s="15"/>
      <c r="H3" s="15"/>
      <c r="I3" s="15">
        <f t="shared" ref="I3:I4" si="1">E3-F3</f>
        <v>1.4</v>
      </c>
      <c r="J3" s="11">
        <f t="shared" ref="J3:J4" si="2">(E3-F3)/E3</f>
        <v>0.007368421053</v>
      </c>
      <c r="K3" s="15"/>
    </row>
    <row r="4">
      <c r="A4" s="12"/>
      <c r="B4" s="12" t="s">
        <v>19</v>
      </c>
      <c r="C4" s="13"/>
      <c r="D4" s="13">
        <v>0.38</v>
      </c>
      <c r="E4" s="13">
        <v>120.0</v>
      </c>
      <c r="F4" s="15">
        <v>110.31</v>
      </c>
      <c r="G4" s="15"/>
      <c r="H4" s="15"/>
      <c r="I4" s="15">
        <f t="shared" si="1"/>
        <v>9.69</v>
      </c>
      <c r="J4" s="11">
        <f t="shared" si="2"/>
        <v>0.08075</v>
      </c>
      <c r="K4" s="15"/>
    </row>
    <row r="5">
      <c r="A5" s="12" t="s">
        <v>24</v>
      </c>
      <c r="B5" s="12"/>
      <c r="C5" s="13"/>
      <c r="D5" s="13"/>
      <c r="E5" s="13">
        <f t="shared" ref="E5:F5" si="3">sum(E3:E4)</f>
        <v>310</v>
      </c>
      <c r="F5" s="13">
        <f t="shared" si="3"/>
        <v>298.91</v>
      </c>
      <c r="G5" s="35">
        <f t="shared" ref="G5:H5" si="4">(E5*$G$2)+E5</f>
        <v>328.6</v>
      </c>
      <c r="H5" s="15">
        <f t="shared" si="4"/>
        <v>316.8446</v>
      </c>
      <c r="I5" s="41">
        <f t="shared" ref="I5:I6" si="5">G5-H5</f>
        <v>11.7554</v>
      </c>
      <c r="J5" s="11">
        <f t="shared" ref="J5:J6" si="6">(G5-H5)/G5</f>
        <v>0.03577419355</v>
      </c>
      <c r="K5" s="15"/>
    </row>
    <row r="6">
      <c r="A6" s="12"/>
      <c r="B6" s="12"/>
      <c r="C6" s="13"/>
      <c r="D6" s="13"/>
      <c r="E6" s="13">
        <v>332.12</v>
      </c>
      <c r="F6" s="13">
        <v>298.91</v>
      </c>
      <c r="G6" s="15">
        <f>(E6*G2)+E6</f>
        <v>352.0472</v>
      </c>
      <c r="H6" s="15">
        <f>(F6*$G$2)+F6</f>
        <v>316.8446</v>
      </c>
      <c r="I6" s="41">
        <f t="shared" si="5"/>
        <v>35.2026</v>
      </c>
      <c r="J6" s="11">
        <f t="shared" si="6"/>
        <v>0.09999397808</v>
      </c>
      <c r="K6" s="15"/>
    </row>
    <row r="7">
      <c r="A7" s="12"/>
      <c r="B7" s="12"/>
      <c r="C7" s="13"/>
      <c r="D7" s="13"/>
      <c r="E7" s="13"/>
      <c r="F7" s="15"/>
      <c r="G7" s="15"/>
      <c r="H7" s="15"/>
      <c r="I7" s="15"/>
      <c r="J7" s="11"/>
      <c r="K7" s="15"/>
    </row>
    <row r="8">
      <c r="A8" s="12"/>
      <c r="B8" s="12"/>
      <c r="C8" s="37"/>
      <c r="D8" s="37"/>
      <c r="E8" s="37"/>
      <c r="F8" s="15"/>
      <c r="G8" s="15"/>
      <c r="H8" s="15"/>
      <c r="I8" s="15"/>
      <c r="J8" s="11"/>
      <c r="K8" s="15"/>
    </row>
    <row r="9">
      <c r="A9" s="12"/>
      <c r="B9" s="12"/>
      <c r="C9" s="13"/>
      <c r="D9" s="13"/>
      <c r="E9" s="13"/>
      <c r="F9" s="15"/>
      <c r="G9" s="15"/>
      <c r="H9" s="15"/>
      <c r="I9" s="15"/>
      <c r="J9" s="11"/>
      <c r="K9" s="15"/>
    </row>
    <row r="10">
      <c r="A10" s="12"/>
      <c r="B10" s="12"/>
      <c r="C10" s="13"/>
      <c r="D10" s="13"/>
      <c r="E10" s="13"/>
      <c r="F10" s="15"/>
      <c r="G10" s="15"/>
      <c r="H10" s="15"/>
      <c r="I10" s="15"/>
      <c r="J10" s="11"/>
      <c r="K10" s="15"/>
    </row>
    <row r="11">
      <c r="A11" s="12"/>
      <c r="B11" s="12"/>
      <c r="C11" s="37"/>
      <c r="D11" s="37"/>
      <c r="E11" s="37"/>
      <c r="F11" s="15"/>
      <c r="G11" s="15"/>
      <c r="H11" s="15"/>
      <c r="I11" s="15"/>
      <c r="J11" s="11"/>
      <c r="K11" s="15"/>
    </row>
    <row r="12">
      <c r="A12" s="12"/>
      <c r="B12" s="12"/>
      <c r="C12" s="13"/>
      <c r="D12" s="13"/>
      <c r="E12" s="13"/>
      <c r="F12" s="15"/>
      <c r="G12" s="15"/>
      <c r="H12" s="15"/>
      <c r="I12" s="15"/>
      <c r="J12" s="11"/>
      <c r="K12" s="15"/>
    </row>
    <row r="13">
      <c r="A13" s="12"/>
      <c r="B13" s="12"/>
      <c r="C13" s="13"/>
      <c r="D13" s="13"/>
      <c r="E13" s="13"/>
      <c r="F13" s="15"/>
      <c r="G13" s="15"/>
      <c r="H13" s="15"/>
      <c r="I13" s="15"/>
      <c r="J13" s="11"/>
      <c r="K13" s="15"/>
    </row>
    <row r="14">
      <c r="A14" s="28"/>
      <c r="B14" s="12"/>
      <c r="C14" s="13"/>
      <c r="D14" s="13"/>
      <c r="E14" s="13"/>
      <c r="F14" s="46"/>
      <c r="G14" s="46"/>
      <c r="H14" s="46"/>
      <c r="I14" s="46"/>
      <c r="J14" s="49"/>
      <c r="K14" s="46"/>
    </row>
    <row r="15">
      <c r="A15" s="28"/>
      <c r="B15" s="28"/>
      <c r="C15" s="37"/>
      <c r="D15" s="37"/>
      <c r="E15" s="37"/>
      <c r="F15" s="46"/>
      <c r="G15" s="46"/>
      <c r="H15" s="46"/>
      <c r="I15" s="46"/>
      <c r="J15" s="49"/>
      <c r="K15" s="46"/>
    </row>
    <row r="16">
      <c r="A16" s="28"/>
      <c r="B16" s="28"/>
      <c r="C16" s="37"/>
      <c r="D16" s="37"/>
      <c r="E16" s="37"/>
      <c r="F16" s="46"/>
      <c r="G16" s="46"/>
      <c r="H16" s="46"/>
      <c r="I16" s="46"/>
      <c r="J16" s="49"/>
      <c r="K16" s="46"/>
    </row>
    <row r="17">
      <c r="A17" s="28"/>
      <c r="B17" s="28"/>
      <c r="C17" s="37"/>
      <c r="D17" s="37"/>
      <c r="E17" s="37"/>
      <c r="F17" s="46"/>
      <c r="G17" s="46"/>
      <c r="H17" s="46"/>
      <c r="I17" s="46"/>
      <c r="J17" s="49"/>
      <c r="K17" s="46"/>
    </row>
    <row r="18">
      <c r="A18" s="28"/>
      <c r="B18" s="28"/>
      <c r="C18" s="37"/>
      <c r="D18" s="37"/>
      <c r="E18" s="37"/>
      <c r="F18" s="46"/>
      <c r="G18" s="46"/>
      <c r="H18" s="46"/>
      <c r="I18" s="46"/>
      <c r="J18" s="49"/>
      <c r="K18" s="46"/>
    </row>
    <row r="19">
      <c r="A19" s="28"/>
      <c r="B19" s="28"/>
      <c r="C19" s="37"/>
      <c r="D19" s="37"/>
      <c r="E19" s="37"/>
      <c r="F19" s="46"/>
      <c r="G19" s="46"/>
      <c r="H19" s="46"/>
      <c r="I19" s="46"/>
      <c r="J19" s="49"/>
      <c r="K19" s="46"/>
    </row>
    <row r="20">
      <c r="A20" s="28"/>
      <c r="B20" s="28"/>
      <c r="C20" s="37"/>
      <c r="D20" s="37"/>
      <c r="E20" s="37"/>
      <c r="F20" s="46"/>
      <c r="G20" s="46"/>
      <c r="H20" s="46"/>
      <c r="I20" s="46"/>
      <c r="J20" s="49"/>
      <c r="K20" s="46"/>
    </row>
    <row r="21">
      <c r="A21" s="28"/>
      <c r="B21" s="28"/>
      <c r="C21" s="37"/>
      <c r="D21" s="37"/>
      <c r="E21" s="37"/>
      <c r="F21" s="46"/>
      <c r="G21" s="46"/>
      <c r="H21" s="46"/>
      <c r="I21" s="46"/>
      <c r="J21" s="49"/>
      <c r="K21" s="46"/>
    </row>
    <row r="22">
      <c r="A22" s="28"/>
      <c r="B22" s="28"/>
      <c r="C22" s="37"/>
      <c r="D22" s="37"/>
      <c r="E22" s="37"/>
      <c r="F22" s="46"/>
      <c r="G22" s="46"/>
      <c r="H22" s="46"/>
      <c r="I22" s="46"/>
      <c r="J22" s="49"/>
      <c r="K22" s="46"/>
    </row>
    <row r="23">
      <c r="A23" s="28"/>
      <c r="B23" s="28"/>
      <c r="C23" s="37"/>
      <c r="D23" s="37"/>
      <c r="E23" s="37"/>
      <c r="F23" s="46"/>
      <c r="G23" s="46"/>
      <c r="H23" s="46"/>
      <c r="I23" s="46"/>
      <c r="J23" s="49"/>
      <c r="K23" s="46"/>
    </row>
    <row r="24">
      <c r="A24" s="28"/>
      <c r="B24" s="28"/>
      <c r="C24" s="37"/>
      <c r="D24" s="37"/>
      <c r="E24" s="37"/>
      <c r="F24" s="46"/>
      <c r="G24" s="46"/>
      <c r="H24" s="46"/>
      <c r="I24" s="46"/>
      <c r="J24" s="49"/>
      <c r="K24" s="46"/>
    </row>
    <row r="25">
      <c r="A25" s="28"/>
      <c r="B25" s="28"/>
      <c r="C25" s="37"/>
      <c r="D25" s="37"/>
      <c r="E25" s="37"/>
      <c r="F25" s="46"/>
      <c r="G25" s="46"/>
      <c r="H25" s="46"/>
      <c r="I25" s="46"/>
      <c r="J25" s="49"/>
      <c r="K25" s="46"/>
    </row>
    <row r="26">
      <c r="A26" s="28"/>
      <c r="B26" s="28"/>
      <c r="C26" s="37"/>
      <c r="D26" s="37"/>
      <c r="E26" s="37"/>
      <c r="F26" s="46"/>
      <c r="G26" s="46"/>
      <c r="H26" s="46"/>
      <c r="I26" s="46"/>
      <c r="J26" s="49"/>
      <c r="K26" s="46"/>
    </row>
    <row r="27">
      <c r="A27" s="28"/>
      <c r="B27" s="28"/>
      <c r="C27" s="37"/>
      <c r="D27" s="37"/>
      <c r="E27" s="37"/>
      <c r="F27" s="46"/>
      <c r="G27" s="46"/>
      <c r="H27" s="46"/>
      <c r="I27" s="46"/>
      <c r="J27" s="49"/>
      <c r="K27" s="46"/>
    </row>
    <row r="28">
      <c r="A28" s="28"/>
      <c r="B28" s="28"/>
      <c r="C28" s="37"/>
      <c r="D28" s="37"/>
      <c r="E28" s="37"/>
      <c r="F28" s="46"/>
      <c r="G28" s="46"/>
      <c r="H28" s="46"/>
      <c r="I28" s="46"/>
      <c r="J28" s="49"/>
      <c r="K28" s="46"/>
    </row>
    <row r="29">
      <c r="A29" s="28"/>
      <c r="B29" s="28"/>
      <c r="C29" s="37"/>
      <c r="D29" s="37"/>
      <c r="E29" s="37"/>
      <c r="F29" s="46"/>
      <c r="G29" s="46"/>
      <c r="H29" s="46"/>
      <c r="I29" s="46"/>
      <c r="J29" s="49"/>
      <c r="K29" s="46"/>
    </row>
    <row r="30">
      <c r="A30" s="28"/>
      <c r="B30" s="28"/>
      <c r="C30" s="37"/>
      <c r="D30" s="37"/>
      <c r="E30" s="37"/>
      <c r="F30" s="46"/>
      <c r="G30" s="46"/>
      <c r="H30" s="46"/>
      <c r="I30" s="46"/>
      <c r="J30" s="49"/>
      <c r="K30" s="46"/>
    </row>
    <row r="31">
      <c r="A31" s="28"/>
      <c r="B31" s="28"/>
      <c r="C31" s="37"/>
      <c r="D31" s="37"/>
      <c r="E31" s="37"/>
      <c r="F31" s="46"/>
      <c r="G31" s="46"/>
      <c r="H31" s="46"/>
      <c r="I31" s="46"/>
      <c r="J31" s="49"/>
      <c r="K31" s="46"/>
    </row>
    <row r="32">
      <c r="A32" s="28"/>
      <c r="B32" s="28"/>
      <c r="C32" s="37"/>
      <c r="D32" s="37"/>
      <c r="E32" s="37"/>
      <c r="F32" s="46"/>
      <c r="G32" s="46"/>
      <c r="H32" s="46"/>
      <c r="I32" s="46"/>
      <c r="J32" s="49"/>
      <c r="K32" s="46"/>
    </row>
    <row r="33">
      <c r="A33" s="28"/>
      <c r="B33" s="28"/>
      <c r="C33" s="37"/>
      <c r="D33" s="37"/>
      <c r="E33" s="37"/>
      <c r="F33" s="46"/>
      <c r="G33" s="46"/>
      <c r="H33" s="46"/>
      <c r="I33" s="46"/>
      <c r="J33" s="49"/>
      <c r="K33" s="46"/>
    </row>
    <row r="34">
      <c r="A34" s="28"/>
      <c r="B34" s="28"/>
      <c r="C34" s="37"/>
      <c r="D34" s="37"/>
      <c r="E34" s="37"/>
      <c r="F34" s="46"/>
      <c r="G34" s="46"/>
      <c r="H34" s="46"/>
      <c r="I34" s="46"/>
      <c r="J34" s="49"/>
      <c r="K34" s="46"/>
    </row>
    <row r="35">
      <c r="A35" s="28"/>
      <c r="B35" s="28"/>
      <c r="C35" s="37"/>
      <c r="D35" s="37"/>
      <c r="E35" s="37"/>
      <c r="F35" s="46"/>
      <c r="G35" s="46"/>
      <c r="H35" s="46"/>
      <c r="I35" s="46"/>
      <c r="J35" s="49"/>
      <c r="K35" s="46"/>
    </row>
    <row r="36">
      <c r="A36" s="28"/>
      <c r="B36" s="28"/>
      <c r="C36" s="37"/>
      <c r="D36" s="37"/>
      <c r="E36" s="37"/>
      <c r="F36" s="46"/>
      <c r="G36" s="46"/>
      <c r="H36" s="46"/>
      <c r="I36" s="46"/>
      <c r="J36" s="49"/>
      <c r="K36" s="46"/>
    </row>
    <row r="37">
      <c r="A37" s="28"/>
      <c r="B37" s="28"/>
      <c r="C37" s="37"/>
      <c r="D37" s="37"/>
      <c r="E37" s="37"/>
      <c r="F37" s="46"/>
      <c r="G37" s="46"/>
      <c r="H37" s="46"/>
      <c r="I37" s="46"/>
      <c r="J37" s="49"/>
      <c r="K37" s="46"/>
    </row>
    <row r="38">
      <c r="A38" s="28"/>
      <c r="B38" s="28"/>
      <c r="C38" s="37"/>
      <c r="D38" s="37"/>
      <c r="E38" s="37"/>
      <c r="F38" s="46"/>
      <c r="G38" s="46"/>
      <c r="H38" s="46"/>
      <c r="I38" s="46"/>
      <c r="J38" s="49"/>
      <c r="K38" s="46"/>
    </row>
    <row r="39">
      <c r="A39" s="28"/>
      <c r="B39" s="28"/>
      <c r="C39" s="37"/>
      <c r="D39" s="37"/>
      <c r="E39" s="37"/>
      <c r="F39" s="46"/>
      <c r="G39" s="46"/>
      <c r="H39" s="46"/>
      <c r="I39" s="46"/>
      <c r="J39" s="49"/>
      <c r="K39" s="46"/>
    </row>
    <row r="40">
      <c r="A40" s="28"/>
      <c r="B40" s="28"/>
      <c r="C40" s="37"/>
      <c r="D40" s="37"/>
      <c r="E40" s="37"/>
      <c r="F40" s="46"/>
      <c r="G40" s="46"/>
      <c r="H40" s="46"/>
      <c r="I40" s="46"/>
      <c r="J40" s="49"/>
      <c r="K40" s="46"/>
    </row>
    <row r="41">
      <c r="A41" s="28"/>
      <c r="B41" s="28"/>
      <c r="C41" s="37"/>
      <c r="D41" s="37"/>
      <c r="E41" s="37"/>
      <c r="F41" s="46"/>
      <c r="G41" s="46"/>
      <c r="H41" s="46"/>
      <c r="I41" s="46"/>
      <c r="J41" s="49"/>
      <c r="K41" s="46"/>
    </row>
    <row r="42">
      <c r="A42" s="28"/>
      <c r="B42" s="28"/>
      <c r="C42" s="37"/>
      <c r="D42" s="37"/>
      <c r="E42" s="37"/>
      <c r="F42" s="46"/>
      <c r="G42" s="46"/>
      <c r="H42" s="46"/>
      <c r="I42" s="46"/>
      <c r="J42" s="49"/>
      <c r="K42" s="46"/>
    </row>
    <row r="43">
      <c r="A43" s="28"/>
      <c r="B43" s="28"/>
      <c r="C43" s="37"/>
      <c r="D43" s="37"/>
      <c r="E43" s="37"/>
      <c r="F43" s="46"/>
      <c r="G43" s="46"/>
      <c r="H43" s="46"/>
      <c r="I43" s="46"/>
      <c r="J43" s="49"/>
      <c r="K43" s="46"/>
    </row>
    <row r="44">
      <c r="A44" s="28"/>
      <c r="B44" s="28"/>
      <c r="C44" s="37"/>
      <c r="D44" s="37"/>
      <c r="E44" s="37"/>
      <c r="F44" s="46"/>
      <c r="G44" s="46"/>
      <c r="H44" s="46"/>
      <c r="I44" s="46"/>
      <c r="J44" s="49"/>
      <c r="K44" s="46"/>
    </row>
    <row r="45">
      <c r="A45" s="28"/>
      <c r="B45" s="28"/>
      <c r="C45" s="37"/>
      <c r="D45" s="37"/>
      <c r="E45" s="37"/>
      <c r="F45" s="46"/>
      <c r="G45" s="46"/>
      <c r="H45" s="46"/>
      <c r="I45" s="46"/>
      <c r="J45" s="49"/>
      <c r="K45" s="46"/>
    </row>
    <row r="46">
      <c r="A46" s="28"/>
      <c r="B46" s="28"/>
      <c r="C46" s="37"/>
      <c r="D46" s="37"/>
      <c r="E46" s="37"/>
      <c r="F46" s="46"/>
      <c r="G46" s="46"/>
      <c r="H46" s="46"/>
      <c r="I46" s="46"/>
      <c r="J46" s="49"/>
      <c r="K46" s="46"/>
    </row>
    <row r="47">
      <c r="A47" s="28"/>
      <c r="B47" s="28"/>
      <c r="C47" s="37"/>
      <c r="D47" s="37"/>
      <c r="E47" s="37"/>
      <c r="F47" s="46"/>
      <c r="G47" s="46"/>
      <c r="H47" s="46"/>
      <c r="I47" s="46"/>
      <c r="J47" s="49"/>
      <c r="K47" s="46"/>
    </row>
    <row r="48">
      <c r="A48" s="28"/>
      <c r="B48" s="28"/>
      <c r="C48" s="37"/>
      <c r="D48" s="37"/>
      <c r="E48" s="37"/>
      <c r="F48" s="46"/>
      <c r="G48" s="46"/>
      <c r="H48" s="46"/>
      <c r="I48" s="46"/>
      <c r="J48" s="49"/>
      <c r="K48" s="46"/>
    </row>
    <row r="49">
      <c r="A49" s="28"/>
      <c r="B49" s="28"/>
      <c r="C49" s="37"/>
      <c r="D49" s="37"/>
      <c r="E49" s="37"/>
      <c r="F49" s="46"/>
      <c r="G49" s="46"/>
      <c r="H49" s="46"/>
      <c r="I49" s="46"/>
      <c r="J49" s="49"/>
      <c r="K49" s="46"/>
    </row>
    <row r="50">
      <c r="A50" s="17"/>
      <c r="B50" s="17"/>
      <c r="C50" s="51"/>
      <c r="D50" s="51"/>
      <c r="E50" s="51"/>
      <c r="F50" s="52"/>
      <c r="G50" s="52"/>
      <c r="H50" s="52"/>
      <c r="I50" s="52"/>
      <c r="J50" s="53"/>
      <c r="K50" s="52"/>
    </row>
    <row r="51">
      <c r="A51" s="17"/>
      <c r="B51" s="17"/>
      <c r="C51" s="51"/>
      <c r="D51" s="51"/>
      <c r="E51" s="51"/>
      <c r="F51" s="52"/>
      <c r="G51" s="52"/>
      <c r="H51" s="52"/>
      <c r="I51" s="52"/>
      <c r="J51" s="53"/>
      <c r="K51" s="52"/>
    </row>
    <row r="52">
      <c r="A52" s="17"/>
      <c r="B52" s="17"/>
      <c r="C52" s="51"/>
      <c r="D52" s="51"/>
      <c r="E52" s="51"/>
      <c r="F52" s="52"/>
      <c r="G52" s="52"/>
      <c r="H52" s="52"/>
      <c r="I52" s="52"/>
      <c r="J52" s="53"/>
      <c r="K52" s="52"/>
    </row>
    <row r="53">
      <c r="A53" s="17"/>
      <c r="B53" s="17"/>
      <c r="C53" s="51"/>
      <c r="D53" s="51"/>
      <c r="E53" s="51"/>
      <c r="F53" s="52"/>
      <c r="G53" s="52"/>
      <c r="H53" s="52"/>
      <c r="I53" s="52"/>
      <c r="J53" s="53"/>
      <c r="K53" s="52"/>
    </row>
    <row r="54">
      <c r="A54" s="17"/>
      <c r="B54" s="17"/>
      <c r="C54" s="51"/>
      <c r="D54" s="51"/>
      <c r="E54" s="51"/>
      <c r="F54" s="52"/>
      <c r="G54" s="52"/>
      <c r="H54" s="52"/>
      <c r="I54" s="52"/>
      <c r="J54" s="53"/>
      <c r="K54" s="52"/>
    </row>
    <row r="55">
      <c r="A55" s="17"/>
      <c r="B55" s="17"/>
      <c r="C55" s="51"/>
      <c r="D55" s="51"/>
      <c r="E55" s="51"/>
      <c r="F55" s="52"/>
      <c r="G55" s="52"/>
      <c r="H55" s="52"/>
      <c r="I55" s="52"/>
      <c r="J55" s="53"/>
      <c r="K55" s="52"/>
    </row>
    <row r="56">
      <c r="A56" s="17"/>
      <c r="B56" s="17"/>
      <c r="C56" s="51"/>
      <c r="D56" s="51"/>
      <c r="E56" s="51"/>
      <c r="F56" s="52"/>
      <c r="G56" s="52"/>
      <c r="H56" s="52"/>
      <c r="I56" s="52"/>
      <c r="J56" s="53"/>
      <c r="K56" s="52"/>
    </row>
    <row r="57">
      <c r="A57" s="17"/>
      <c r="B57" s="17"/>
      <c r="C57" s="51"/>
      <c r="D57" s="51"/>
      <c r="E57" s="51"/>
      <c r="F57" s="52"/>
      <c r="G57" s="52"/>
      <c r="H57" s="52"/>
      <c r="I57" s="52"/>
      <c r="J57" s="53"/>
      <c r="K57" s="52"/>
    </row>
    <row r="58">
      <c r="A58" s="17"/>
      <c r="B58" s="17"/>
      <c r="C58" s="51"/>
      <c r="D58" s="51"/>
      <c r="E58" s="51"/>
      <c r="F58" s="52"/>
      <c r="G58" s="52"/>
      <c r="H58" s="52"/>
      <c r="I58" s="52"/>
      <c r="J58" s="53"/>
      <c r="K58" s="52"/>
    </row>
    <row r="59">
      <c r="A59" s="17"/>
      <c r="B59" s="17"/>
      <c r="C59" s="51"/>
      <c r="D59" s="51"/>
      <c r="E59" s="51"/>
      <c r="F59" s="52"/>
      <c r="G59" s="52"/>
      <c r="H59" s="52"/>
      <c r="I59" s="52"/>
      <c r="J59" s="53"/>
      <c r="K59" s="52"/>
    </row>
    <row r="60">
      <c r="A60" s="17"/>
      <c r="B60" s="17"/>
      <c r="C60" s="51"/>
      <c r="D60" s="51"/>
      <c r="E60" s="51"/>
      <c r="F60" s="52"/>
      <c r="G60" s="52"/>
      <c r="H60" s="52"/>
      <c r="I60" s="52"/>
      <c r="J60" s="53"/>
      <c r="K60" s="52"/>
    </row>
    <row r="61">
      <c r="A61" s="17"/>
      <c r="B61" s="17"/>
      <c r="C61" s="51"/>
      <c r="D61" s="51"/>
      <c r="E61" s="51"/>
      <c r="F61" s="52"/>
      <c r="G61" s="52"/>
      <c r="H61" s="52"/>
      <c r="I61" s="52"/>
      <c r="J61" s="53"/>
      <c r="K61" s="52"/>
    </row>
    <row r="62">
      <c r="A62" s="17"/>
      <c r="B62" s="17"/>
      <c r="C62" s="51"/>
      <c r="D62" s="51"/>
      <c r="E62" s="51"/>
      <c r="F62" s="52"/>
      <c r="G62" s="52"/>
      <c r="H62" s="52"/>
      <c r="I62" s="52"/>
      <c r="J62" s="53"/>
      <c r="K62" s="52"/>
    </row>
    <row r="63">
      <c r="A63" s="17"/>
      <c r="B63" s="17"/>
      <c r="C63" s="51"/>
      <c r="D63" s="51"/>
      <c r="E63" s="51"/>
      <c r="F63" s="52"/>
      <c r="G63" s="52"/>
      <c r="H63" s="52"/>
      <c r="I63" s="52"/>
      <c r="J63" s="53"/>
      <c r="K63" s="52"/>
    </row>
    <row r="64">
      <c r="A64" s="17"/>
      <c r="B64" s="17"/>
      <c r="C64" s="51"/>
      <c r="D64" s="51"/>
      <c r="E64" s="51"/>
      <c r="F64" s="52"/>
      <c r="G64" s="52"/>
      <c r="H64" s="52"/>
      <c r="I64" s="52"/>
      <c r="J64" s="53"/>
      <c r="K64" s="52"/>
    </row>
    <row r="65">
      <c r="A65" s="17"/>
      <c r="B65" s="17"/>
      <c r="C65" s="51"/>
      <c r="D65" s="51"/>
      <c r="E65" s="51"/>
      <c r="F65" s="52"/>
      <c r="G65" s="52"/>
      <c r="H65" s="52"/>
      <c r="I65" s="52"/>
      <c r="J65" s="53"/>
      <c r="K65" s="52"/>
    </row>
    <row r="66">
      <c r="A66" s="17"/>
      <c r="B66" s="17"/>
      <c r="C66" s="51"/>
      <c r="D66" s="51"/>
      <c r="E66" s="51"/>
      <c r="F66" s="52"/>
      <c r="G66" s="52"/>
      <c r="H66" s="52"/>
      <c r="I66" s="52"/>
      <c r="J66" s="53"/>
      <c r="K66" s="52"/>
    </row>
    <row r="67">
      <c r="A67" s="17"/>
      <c r="B67" s="17"/>
      <c r="C67" s="51"/>
      <c r="D67" s="51"/>
      <c r="E67" s="51"/>
      <c r="F67" s="52"/>
      <c r="G67" s="52"/>
      <c r="H67" s="52"/>
      <c r="I67" s="52"/>
      <c r="J67" s="53"/>
      <c r="K67" s="52"/>
    </row>
    <row r="68">
      <c r="A68" s="17"/>
      <c r="B68" s="17"/>
      <c r="C68" s="51"/>
      <c r="D68" s="51"/>
      <c r="E68" s="51"/>
      <c r="F68" s="52"/>
      <c r="G68" s="52"/>
      <c r="H68" s="52"/>
      <c r="I68" s="52"/>
      <c r="J68" s="53"/>
      <c r="K68" s="52"/>
    </row>
    <row r="69">
      <c r="A69" s="17"/>
      <c r="B69" s="17"/>
      <c r="C69" s="51"/>
      <c r="D69" s="51"/>
      <c r="E69" s="51"/>
      <c r="F69" s="52"/>
      <c r="G69" s="52"/>
      <c r="H69" s="52"/>
      <c r="I69" s="52"/>
      <c r="J69" s="53"/>
      <c r="K69" s="52"/>
    </row>
    <row r="70">
      <c r="A70" s="17"/>
      <c r="B70" s="17"/>
      <c r="C70" s="51"/>
      <c r="D70" s="51"/>
      <c r="E70" s="51"/>
      <c r="F70" s="52"/>
      <c r="G70" s="52"/>
      <c r="H70" s="52"/>
      <c r="I70" s="52"/>
      <c r="J70" s="53"/>
      <c r="K70" s="52"/>
    </row>
    <row r="71">
      <c r="A71" s="17"/>
      <c r="B71" s="17"/>
      <c r="C71" s="51"/>
      <c r="D71" s="51"/>
      <c r="E71" s="51"/>
      <c r="F71" s="52"/>
      <c r="G71" s="52"/>
      <c r="H71" s="52"/>
      <c r="I71" s="52"/>
      <c r="J71" s="53"/>
      <c r="K71" s="52"/>
    </row>
    <row r="72">
      <c r="A72" s="17"/>
      <c r="B72" s="17"/>
      <c r="C72" s="51"/>
      <c r="D72" s="51"/>
      <c r="E72" s="51"/>
      <c r="F72" s="52"/>
      <c r="G72" s="52"/>
      <c r="H72" s="52"/>
      <c r="I72" s="52"/>
      <c r="J72" s="53"/>
      <c r="K72" s="52"/>
    </row>
    <row r="73">
      <c r="A73" s="17"/>
      <c r="B73" s="17"/>
      <c r="C73" s="51"/>
      <c r="D73" s="51"/>
      <c r="E73" s="51"/>
      <c r="F73" s="52"/>
      <c r="G73" s="52"/>
      <c r="H73" s="52"/>
      <c r="I73" s="52"/>
      <c r="J73" s="53"/>
      <c r="K73" s="52"/>
    </row>
    <row r="74">
      <c r="A74" s="17"/>
      <c r="B74" s="17"/>
      <c r="C74" s="51"/>
      <c r="D74" s="51"/>
      <c r="E74" s="51"/>
      <c r="F74" s="52"/>
      <c r="G74" s="52"/>
      <c r="H74" s="52"/>
      <c r="I74" s="52"/>
      <c r="J74" s="53"/>
      <c r="K74" s="52"/>
    </row>
    <row r="75">
      <c r="A75" s="17"/>
      <c r="B75" s="17"/>
      <c r="C75" s="51"/>
      <c r="D75" s="51"/>
      <c r="E75" s="51"/>
      <c r="F75" s="52"/>
      <c r="G75" s="52"/>
      <c r="H75" s="52"/>
      <c r="I75" s="52"/>
      <c r="J75" s="53"/>
      <c r="K75" s="52"/>
    </row>
    <row r="76">
      <c r="A76" s="17"/>
      <c r="B76" s="17"/>
      <c r="C76" s="51"/>
      <c r="D76" s="51"/>
      <c r="E76" s="51"/>
      <c r="F76" s="52"/>
      <c r="G76" s="52"/>
      <c r="H76" s="52"/>
      <c r="I76" s="52"/>
      <c r="J76" s="53"/>
      <c r="K76" s="52"/>
    </row>
    <row r="77">
      <c r="A77" s="17"/>
      <c r="B77" s="17"/>
      <c r="C77" s="51"/>
      <c r="D77" s="51"/>
      <c r="E77" s="51"/>
      <c r="F77" s="52"/>
      <c r="G77" s="52"/>
      <c r="H77" s="52"/>
      <c r="I77" s="52"/>
      <c r="J77" s="53"/>
      <c r="K77" s="52"/>
    </row>
    <row r="78">
      <c r="A78" s="17"/>
      <c r="B78" s="17"/>
      <c r="C78" s="51"/>
      <c r="D78" s="51"/>
      <c r="E78" s="51"/>
      <c r="F78" s="52"/>
      <c r="G78" s="52"/>
      <c r="H78" s="52"/>
      <c r="I78" s="52"/>
      <c r="J78" s="53"/>
      <c r="K78" s="52"/>
    </row>
    <row r="79">
      <c r="A79" s="17"/>
      <c r="B79" s="17"/>
      <c r="C79" s="51"/>
      <c r="D79" s="51"/>
      <c r="E79" s="51"/>
      <c r="F79" s="52"/>
      <c r="G79" s="52"/>
      <c r="H79" s="52"/>
      <c r="I79" s="52"/>
      <c r="J79" s="53"/>
      <c r="K79" s="52"/>
    </row>
    <row r="80">
      <c r="A80" s="17"/>
      <c r="B80" s="17"/>
      <c r="C80" s="51"/>
      <c r="D80" s="51"/>
      <c r="E80" s="51"/>
      <c r="F80" s="52"/>
      <c r="G80" s="52"/>
      <c r="H80" s="52"/>
      <c r="I80" s="52"/>
      <c r="J80" s="53"/>
      <c r="K80" s="52"/>
    </row>
    <row r="81">
      <c r="A81" s="17"/>
      <c r="B81" s="17"/>
      <c r="C81" s="51"/>
      <c r="D81" s="51"/>
      <c r="E81" s="51"/>
      <c r="F81" s="52"/>
      <c r="G81" s="52"/>
      <c r="H81" s="52"/>
      <c r="I81" s="52"/>
      <c r="J81" s="53"/>
      <c r="K81" s="52"/>
    </row>
    <row r="82">
      <c r="A82" s="17"/>
      <c r="B82" s="17"/>
      <c r="C82" s="51"/>
      <c r="D82" s="51"/>
      <c r="E82" s="51"/>
      <c r="F82" s="52"/>
      <c r="G82" s="52"/>
      <c r="H82" s="52"/>
      <c r="I82" s="52"/>
      <c r="J82" s="53"/>
      <c r="K82" s="52"/>
    </row>
    <row r="83">
      <c r="A83" s="17"/>
      <c r="B83" s="17"/>
      <c r="C83" s="51"/>
      <c r="D83" s="51"/>
      <c r="E83" s="51"/>
      <c r="F83" s="52"/>
      <c r="G83" s="52"/>
      <c r="H83" s="52"/>
      <c r="I83" s="52"/>
      <c r="J83" s="53"/>
      <c r="K83" s="52"/>
    </row>
    <row r="84">
      <c r="A84" s="17"/>
      <c r="B84" s="17"/>
      <c r="C84" s="51"/>
      <c r="D84" s="51"/>
      <c r="E84" s="51"/>
      <c r="F84" s="52"/>
      <c r="G84" s="52"/>
      <c r="H84" s="52"/>
      <c r="I84" s="52"/>
      <c r="J84" s="53"/>
      <c r="K84" s="52"/>
    </row>
    <row r="85">
      <c r="A85" s="17"/>
      <c r="B85" s="17"/>
      <c r="C85" s="51"/>
      <c r="D85" s="51"/>
      <c r="E85" s="51"/>
      <c r="F85" s="52"/>
      <c r="G85" s="52"/>
      <c r="H85" s="52"/>
      <c r="I85" s="52"/>
      <c r="J85" s="53"/>
      <c r="K85" s="52"/>
    </row>
    <row r="86">
      <c r="A86" s="17"/>
      <c r="B86" s="17"/>
      <c r="C86" s="51"/>
      <c r="D86" s="51"/>
      <c r="E86" s="51"/>
      <c r="F86" s="52"/>
      <c r="G86" s="52"/>
      <c r="H86" s="52"/>
      <c r="I86" s="52"/>
      <c r="J86" s="53"/>
      <c r="K86" s="52"/>
    </row>
    <row r="87">
      <c r="A87" s="17"/>
      <c r="B87" s="17"/>
      <c r="C87" s="51"/>
      <c r="D87" s="51"/>
      <c r="E87" s="51"/>
      <c r="F87" s="52"/>
      <c r="G87" s="52"/>
      <c r="H87" s="52"/>
      <c r="I87" s="52"/>
      <c r="J87" s="53"/>
      <c r="K87" s="52"/>
    </row>
    <row r="88">
      <c r="A88" s="17"/>
      <c r="B88" s="17"/>
      <c r="C88" s="51"/>
      <c r="D88" s="51"/>
      <c r="E88" s="51"/>
      <c r="F88" s="52"/>
      <c r="G88" s="52"/>
      <c r="H88" s="52"/>
      <c r="I88" s="52"/>
      <c r="J88" s="53"/>
      <c r="K88" s="52"/>
    </row>
    <row r="89">
      <c r="A89" s="17"/>
      <c r="B89" s="17"/>
      <c r="C89" s="51"/>
      <c r="D89" s="51"/>
      <c r="E89" s="51"/>
      <c r="F89" s="52"/>
      <c r="G89" s="52"/>
      <c r="H89" s="52"/>
      <c r="I89" s="52"/>
      <c r="J89" s="53"/>
      <c r="K89" s="52"/>
    </row>
    <row r="90">
      <c r="A90" s="17"/>
      <c r="B90" s="17"/>
      <c r="C90" s="51"/>
      <c r="D90" s="51"/>
      <c r="E90" s="51"/>
      <c r="F90" s="52"/>
      <c r="G90" s="52"/>
      <c r="H90" s="52"/>
      <c r="I90" s="52"/>
      <c r="J90" s="53"/>
      <c r="K90" s="52"/>
    </row>
    <row r="91">
      <c r="A91" s="17"/>
      <c r="B91" s="17"/>
      <c r="C91" s="51"/>
      <c r="D91" s="51"/>
      <c r="E91" s="51"/>
      <c r="F91" s="52"/>
      <c r="G91" s="52"/>
      <c r="H91" s="52"/>
      <c r="I91" s="52"/>
      <c r="J91" s="53"/>
      <c r="K91" s="52"/>
    </row>
    <row r="92">
      <c r="A92" s="17"/>
      <c r="B92" s="17"/>
      <c r="C92" s="51"/>
      <c r="D92" s="51"/>
      <c r="E92" s="51"/>
      <c r="F92" s="52"/>
      <c r="G92" s="52"/>
      <c r="H92" s="52"/>
      <c r="I92" s="52"/>
      <c r="J92" s="53"/>
      <c r="K92" s="52"/>
    </row>
    <row r="93">
      <c r="A93" s="17"/>
      <c r="B93" s="17"/>
      <c r="C93" s="51"/>
      <c r="D93" s="51"/>
      <c r="E93" s="51"/>
      <c r="F93" s="52"/>
      <c r="G93" s="52"/>
      <c r="H93" s="52"/>
      <c r="I93" s="52"/>
      <c r="J93" s="53"/>
      <c r="K93" s="52"/>
    </row>
    <row r="94">
      <c r="A94" s="17"/>
      <c r="B94" s="17"/>
      <c r="C94" s="51"/>
      <c r="D94" s="51"/>
      <c r="E94" s="51"/>
      <c r="F94" s="52"/>
      <c r="G94" s="52"/>
      <c r="H94" s="52"/>
      <c r="I94" s="52"/>
      <c r="J94" s="53"/>
      <c r="K94" s="52"/>
    </row>
    <row r="95">
      <c r="A95" s="17"/>
      <c r="B95" s="17"/>
      <c r="C95" s="51"/>
      <c r="D95" s="51"/>
      <c r="E95" s="51"/>
      <c r="F95" s="52"/>
      <c r="G95" s="52"/>
      <c r="H95" s="52"/>
      <c r="I95" s="52"/>
      <c r="J95" s="53"/>
      <c r="K95" s="52"/>
    </row>
    <row r="96">
      <c r="A96" s="17"/>
      <c r="B96" s="17"/>
      <c r="C96" s="51"/>
      <c r="D96" s="51"/>
      <c r="E96" s="51"/>
      <c r="F96" s="52"/>
      <c r="G96" s="52"/>
      <c r="H96" s="52"/>
      <c r="I96" s="52"/>
      <c r="J96" s="53"/>
      <c r="K96" s="52"/>
    </row>
    <row r="97">
      <c r="A97" s="17"/>
      <c r="B97" s="17"/>
      <c r="C97" s="51"/>
      <c r="D97" s="51"/>
      <c r="E97" s="51"/>
      <c r="F97" s="52"/>
      <c r="G97" s="52"/>
      <c r="H97" s="52"/>
      <c r="I97" s="52"/>
      <c r="J97" s="53"/>
      <c r="K97" s="52"/>
    </row>
    <row r="98">
      <c r="A98" s="17"/>
      <c r="B98" s="17"/>
      <c r="C98" s="51"/>
      <c r="D98" s="51"/>
      <c r="E98" s="51"/>
      <c r="F98" s="52"/>
      <c r="G98" s="52"/>
      <c r="H98" s="52"/>
      <c r="I98" s="52"/>
      <c r="J98" s="53"/>
      <c r="K98" s="52"/>
    </row>
    <row r="99">
      <c r="A99" s="17"/>
      <c r="B99" s="17"/>
      <c r="C99" s="51"/>
      <c r="D99" s="51"/>
      <c r="E99" s="51"/>
      <c r="F99" s="52"/>
      <c r="G99" s="52"/>
      <c r="H99" s="52"/>
      <c r="I99" s="52"/>
      <c r="J99" s="53"/>
      <c r="K99" s="52"/>
    </row>
    <row r="100">
      <c r="A100" s="17"/>
      <c r="B100" s="17"/>
      <c r="C100" s="51"/>
      <c r="D100" s="51"/>
      <c r="E100" s="51"/>
      <c r="F100" s="52"/>
      <c r="G100" s="52"/>
      <c r="H100" s="52"/>
      <c r="I100" s="52"/>
      <c r="J100" s="53"/>
      <c r="K100" s="52"/>
    </row>
    <row r="101">
      <c r="A101" s="17"/>
      <c r="B101" s="17"/>
      <c r="C101" s="51"/>
      <c r="D101" s="51"/>
      <c r="E101" s="51"/>
      <c r="F101" s="52"/>
      <c r="G101" s="52"/>
      <c r="H101" s="52"/>
      <c r="I101" s="52"/>
      <c r="J101" s="53"/>
      <c r="K101" s="52"/>
    </row>
    <row r="102">
      <c r="A102" s="17"/>
      <c r="B102" s="17"/>
      <c r="C102" s="51"/>
      <c r="D102" s="51"/>
      <c r="E102" s="51"/>
      <c r="F102" s="52"/>
      <c r="G102" s="52"/>
      <c r="H102" s="52"/>
      <c r="I102" s="52"/>
      <c r="J102" s="53"/>
      <c r="K102" s="52"/>
    </row>
    <row r="103">
      <c r="A103" s="17"/>
      <c r="B103" s="17"/>
      <c r="C103" s="51"/>
      <c r="D103" s="51"/>
      <c r="E103" s="51"/>
      <c r="F103" s="52"/>
      <c r="G103" s="52"/>
      <c r="H103" s="52"/>
      <c r="I103" s="52"/>
      <c r="J103" s="53"/>
      <c r="K103" s="52"/>
    </row>
    <row r="104">
      <c r="A104" s="17"/>
      <c r="B104" s="17"/>
      <c r="C104" s="51"/>
      <c r="D104" s="51"/>
      <c r="E104" s="51"/>
      <c r="F104" s="52"/>
      <c r="G104" s="52"/>
      <c r="H104" s="52"/>
      <c r="I104" s="52"/>
      <c r="J104" s="53"/>
      <c r="K104" s="52"/>
    </row>
    <row r="105">
      <c r="A105" s="17"/>
      <c r="B105" s="17"/>
      <c r="C105" s="51"/>
      <c r="D105" s="51"/>
      <c r="E105" s="51"/>
      <c r="F105" s="52"/>
      <c r="G105" s="52"/>
      <c r="H105" s="52"/>
      <c r="I105" s="52"/>
      <c r="J105" s="53"/>
      <c r="K105" s="52"/>
    </row>
    <row r="106">
      <c r="A106" s="17"/>
      <c r="B106" s="17"/>
      <c r="C106" s="51"/>
      <c r="D106" s="51"/>
      <c r="E106" s="51"/>
      <c r="F106" s="52"/>
      <c r="G106" s="52"/>
      <c r="H106" s="52"/>
      <c r="I106" s="52"/>
      <c r="J106" s="53"/>
      <c r="K106" s="52"/>
    </row>
    <row r="107">
      <c r="A107" s="17"/>
      <c r="B107" s="17"/>
      <c r="C107" s="51"/>
      <c r="D107" s="51"/>
      <c r="E107" s="51"/>
      <c r="F107" s="52"/>
      <c r="G107" s="52"/>
      <c r="H107" s="52"/>
      <c r="I107" s="52"/>
      <c r="J107" s="53"/>
      <c r="K107" s="52"/>
    </row>
    <row r="108">
      <c r="A108" s="17"/>
      <c r="B108" s="17"/>
      <c r="C108" s="51"/>
      <c r="D108" s="51"/>
      <c r="E108" s="51"/>
      <c r="F108" s="52"/>
      <c r="G108" s="52"/>
      <c r="H108" s="52"/>
      <c r="I108" s="52"/>
      <c r="J108" s="53"/>
      <c r="K108" s="52"/>
    </row>
    <row r="109">
      <c r="A109" s="17"/>
      <c r="B109" s="17"/>
      <c r="C109" s="51"/>
      <c r="D109" s="51"/>
      <c r="E109" s="51"/>
      <c r="F109" s="52"/>
      <c r="G109" s="52"/>
      <c r="H109" s="52"/>
      <c r="I109" s="52"/>
      <c r="J109" s="53"/>
      <c r="K109" s="52"/>
    </row>
    <row r="110">
      <c r="A110" s="17"/>
      <c r="B110" s="17"/>
      <c r="C110" s="51"/>
      <c r="D110" s="51"/>
      <c r="E110" s="51"/>
      <c r="F110" s="52"/>
      <c r="G110" s="52"/>
      <c r="H110" s="52"/>
      <c r="I110" s="52"/>
      <c r="J110" s="53"/>
      <c r="K110" s="52"/>
    </row>
    <row r="111">
      <c r="A111" s="17"/>
      <c r="B111" s="17"/>
      <c r="C111" s="51"/>
      <c r="D111" s="51"/>
      <c r="E111" s="51"/>
      <c r="F111" s="52"/>
      <c r="G111" s="52"/>
      <c r="H111" s="52"/>
      <c r="I111" s="52"/>
      <c r="J111" s="53"/>
      <c r="K111" s="52"/>
    </row>
    <row r="112">
      <c r="A112" s="17"/>
      <c r="B112" s="17"/>
      <c r="C112" s="51"/>
      <c r="D112" s="51"/>
      <c r="E112" s="51"/>
      <c r="F112" s="52"/>
      <c r="G112" s="52"/>
      <c r="H112" s="52"/>
      <c r="I112" s="52"/>
      <c r="J112" s="53"/>
      <c r="K112" s="52"/>
    </row>
    <row r="113">
      <c r="A113" s="17"/>
      <c r="B113" s="17"/>
      <c r="C113" s="51"/>
      <c r="D113" s="51"/>
      <c r="E113" s="51"/>
      <c r="F113" s="52"/>
      <c r="G113" s="52"/>
      <c r="H113" s="52"/>
      <c r="I113" s="52"/>
      <c r="J113" s="53"/>
      <c r="K113" s="52"/>
    </row>
    <row r="114">
      <c r="A114" s="17"/>
      <c r="B114" s="17"/>
      <c r="C114" s="51"/>
      <c r="D114" s="51"/>
      <c r="E114" s="51"/>
      <c r="F114" s="52"/>
      <c r="G114" s="52"/>
      <c r="H114" s="52"/>
      <c r="I114" s="52"/>
      <c r="J114" s="53"/>
      <c r="K114" s="52"/>
    </row>
    <row r="115">
      <c r="A115" s="17"/>
      <c r="B115" s="17"/>
      <c r="C115" s="51"/>
      <c r="D115" s="51"/>
      <c r="E115" s="51"/>
      <c r="F115" s="52"/>
      <c r="G115" s="52"/>
      <c r="H115" s="52"/>
      <c r="I115" s="52"/>
      <c r="J115" s="53"/>
      <c r="K115" s="52"/>
    </row>
    <row r="116">
      <c r="A116" s="17"/>
      <c r="B116" s="17"/>
      <c r="C116" s="51"/>
      <c r="D116" s="51"/>
      <c r="E116" s="51"/>
      <c r="F116" s="52"/>
      <c r="G116" s="52"/>
      <c r="H116" s="52"/>
      <c r="I116" s="52"/>
      <c r="J116" s="53"/>
      <c r="K116" s="52"/>
    </row>
    <row r="117">
      <c r="A117" s="17"/>
      <c r="B117" s="17"/>
      <c r="C117" s="51"/>
      <c r="D117" s="51"/>
      <c r="E117" s="51"/>
      <c r="F117" s="52"/>
      <c r="G117" s="52"/>
      <c r="H117" s="52"/>
      <c r="I117" s="52"/>
      <c r="J117" s="53"/>
      <c r="K117" s="52"/>
    </row>
    <row r="118">
      <c r="A118" s="17"/>
      <c r="B118" s="17"/>
      <c r="C118" s="51"/>
      <c r="D118" s="51"/>
      <c r="E118" s="51"/>
      <c r="F118" s="52"/>
      <c r="G118" s="52"/>
      <c r="H118" s="52"/>
      <c r="I118" s="52"/>
      <c r="J118" s="53"/>
      <c r="K118" s="52"/>
    </row>
    <row r="119">
      <c r="A119" s="17"/>
      <c r="B119" s="17"/>
      <c r="C119" s="51"/>
      <c r="D119" s="51"/>
      <c r="E119" s="51"/>
      <c r="F119" s="52"/>
      <c r="G119" s="52"/>
      <c r="H119" s="52"/>
      <c r="I119" s="52"/>
      <c r="J119" s="53"/>
      <c r="K119" s="52"/>
    </row>
    <row r="120">
      <c r="A120" s="17"/>
      <c r="B120" s="17"/>
      <c r="C120" s="51"/>
      <c r="D120" s="51"/>
      <c r="E120" s="51"/>
      <c r="F120" s="52"/>
      <c r="G120" s="52"/>
      <c r="H120" s="52"/>
      <c r="I120" s="52"/>
      <c r="J120" s="53"/>
      <c r="K120" s="52"/>
    </row>
    <row r="121">
      <c r="A121" s="17"/>
      <c r="B121" s="17"/>
      <c r="C121" s="51"/>
      <c r="D121" s="51"/>
      <c r="E121" s="51"/>
      <c r="F121" s="52"/>
      <c r="G121" s="52"/>
      <c r="H121" s="52"/>
      <c r="I121" s="52"/>
      <c r="J121" s="53"/>
      <c r="K121" s="52"/>
    </row>
    <row r="122">
      <c r="A122" s="17"/>
      <c r="B122" s="17"/>
      <c r="C122" s="51"/>
      <c r="D122" s="51"/>
      <c r="E122" s="51"/>
      <c r="F122" s="52"/>
      <c r="G122" s="52"/>
      <c r="H122" s="52"/>
      <c r="I122" s="52"/>
      <c r="J122" s="53"/>
      <c r="K122" s="52"/>
    </row>
    <row r="123">
      <c r="A123" s="17"/>
      <c r="B123" s="17"/>
      <c r="C123" s="51"/>
      <c r="D123" s="51"/>
      <c r="E123" s="51"/>
      <c r="F123" s="52"/>
      <c r="G123" s="52"/>
      <c r="H123" s="52"/>
      <c r="I123" s="52"/>
      <c r="J123" s="53"/>
      <c r="K123" s="52"/>
    </row>
    <row r="124">
      <c r="A124" s="17"/>
      <c r="B124" s="17"/>
      <c r="C124" s="51"/>
      <c r="D124" s="51"/>
      <c r="E124" s="51"/>
      <c r="F124" s="52"/>
      <c r="G124" s="52"/>
      <c r="H124" s="52"/>
      <c r="I124" s="52"/>
      <c r="J124" s="53"/>
      <c r="K124" s="52"/>
    </row>
    <row r="125">
      <c r="A125" s="17"/>
      <c r="B125" s="17"/>
      <c r="C125" s="51"/>
      <c r="D125" s="51"/>
      <c r="E125" s="51"/>
      <c r="F125" s="52"/>
      <c r="G125" s="52"/>
      <c r="H125" s="52"/>
      <c r="I125" s="52"/>
      <c r="J125" s="53"/>
      <c r="K125" s="52"/>
    </row>
    <row r="126">
      <c r="A126" s="17"/>
      <c r="B126" s="17"/>
      <c r="C126" s="51"/>
      <c r="D126" s="51"/>
      <c r="E126" s="51"/>
      <c r="F126" s="52"/>
      <c r="G126" s="52"/>
      <c r="H126" s="52"/>
      <c r="I126" s="52"/>
      <c r="J126" s="53"/>
      <c r="K126" s="52"/>
    </row>
    <row r="127">
      <c r="A127" s="17"/>
      <c r="B127" s="17"/>
      <c r="C127" s="51"/>
      <c r="D127" s="51"/>
      <c r="E127" s="51"/>
      <c r="F127" s="52"/>
      <c r="G127" s="52"/>
      <c r="H127" s="52"/>
      <c r="I127" s="52"/>
      <c r="J127" s="53"/>
      <c r="K127" s="52"/>
    </row>
    <row r="128">
      <c r="A128" s="17"/>
      <c r="B128" s="17"/>
      <c r="C128" s="51"/>
      <c r="D128" s="51"/>
      <c r="E128" s="51"/>
      <c r="F128" s="52"/>
      <c r="G128" s="52"/>
      <c r="H128" s="52"/>
      <c r="I128" s="52"/>
      <c r="J128" s="53"/>
      <c r="K128" s="52"/>
    </row>
    <row r="129">
      <c r="A129" s="17"/>
      <c r="B129" s="17"/>
      <c r="C129" s="51"/>
      <c r="D129" s="51"/>
      <c r="E129" s="51"/>
      <c r="F129" s="52"/>
      <c r="G129" s="52"/>
      <c r="H129" s="52"/>
      <c r="I129" s="52"/>
      <c r="J129" s="53"/>
      <c r="K129" s="52"/>
    </row>
    <row r="130">
      <c r="A130" s="17"/>
      <c r="B130" s="17"/>
      <c r="C130" s="51"/>
      <c r="D130" s="51"/>
      <c r="E130" s="51"/>
      <c r="F130" s="52"/>
      <c r="G130" s="52"/>
      <c r="H130" s="52"/>
      <c r="I130" s="52"/>
      <c r="J130" s="53"/>
      <c r="K130" s="52"/>
    </row>
    <row r="131">
      <c r="A131" s="17"/>
      <c r="B131" s="17"/>
      <c r="C131" s="51"/>
      <c r="D131" s="51"/>
      <c r="E131" s="51"/>
      <c r="F131" s="52"/>
      <c r="G131" s="52"/>
      <c r="H131" s="52"/>
      <c r="I131" s="52"/>
      <c r="J131" s="53"/>
      <c r="K131" s="52"/>
    </row>
    <row r="132">
      <c r="A132" s="17"/>
      <c r="B132" s="17"/>
      <c r="C132" s="51"/>
      <c r="D132" s="51"/>
      <c r="E132" s="51"/>
      <c r="F132" s="52"/>
      <c r="G132" s="52"/>
      <c r="H132" s="52"/>
      <c r="I132" s="52"/>
      <c r="J132" s="53"/>
      <c r="K132" s="52"/>
    </row>
    <row r="133">
      <c r="A133" s="17"/>
      <c r="B133" s="17"/>
      <c r="C133" s="51"/>
      <c r="D133" s="51"/>
      <c r="E133" s="51"/>
      <c r="F133" s="52"/>
      <c r="G133" s="52"/>
      <c r="H133" s="52"/>
      <c r="I133" s="52"/>
      <c r="J133" s="53"/>
      <c r="K133" s="52"/>
    </row>
    <row r="134">
      <c r="A134" s="17"/>
      <c r="B134" s="17"/>
      <c r="C134" s="51"/>
      <c r="D134" s="51"/>
      <c r="E134" s="51"/>
      <c r="F134" s="52"/>
      <c r="G134" s="52"/>
      <c r="H134" s="52"/>
      <c r="I134" s="52"/>
      <c r="J134" s="53"/>
      <c r="K134" s="52"/>
    </row>
    <row r="135">
      <c r="A135" s="17"/>
      <c r="B135" s="17"/>
      <c r="C135" s="51"/>
      <c r="D135" s="51"/>
      <c r="E135" s="51"/>
      <c r="F135" s="52"/>
      <c r="G135" s="52"/>
      <c r="H135" s="52"/>
      <c r="I135" s="52"/>
      <c r="J135" s="53"/>
      <c r="K135" s="52"/>
    </row>
    <row r="136">
      <c r="A136" s="17"/>
      <c r="B136" s="17"/>
      <c r="C136" s="51"/>
      <c r="D136" s="51"/>
      <c r="E136" s="51"/>
      <c r="F136" s="52"/>
      <c r="G136" s="52"/>
      <c r="H136" s="52"/>
      <c r="I136" s="52"/>
      <c r="J136" s="53"/>
      <c r="K136" s="52"/>
    </row>
    <row r="137">
      <c r="A137" s="17"/>
      <c r="B137" s="17"/>
      <c r="C137" s="51"/>
      <c r="D137" s="51"/>
      <c r="E137" s="51"/>
      <c r="F137" s="52"/>
      <c r="G137" s="52"/>
      <c r="H137" s="52"/>
      <c r="I137" s="52"/>
      <c r="J137" s="53"/>
      <c r="K137" s="52"/>
    </row>
    <row r="138">
      <c r="A138" s="17"/>
      <c r="B138" s="17"/>
      <c r="C138" s="51"/>
      <c r="D138" s="51"/>
      <c r="E138" s="51"/>
      <c r="F138" s="52"/>
      <c r="G138" s="52"/>
      <c r="H138" s="52"/>
      <c r="I138" s="52"/>
      <c r="J138" s="53"/>
      <c r="K138" s="52"/>
    </row>
    <row r="139">
      <c r="A139" s="17"/>
      <c r="B139" s="17"/>
      <c r="C139" s="51"/>
      <c r="D139" s="51"/>
      <c r="E139" s="51"/>
      <c r="F139" s="52"/>
      <c r="G139" s="52"/>
      <c r="H139" s="52"/>
      <c r="I139" s="52"/>
      <c r="J139" s="53"/>
      <c r="K139" s="52"/>
    </row>
    <row r="140">
      <c r="A140" s="17"/>
      <c r="B140" s="17"/>
      <c r="C140" s="51"/>
      <c r="D140" s="51"/>
      <c r="E140" s="51"/>
      <c r="F140" s="52"/>
      <c r="G140" s="52"/>
      <c r="H140" s="52"/>
      <c r="I140" s="52"/>
      <c r="J140" s="53"/>
      <c r="K140" s="52"/>
    </row>
    <row r="141">
      <c r="A141" s="17"/>
      <c r="B141" s="17"/>
      <c r="C141" s="51"/>
      <c r="D141" s="51"/>
      <c r="E141" s="51"/>
      <c r="F141" s="52"/>
      <c r="G141" s="52"/>
      <c r="H141" s="52"/>
      <c r="I141" s="52"/>
      <c r="J141" s="53"/>
      <c r="K141" s="52"/>
    </row>
    <row r="142">
      <c r="A142" s="17"/>
      <c r="B142" s="17"/>
      <c r="C142" s="51"/>
      <c r="D142" s="51"/>
      <c r="E142" s="51"/>
      <c r="F142" s="52"/>
      <c r="G142" s="52"/>
      <c r="H142" s="52"/>
      <c r="I142" s="52"/>
      <c r="J142" s="53"/>
      <c r="K142" s="52"/>
    </row>
    <row r="143">
      <c r="A143" s="17"/>
      <c r="B143" s="17"/>
      <c r="C143" s="51"/>
      <c r="D143" s="51"/>
      <c r="E143" s="51"/>
      <c r="F143" s="52"/>
      <c r="G143" s="52"/>
      <c r="H143" s="52"/>
      <c r="I143" s="52"/>
      <c r="J143" s="53"/>
      <c r="K143" s="52"/>
    </row>
    <row r="144">
      <c r="A144" s="17"/>
      <c r="B144" s="17"/>
      <c r="C144" s="51"/>
      <c r="D144" s="51"/>
      <c r="E144" s="51"/>
      <c r="F144" s="52"/>
      <c r="G144" s="52"/>
      <c r="H144" s="52"/>
      <c r="I144" s="52"/>
      <c r="J144" s="53"/>
      <c r="K144" s="52"/>
    </row>
    <row r="145">
      <c r="A145" s="17"/>
      <c r="B145" s="17"/>
      <c r="C145" s="51"/>
      <c r="D145" s="51"/>
      <c r="E145" s="51"/>
      <c r="F145" s="52"/>
      <c r="G145" s="52"/>
      <c r="H145" s="52"/>
      <c r="I145" s="52"/>
      <c r="J145" s="53"/>
      <c r="K145" s="52"/>
    </row>
    <row r="146">
      <c r="A146" s="17"/>
      <c r="B146" s="17"/>
      <c r="C146" s="51"/>
      <c r="D146" s="51"/>
      <c r="E146" s="51"/>
      <c r="F146" s="52"/>
      <c r="G146" s="52"/>
      <c r="H146" s="52"/>
      <c r="I146" s="52"/>
      <c r="J146" s="53"/>
      <c r="K146" s="52"/>
    </row>
    <row r="147">
      <c r="A147" s="17"/>
      <c r="B147" s="17"/>
      <c r="C147" s="51"/>
      <c r="D147" s="51"/>
      <c r="E147" s="51"/>
      <c r="F147" s="52"/>
      <c r="G147" s="52"/>
      <c r="H147" s="52"/>
      <c r="I147" s="52"/>
      <c r="J147" s="53"/>
      <c r="K147" s="52"/>
    </row>
    <row r="148">
      <c r="A148" s="17"/>
      <c r="B148" s="17"/>
      <c r="C148" s="51"/>
      <c r="D148" s="51"/>
      <c r="E148" s="51"/>
      <c r="F148" s="52"/>
      <c r="G148" s="52"/>
      <c r="H148" s="52"/>
      <c r="I148" s="52"/>
      <c r="J148" s="53"/>
      <c r="K148" s="52"/>
    </row>
    <row r="149">
      <c r="A149" s="17"/>
      <c r="B149" s="17"/>
      <c r="C149" s="51"/>
      <c r="D149" s="51"/>
      <c r="E149" s="51"/>
      <c r="F149" s="52"/>
      <c r="G149" s="52"/>
      <c r="H149" s="52"/>
      <c r="I149" s="52"/>
      <c r="J149" s="53"/>
      <c r="K149" s="52"/>
    </row>
    <row r="150">
      <c r="A150" s="17"/>
      <c r="B150" s="17"/>
      <c r="C150" s="51"/>
      <c r="D150" s="51"/>
      <c r="E150" s="51"/>
      <c r="F150" s="52"/>
      <c r="G150" s="52"/>
      <c r="H150" s="52"/>
      <c r="I150" s="52"/>
      <c r="J150" s="53"/>
      <c r="K150" s="52"/>
    </row>
    <row r="151">
      <c r="A151" s="17"/>
      <c r="B151" s="17"/>
      <c r="C151" s="51"/>
      <c r="D151" s="51"/>
      <c r="E151" s="51"/>
      <c r="F151" s="52"/>
      <c r="G151" s="52"/>
      <c r="H151" s="52"/>
      <c r="I151" s="52"/>
      <c r="J151" s="53"/>
      <c r="K151" s="52"/>
    </row>
    <row r="152">
      <c r="A152" s="17"/>
      <c r="B152" s="17"/>
      <c r="C152" s="51"/>
      <c r="D152" s="51"/>
      <c r="E152" s="51"/>
      <c r="F152" s="52"/>
      <c r="G152" s="52"/>
      <c r="H152" s="52"/>
      <c r="I152" s="52"/>
      <c r="J152" s="53"/>
      <c r="K152" s="52"/>
    </row>
    <row r="153">
      <c r="A153" s="17"/>
      <c r="B153" s="17"/>
      <c r="C153" s="51"/>
      <c r="D153" s="51"/>
      <c r="E153" s="51"/>
      <c r="F153" s="52"/>
      <c r="G153" s="52"/>
      <c r="H153" s="52"/>
      <c r="I153" s="52"/>
      <c r="J153" s="53"/>
      <c r="K153" s="52"/>
    </row>
    <row r="154">
      <c r="A154" s="17"/>
      <c r="B154" s="17"/>
      <c r="C154" s="51"/>
      <c r="D154" s="51"/>
      <c r="E154" s="51"/>
      <c r="F154" s="52"/>
      <c r="G154" s="52"/>
      <c r="H154" s="52"/>
      <c r="I154" s="52"/>
      <c r="J154" s="53"/>
      <c r="K154" s="52"/>
    </row>
    <row r="155">
      <c r="A155" s="17"/>
      <c r="B155" s="17"/>
      <c r="C155" s="51"/>
      <c r="D155" s="51"/>
      <c r="E155" s="51"/>
      <c r="F155" s="52"/>
      <c r="G155" s="52"/>
      <c r="H155" s="52"/>
      <c r="I155" s="52"/>
      <c r="J155" s="53"/>
      <c r="K155" s="52"/>
    </row>
    <row r="156">
      <c r="A156" s="17"/>
      <c r="B156" s="17"/>
      <c r="C156" s="51"/>
      <c r="D156" s="51"/>
      <c r="E156" s="51"/>
      <c r="F156" s="52"/>
      <c r="G156" s="52"/>
      <c r="H156" s="52"/>
      <c r="I156" s="52"/>
      <c r="J156" s="53"/>
      <c r="K156" s="52"/>
    </row>
    <row r="157">
      <c r="A157" s="17"/>
      <c r="B157" s="17"/>
      <c r="C157" s="51"/>
      <c r="D157" s="51"/>
      <c r="E157" s="51"/>
      <c r="F157" s="52"/>
      <c r="G157" s="52"/>
      <c r="H157" s="52"/>
      <c r="I157" s="52"/>
      <c r="J157" s="53"/>
      <c r="K157" s="52"/>
    </row>
    <row r="158">
      <c r="A158" s="17"/>
      <c r="B158" s="17"/>
      <c r="C158" s="51"/>
      <c r="D158" s="51"/>
      <c r="E158" s="51"/>
      <c r="F158" s="52"/>
      <c r="G158" s="52"/>
      <c r="H158" s="52"/>
      <c r="I158" s="52"/>
      <c r="J158" s="53"/>
      <c r="K158" s="52"/>
    </row>
    <row r="159">
      <c r="A159" s="17"/>
      <c r="B159" s="17"/>
      <c r="C159" s="51"/>
      <c r="D159" s="51"/>
      <c r="E159" s="51"/>
      <c r="F159" s="52"/>
      <c r="G159" s="52"/>
      <c r="H159" s="52"/>
      <c r="I159" s="52"/>
      <c r="J159" s="53"/>
      <c r="K159" s="52"/>
    </row>
    <row r="160">
      <c r="A160" s="17"/>
      <c r="B160" s="17"/>
      <c r="C160" s="51"/>
      <c r="D160" s="51"/>
      <c r="E160" s="51"/>
      <c r="F160" s="52"/>
      <c r="G160" s="52"/>
      <c r="H160" s="52"/>
      <c r="I160" s="52"/>
      <c r="J160" s="53"/>
      <c r="K160" s="52"/>
    </row>
    <row r="161">
      <c r="A161" s="17"/>
      <c r="B161" s="17"/>
      <c r="C161" s="51"/>
      <c r="D161" s="51"/>
      <c r="E161" s="51"/>
      <c r="F161" s="52"/>
      <c r="G161" s="52"/>
      <c r="H161" s="52"/>
      <c r="I161" s="52"/>
      <c r="J161" s="53"/>
      <c r="K161" s="52"/>
    </row>
    <row r="162">
      <c r="A162" s="17"/>
      <c r="B162" s="17"/>
      <c r="C162" s="51"/>
      <c r="D162" s="51"/>
      <c r="E162" s="51"/>
      <c r="F162" s="52"/>
      <c r="G162" s="52"/>
      <c r="H162" s="52"/>
      <c r="I162" s="52"/>
      <c r="J162" s="53"/>
      <c r="K162" s="52"/>
    </row>
    <row r="163">
      <c r="A163" s="17"/>
      <c r="B163" s="17"/>
      <c r="C163" s="51"/>
      <c r="D163" s="51"/>
      <c r="E163" s="51"/>
      <c r="F163" s="52"/>
      <c r="G163" s="52"/>
      <c r="H163" s="52"/>
      <c r="I163" s="52"/>
      <c r="J163" s="53"/>
      <c r="K163" s="52"/>
    </row>
    <row r="164">
      <c r="A164" s="17"/>
      <c r="B164" s="17"/>
      <c r="C164" s="51"/>
      <c r="D164" s="51"/>
      <c r="E164" s="51"/>
      <c r="F164" s="52"/>
      <c r="G164" s="52"/>
      <c r="H164" s="52"/>
      <c r="I164" s="52"/>
      <c r="J164" s="53"/>
      <c r="K164" s="52"/>
    </row>
    <row r="165">
      <c r="A165" s="17"/>
      <c r="B165" s="17"/>
      <c r="C165" s="51"/>
      <c r="D165" s="51"/>
      <c r="E165" s="51"/>
      <c r="F165" s="52"/>
      <c r="G165" s="52"/>
      <c r="H165" s="52"/>
      <c r="I165" s="52"/>
      <c r="J165" s="53"/>
      <c r="K165" s="52"/>
    </row>
    <row r="166">
      <c r="A166" s="17"/>
      <c r="B166" s="17"/>
      <c r="C166" s="51"/>
      <c r="D166" s="51"/>
      <c r="E166" s="51"/>
      <c r="F166" s="52"/>
      <c r="G166" s="52"/>
      <c r="H166" s="52"/>
      <c r="I166" s="52"/>
      <c r="J166" s="53"/>
      <c r="K166" s="52"/>
    </row>
    <row r="167">
      <c r="A167" s="17"/>
      <c r="B167" s="17"/>
      <c r="C167" s="51"/>
      <c r="D167" s="51"/>
      <c r="E167" s="51"/>
      <c r="F167" s="52"/>
      <c r="G167" s="52"/>
      <c r="H167" s="52"/>
      <c r="I167" s="52"/>
      <c r="J167" s="53"/>
      <c r="K167" s="52"/>
    </row>
    <row r="168">
      <c r="A168" s="17"/>
      <c r="B168" s="17"/>
      <c r="C168" s="51"/>
      <c r="D168" s="51"/>
      <c r="E168" s="51"/>
      <c r="F168" s="52"/>
      <c r="G168" s="52"/>
      <c r="H168" s="52"/>
      <c r="I168" s="52"/>
      <c r="J168" s="53"/>
      <c r="K168" s="52"/>
    </row>
    <row r="169">
      <c r="A169" s="17"/>
      <c r="B169" s="17"/>
      <c r="C169" s="51"/>
      <c r="D169" s="51"/>
      <c r="E169" s="51"/>
      <c r="F169" s="52"/>
      <c r="G169" s="52"/>
      <c r="H169" s="52"/>
      <c r="I169" s="52"/>
      <c r="J169" s="53"/>
      <c r="K169" s="52"/>
    </row>
    <row r="170">
      <c r="A170" s="17"/>
      <c r="B170" s="17"/>
      <c r="C170" s="51"/>
      <c r="D170" s="51"/>
      <c r="E170" s="51"/>
      <c r="F170" s="52"/>
      <c r="G170" s="52"/>
      <c r="H170" s="52"/>
      <c r="I170" s="52"/>
      <c r="J170" s="53"/>
      <c r="K170" s="52"/>
    </row>
    <row r="171">
      <c r="A171" s="17"/>
      <c r="B171" s="17"/>
      <c r="C171" s="51"/>
      <c r="D171" s="51"/>
      <c r="E171" s="51"/>
      <c r="F171" s="52"/>
      <c r="G171" s="52"/>
      <c r="H171" s="52"/>
      <c r="I171" s="52"/>
      <c r="J171" s="53"/>
      <c r="K171" s="52"/>
    </row>
    <row r="172">
      <c r="A172" s="17"/>
      <c r="B172" s="17"/>
      <c r="C172" s="51"/>
      <c r="D172" s="51"/>
      <c r="E172" s="51"/>
      <c r="F172" s="52"/>
      <c r="G172" s="52"/>
      <c r="H172" s="52"/>
      <c r="I172" s="52"/>
      <c r="J172" s="53"/>
      <c r="K172" s="52"/>
    </row>
    <row r="173">
      <c r="A173" s="17"/>
      <c r="B173" s="17"/>
      <c r="C173" s="51"/>
      <c r="D173" s="51"/>
      <c r="E173" s="51"/>
      <c r="F173" s="52"/>
      <c r="G173" s="52"/>
      <c r="H173" s="52"/>
      <c r="I173" s="52"/>
      <c r="J173" s="53"/>
      <c r="K173" s="52"/>
    </row>
    <row r="174">
      <c r="A174" s="17"/>
      <c r="B174" s="17"/>
      <c r="C174" s="51"/>
      <c r="D174" s="51"/>
      <c r="E174" s="51"/>
      <c r="F174" s="52"/>
      <c r="G174" s="52"/>
      <c r="H174" s="52"/>
      <c r="I174" s="52"/>
      <c r="J174" s="53"/>
      <c r="K174" s="52"/>
    </row>
    <row r="175">
      <c r="A175" s="17"/>
      <c r="B175" s="17"/>
      <c r="C175" s="51"/>
      <c r="D175" s="51"/>
      <c r="E175" s="51"/>
      <c r="F175" s="52"/>
      <c r="G175" s="52"/>
      <c r="H175" s="52"/>
      <c r="I175" s="52"/>
      <c r="J175" s="53"/>
      <c r="K175" s="52"/>
    </row>
    <row r="176">
      <c r="A176" s="17"/>
      <c r="B176" s="17"/>
      <c r="C176" s="51"/>
      <c r="D176" s="51"/>
      <c r="E176" s="51"/>
      <c r="F176" s="52"/>
      <c r="G176" s="52"/>
      <c r="H176" s="52"/>
      <c r="I176" s="52"/>
      <c r="J176" s="53"/>
      <c r="K176" s="52"/>
    </row>
    <row r="177">
      <c r="A177" s="17"/>
      <c r="B177" s="17"/>
      <c r="C177" s="51"/>
      <c r="D177" s="51"/>
      <c r="E177" s="51"/>
      <c r="F177" s="52"/>
      <c r="G177" s="52"/>
      <c r="H177" s="52"/>
      <c r="I177" s="52"/>
      <c r="J177" s="53"/>
      <c r="K177" s="52"/>
    </row>
    <row r="178">
      <c r="A178" s="17"/>
      <c r="B178" s="17"/>
      <c r="C178" s="51"/>
      <c r="D178" s="51"/>
      <c r="E178" s="51"/>
      <c r="F178" s="52"/>
      <c r="G178" s="52"/>
      <c r="H178" s="52"/>
      <c r="I178" s="52"/>
      <c r="J178" s="53"/>
      <c r="K178" s="52"/>
    </row>
    <row r="179">
      <c r="A179" s="17"/>
      <c r="B179" s="17"/>
      <c r="C179" s="51"/>
      <c r="D179" s="51"/>
      <c r="E179" s="51"/>
      <c r="F179" s="52"/>
      <c r="G179" s="52"/>
      <c r="H179" s="52"/>
      <c r="I179" s="52"/>
      <c r="J179" s="53"/>
      <c r="K179" s="52"/>
    </row>
    <row r="180">
      <c r="A180" s="17"/>
      <c r="B180" s="17"/>
      <c r="C180" s="51"/>
      <c r="D180" s="51"/>
      <c r="E180" s="51"/>
      <c r="F180" s="52"/>
      <c r="G180" s="52"/>
      <c r="H180" s="52"/>
      <c r="I180" s="52"/>
      <c r="J180" s="53"/>
      <c r="K180" s="52"/>
    </row>
    <row r="181">
      <c r="A181" s="17"/>
      <c r="B181" s="17"/>
      <c r="C181" s="51"/>
      <c r="D181" s="51"/>
      <c r="E181" s="51"/>
      <c r="F181" s="52"/>
      <c r="G181" s="52"/>
      <c r="H181" s="52"/>
      <c r="I181" s="52"/>
      <c r="J181" s="53"/>
      <c r="K181" s="52"/>
    </row>
    <row r="182">
      <c r="A182" s="17"/>
      <c r="B182" s="17"/>
      <c r="C182" s="51"/>
      <c r="D182" s="51"/>
      <c r="E182" s="51"/>
      <c r="F182" s="52"/>
      <c r="G182" s="52"/>
      <c r="H182" s="52"/>
      <c r="I182" s="52"/>
      <c r="J182" s="53"/>
      <c r="K182" s="52"/>
    </row>
    <row r="183">
      <c r="A183" s="17"/>
      <c r="B183" s="17"/>
      <c r="C183" s="51"/>
      <c r="D183" s="51"/>
      <c r="E183" s="51"/>
      <c r="F183" s="52"/>
      <c r="G183" s="52"/>
      <c r="H183" s="52"/>
      <c r="I183" s="52"/>
      <c r="J183" s="53"/>
      <c r="K183" s="52"/>
    </row>
    <row r="184">
      <c r="A184" s="17"/>
      <c r="B184" s="17"/>
      <c r="C184" s="51"/>
      <c r="D184" s="51"/>
      <c r="E184" s="51"/>
      <c r="F184" s="52"/>
      <c r="G184" s="52"/>
      <c r="H184" s="52"/>
      <c r="I184" s="52"/>
      <c r="J184" s="53"/>
      <c r="K184" s="52"/>
    </row>
    <row r="185">
      <c r="A185" s="17"/>
      <c r="B185" s="17"/>
      <c r="C185" s="51"/>
      <c r="D185" s="51"/>
      <c r="E185" s="51"/>
      <c r="F185" s="52"/>
      <c r="G185" s="52"/>
      <c r="H185" s="52"/>
      <c r="I185" s="52"/>
      <c r="J185" s="53"/>
      <c r="K185" s="52"/>
    </row>
    <row r="186">
      <c r="A186" s="17"/>
      <c r="B186" s="17"/>
      <c r="C186" s="51"/>
      <c r="D186" s="51"/>
      <c r="E186" s="51"/>
      <c r="F186" s="52"/>
      <c r="G186" s="52"/>
      <c r="H186" s="52"/>
      <c r="I186" s="52"/>
      <c r="J186" s="53"/>
      <c r="K186" s="52"/>
    </row>
    <row r="187">
      <c r="A187" s="17"/>
      <c r="B187" s="17"/>
      <c r="C187" s="51"/>
      <c r="D187" s="51"/>
      <c r="E187" s="51"/>
      <c r="F187" s="52"/>
      <c r="G187" s="52"/>
      <c r="H187" s="52"/>
      <c r="I187" s="52"/>
      <c r="J187" s="53"/>
      <c r="K187" s="52"/>
    </row>
    <row r="188">
      <c r="A188" s="17"/>
      <c r="B188" s="17"/>
      <c r="C188" s="51"/>
      <c r="D188" s="51"/>
      <c r="E188" s="51"/>
      <c r="F188" s="52"/>
      <c r="G188" s="52"/>
      <c r="H188" s="52"/>
      <c r="I188" s="52"/>
      <c r="J188" s="53"/>
      <c r="K188" s="52"/>
    </row>
    <row r="189">
      <c r="A189" s="17"/>
      <c r="B189" s="17"/>
      <c r="C189" s="51"/>
      <c r="D189" s="51"/>
      <c r="E189" s="51"/>
      <c r="F189" s="52"/>
      <c r="G189" s="52"/>
      <c r="H189" s="52"/>
      <c r="I189" s="52"/>
      <c r="J189" s="53"/>
      <c r="K189" s="52"/>
    </row>
    <row r="190">
      <c r="A190" s="17"/>
      <c r="B190" s="17"/>
      <c r="C190" s="51"/>
      <c r="D190" s="51"/>
      <c r="E190" s="51"/>
      <c r="F190" s="52"/>
      <c r="G190" s="52"/>
      <c r="H190" s="52"/>
      <c r="I190" s="52"/>
      <c r="J190" s="53"/>
      <c r="K190" s="52"/>
    </row>
    <row r="191">
      <c r="A191" s="17"/>
      <c r="B191" s="17"/>
      <c r="C191" s="51"/>
      <c r="D191" s="51"/>
      <c r="E191" s="51"/>
      <c r="F191" s="52"/>
      <c r="G191" s="52"/>
      <c r="H191" s="52"/>
      <c r="I191" s="52"/>
      <c r="J191" s="53"/>
      <c r="K191" s="52"/>
    </row>
    <row r="192">
      <c r="A192" s="17"/>
      <c r="B192" s="17"/>
      <c r="C192" s="51"/>
      <c r="D192" s="51"/>
      <c r="E192" s="51"/>
      <c r="F192" s="52"/>
      <c r="G192" s="52"/>
      <c r="H192" s="52"/>
      <c r="I192" s="52"/>
      <c r="J192" s="53"/>
      <c r="K192" s="52"/>
    </row>
    <row r="193">
      <c r="A193" s="17"/>
      <c r="B193" s="17"/>
      <c r="C193" s="51"/>
      <c r="D193" s="51"/>
      <c r="E193" s="51"/>
      <c r="F193" s="52"/>
      <c r="G193" s="52"/>
      <c r="H193" s="52"/>
      <c r="I193" s="52"/>
      <c r="J193" s="53"/>
      <c r="K193" s="52"/>
    </row>
    <row r="194">
      <c r="A194" s="17"/>
      <c r="B194" s="17"/>
      <c r="C194" s="51"/>
      <c r="D194" s="51"/>
      <c r="E194" s="51"/>
      <c r="F194" s="52"/>
      <c r="G194" s="52"/>
      <c r="H194" s="52"/>
      <c r="I194" s="52"/>
      <c r="J194" s="53"/>
      <c r="K194" s="52"/>
    </row>
    <row r="195">
      <c r="A195" s="17"/>
      <c r="B195" s="17"/>
      <c r="C195" s="51"/>
      <c r="D195" s="51"/>
      <c r="E195" s="51"/>
      <c r="F195" s="52"/>
      <c r="G195" s="52"/>
      <c r="H195" s="52"/>
      <c r="I195" s="52"/>
      <c r="J195" s="53"/>
      <c r="K195" s="52"/>
    </row>
    <row r="196">
      <c r="A196" s="17"/>
      <c r="B196" s="17"/>
      <c r="C196" s="51"/>
      <c r="D196" s="51"/>
      <c r="E196" s="51"/>
      <c r="F196" s="52"/>
      <c r="G196" s="52"/>
      <c r="H196" s="52"/>
      <c r="I196" s="52"/>
      <c r="J196" s="53"/>
      <c r="K196" s="52"/>
    </row>
    <row r="197">
      <c r="A197" s="17"/>
      <c r="B197" s="17"/>
      <c r="C197" s="51"/>
      <c r="D197" s="51"/>
      <c r="E197" s="51"/>
      <c r="F197" s="52"/>
      <c r="G197" s="52"/>
      <c r="H197" s="52"/>
      <c r="I197" s="52"/>
      <c r="J197" s="53"/>
      <c r="K197" s="52"/>
    </row>
    <row r="198">
      <c r="A198" s="17"/>
      <c r="B198" s="17"/>
      <c r="C198" s="51"/>
      <c r="D198" s="51"/>
      <c r="E198" s="51"/>
      <c r="F198" s="52"/>
      <c r="G198" s="52"/>
      <c r="H198" s="52"/>
      <c r="I198" s="52"/>
      <c r="J198" s="53"/>
      <c r="K198" s="52"/>
    </row>
    <row r="199">
      <c r="A199" s="17"/>
      <c r="B199" s="17"/>
      <c r="C199" s="51"/>
      <c r="D199" s="51"/>
      <c r="E199" s="51"/>
      <c r="F199" s="52"/>
      <c r="G199" s="52"/>
      <c r="H199" s="52"/>
      <c r="I199" s="52"/>
      <c r="J199" s="53"/>
      <c r="K199" s="52"/>
    </row>
    <row r="200">
      <c r="A200" s="17"/>
      <c r="B200" s="17"/>
      <c r="C200" s="51"/>
      <c r="D200" s="51"/>
      <c r="E200" s="51"/>
      <c r="F200" s="52"/>
      <c r="G200" s="52"/>
      <c r="H200" s="52"/>
      <c r="I200" s="52"/>
      <c r="J200" s="53"/>
      <c r="K200" s="52"/>
    </row>
    <row r="201">
      <c r="A201" s="17"/>
      <c r="B201" s="17"/>
      <c r="C201" s="51"/>
      <c r="D201" s="51"/>
      <c r="E201" s="51"/>
      <c r="F201" s="52"/>
      <c r="G201" s="52"/>
      <c r="H201" s="52"/>
      <c r="I201" s="52"/>
      <c r="J201" s="53"/>
      <c r="K201" s="52"/>
    </row>
    <row r="202">
      <c r="A202" s="17"/>
      <c r="B202" s="17"/>
      <c r="C202" s="51"/>
      <c r="D202" s="51"/>
      <c r="E202" s="51"/>
      <c r="F202" s="52"/>
      <c r="G202" s="52"/>
      <c r="H202" s="52"/>
      <c r="I202" s="52"/>
      <c r="J202" s="53"/>
      <c r="K202" s="52"/>
    </row>
    <row r="203">
      <c r="A203" s="17"/>
      <c r="B203" s="17"/>
      <c r="C203" s="51"/>
      <c r="D203" s="51"/>
      <c r="E203" s="51"/>
      <c r="F203" s="52"/>
      <c r="G203" s="52"/>
      <c r="H203" s="52"/>
      <c r="I203" s="52"/>
      <c r="J203" s="53"/>
      <c r="K203" s="52"/>
    </row>
    <row r="204">
      <c r="A204" s="17"/>
      <c r="B204" s="17"/>
      <c r="C204" s="51"/>
      <c r="D204" s="51"/>
      <c r="E204" s="51"/>
      <c r="F204" s="52"/>
      <c r="G204" s="52"/>
      <c r="H204" s="52"/>
      <c r="I204" s="52"/>
      <c r="J204" s="53"/>
      <c r="K204" s="52"/>
    </row>
    <row r="205">
      <c r="A205" s="17"/>
      <c r="B205" s="17"/>
      <c r="C205" s="51"/>
      <c r="D205" s="51"/>
      <c r="E205" s="51"/>
      <c r="F205" s="52"/>
      <c r="G205" s="52"/>
      <c r="H205" s="52"/>
      <c r="I205" s="52"/>
      <c r="J205" s="53"/>
      <c r="K205" s="52"/>
    </row>
    <row r="206">
      <c r="A206" s="17"/>
      <c r="B206" s="17"/>
      <c r="C206" s="51"/>
      <c r="D206" s="51"/>
      <c r="E206" s="51"/>
      <c r="F206" s="52"/>
      <c r="G206" s="52"/>
      <c r="H206" s="52"/>
      <c r="I206" s="52"/>
      <c r="J206" s="53"/>
      <c r="K206" s="52"/>
    </row>
    <row r="207">
      <c r="A207" s="17"/>
      <c r="B207" s="17"/>
      <c r="C207" s="51"/>
      <c r="D207" s="51"/>
      <c r="E207" s="51"/>
      <c r="F207" s="52"/>
      <c r="G207" s="52"/>
      <c r="H207" s="52"/>
      <c r="I207" s="52"/>
      <c r="J207" s="53"/>
      <c r="K207" s="52"/>
    </row>
    <row r="208">
      <c r="A208" s="17"/>
      <c r="B208" s="17"/>
      <c r="C208" s="51"/>
      <c r="D208" s="51"/>
      <c r="E208" s="51"/>
      <c r="F208" s="52"/>
      <c r="G208" s="52"/>
      <c r="H208" s="52"/>
      <c r="I208" s="52"/>
      <c r="J208" s="53"/>
      <c r="K208" s="52"/>
    </row>
    <row r="209">
      <c r="A209" s="17"/>
      <c r="B209" s="17"/>
      <c r="C209" s="51"/>
      <c r="D209" s="51"/>
      <c r="E209" s="51"/>
      <c r="F209" s="52"/>
      <c r="G209" s="52"/>
      <c r="H209" s="52"/>
      <c r="I209" s="52"/>
      <c r="J209" s="53"/>
      <c r="K209" s="52"/>
    </row>
    <row r="210">
      <c r="A210" s="17"/>
      <c r="B210" s="17"/>
      <c r="C210" s="51"/>
      <c r="D210" s="51"/>
      <c r="E210" s="51"/>
      <c r="F210" s="52"/>
      <c r="G210" s="52"/>
      <c r="H210" s="52"/>
      <c r="I210" s="52"/>
      <c r="J210" s="53"/>
      <c r="K210" s="52"/>
    </row>
    <row r="211">
      <c r="A211" s="17"/>
      <c r="B211" s="17"/>
      <c r="C211" s="51"/>
      <c r="D211" s="51"/>
      <c r="E211" s="51"/>
      <c r="F211" s="52"/>
      <c r="G211" s="52"/>
      <c r="H211" s="52"/>
      <c r="I211" s="52"/>
      <c r="J211" s="53"/>
      <c r="K211" s="52"/>
    </row>
    <row r="212">
      <c r="A212" s="17"/>
      <c r="B212" s="17"/>
      <c r="C212" s="51"/>
      <c r="D212" s="51"/>
      <c r="E212" s="51"/>
      <c r="F212" s="52"/>
      <c r="G212" s="52"/>
      <c r="H212" s="52"/>
      <c r="I212" s="52"/>
      <c r="J212" s="53"/>
      <c r="K212" s="52"/>
    </row>
    <row r="213">
      <c r="A213" s="17"/>
      <c r="B213" s="17"/>
      <c r="C213" s="51"/>
      <c r="D213" s="51"/>
      <c r="E213" s="51"/>
      <c r="F213" s="52"/>
      <c r="G213" s="52"/>
      <c r="H213" s="52"/>
      <c r="I213" s="52"/>
      <c r="J213" s="53"/>
      <c r="K213" s="52"/>
    </row>
    <row r="214">
      <c r="A214" s="17"/>
      <c r="B214" s="17"/>
      <c r="C214" s="51"/>
      <c r="D214" s="51"/>
      <c r="E214" s="51"/>
      <c r="F214" s="52"/>
      <c r="G214" s="52"/>
      <c r="H214" s="52"/>
      <c r="I214" s="52"/>
      <c r="J214" s="53"/>
      <c r="K214" s="52"/>
    </row>
    <row r="215">
      <c r="A215" s="17"/>
      <c r="B215" s="17"/>
      <c r="C215" s="51"/>
      <c r="D215" s="51"/>
      <c r="E215" s="51"/>
      <c r="F215" s="52"/>
      <c r="G215" s="52"/>
      <c r="H215" s="52"/>
      <c r="I215" s="52"/>
      <c r="J215" s="53"/>
      <c r="K215" s="52"/>
    </row>
    <row r="216">
      <c r="A216" s="17"/>
      <c r="B216" s="17"/>
      <c r="C216" s="51"/>
      <c r="D216" s="51"/>
      <c r="E216" s="51"/>
      <c r="F216" s="52"/>
      <c r="G216" s="52"/>
      <c r="H216" s="52"/>
      <c r="I216" s="52"/>
      <c r="J216" s="53"/>
      <c r="K216" s="52"/>
    </row>
    <row r="217">
      <c r="A217" s="17"/>
      <c r="B217" s="17"/>
      <c r="C217" s="51"/>
      <c r="D217" s="51"/>
      <c r="E217" s="51"/>
      <c r="F217" s="52"/>
      <c r="G217" s="52"/>
      <c r="H217" s="52"/>
      <c r="I217" s="52"/>
      <c r="J217" s="53"/>
      <c r="K217" s="52"/>
    </row>
    <row r="218">
      <c r="A218" s="17"/>
      <c r="B218" s="17"/>
      <c r="C218" s="51"/>
      <c r="D218" s="51"/>
      <c r="E218" s="51"/>
      <c r="F218" s="52"/>
      <c r="G218" s="52"/>
      <c r="H218" s="52"/>
      <c r="I218" s="52"/>
      <c r="J218" s="53"/>
      <c r="K218" s="52"/>
    </row>
    <row r="219">
      <c r="A219" s="17"/>
      <c r="B219" s="17"/>
      <c r="C219" s="51"/>
      <c r="D219" s="51"/>
      <c r="E219" s="51"/>
      <c r="F219" s="52"/>
      <c r="G219" s="52"/>
      <c r="H219" s="52"/>
      <c r="I219" s="52"/>
      <c r="J219" s="53"/>
      <c r="K219" s="52"/>
    </row>
    <row r="220">
      <c r="A220" s="17"/>
      <c r="B220" s="17"/>
      <c r="C220" s="51"/>
      <c r="D220" s="51"/>
      <c r="E220" s="51"/>
      <c r="F220" s="52"/>
      <c r="G220" s="52"/>
      <c r="H220" s="52"/>
      <c r="I220" s="52"/>
      <c r="J220" s="53"/>
      <c r="K220" s="52"/>
    </row>
    <row r="221">
      <c r="A221" s="17"/>
      <c r="B221" s="17"/>
      <c r="C221" s="51"/>
      <c r="D221" s="51"/>
      <c r="E221" s="51"/>
      <c r="F221" s="52"/>
      <c r="G221" s="52"/>
      <c r="H221" s="52"/>
      <c r="I221" s="52"/>
      <c r="J221" s="53"/>
      <c r="K221" s="52"/>
    </row>
    <row r="222">
      <c r="A222" s="17"/>
      <c r="B222" s="17"/>
      <c r="C222" s="51"/>
      <c r="D222" s="51"/>
      <c r="E222" s="51"/>
      <c r="F222" s="52"/>
      <c r="G222" s="52"/>
      <c r="H222" s="52"/>
      <c r="I222" s="52"/>
      <c r="J222" s="53"/>
      <c r="K222" s="52"/>
    </row>
    <row r="223">
      <c r="A223" s="17"/>
      <c r="B223" s="17"/>
      <c r="C223" s="51"/>
      <c r="D223" s="51"/>
      <c r="E223" s="51"/>
      <c r="F223" s="52"/>
      <c r="G223" s="52"/>
      <c r="H223" s="52"/>
      <c r="I223" s="52"/>
      <c r="J223" s="53"/>
      <c r="K223" s="52"/>
    </row>
    <row r="224">
      <c r="A224" s="17"/>
      <c r="B224" s="17"/>
      <c r="C224" s="51"/>
      <c r="D224" s="51"/>
      <c r="E224" s="51"/>
      <c r="F224" s="52"/>
      <c r="G224" s="52"/>
      <c r="H224" s="52"/>
      <c r="I224" s="52"/>
      <c r="J224" s="53"/>
      <c r="K224" s="52"/>
    </row>
    <row r="225">
      <c r="A225" s="17"/>
      <c r="B225" s="17"/>
      <c r="C225" s="51"/>
      <c r="D225" s="51"/>
      <c r="E225" s="51"/>
      <c r="F225" s="52"/>
      <c r="G225" s="52"/>
      <c r="H225" s="52"/>
      <c r="I225" s="52"/>
      <c r="J225" s="53"/>
      <c r="K225" s="52"/>
    </row>
    <row r="226">
      <c r="A226" s="17"/>
      <c r="B226" s="17"/>
      <c r="C226" s="51"/>
      <c r="D226" s="51"/>
      <c r="E226" s="51"/>
      <c r="F226" s="52"/>
      <c r="G226" s="52"/>
      <c r="H226" s="52"/>
      <c r="I226" s="52"/>
      <c r="J226" s="53"/>
      <c r="K226" s="52"/>
    </row>
    <row r="227">
      <c r="A227" s="17"/>
      <c r="B227" s="17"/>
      <c r="C227" s="51"/>
      <c r="D227" s="51"/>
      <c r="E227" s="51"/>
      <c r="F227" s="52"/>
      <c r="G227" s="52"/>
      <c r="H227" s="52"/>
      <c r="I227" s="52"/>
      <c r="J227" s="53"/>
      <c r="K227" s="52"/>
    </row>
    <row r="228">
      <c r="A228" s="17"/>
      <c r="B228" s="17"/>
      <c r="C228" s="51"/>
      <c r="D228" s="51"/>
      <c r="E228" s="51"/>
      <c r="F228" s="52"/>
      <c r="G228" s="52"/>
      <c r="H228" s="52"/>
      <c r="I228" s="52"/>
      <c r="J228" s="53"/>
      <c r="K228" s="52"/>
    </row>
    <row r="229">
      <c r="A229" s="17"/>
      <c r="B229" s="17"/>
      <c r="C229" s="51"/>
      <c r="D229" s="51"/>
      <c r="E229" s="51"/>
      <c r="F229" s="52"/>
      <c r="G229" s="52"/>
      <c r="H229" s="52"/>
      <c r="I229" s="52"/>
      <c r="J229" s="53"/>
      <c r="K229" s="52"/>
    </row>
    <row r="230">
      <c r="A230" s="17"/>
      <c r="B230" s="17"/>
      <c r="C230" s="51"/>
      <c r="D230" s="51"/>
      <c r="E230" s="51"/>
      <c r="F230" s="52"/>
      <c r="G230" s="52"/>
      <c r="H230" s="52"/>
      <c r="I230" s="52"/>
      <c r="J230" s="53"/>
      <c r="K230" s="52"/>
    </row>
    <row r="231">
      <c r="A231" s="17"/>
      <c r="B231" s="17"/>
      <c r="C231" s="51"/>
      <c r="D231" s="51"/>
      <c r="E231" s="51"/>
      <c r="F231" s="52"/>
      <c r="G231" s="52"/>
      <c r="H231" s="52"/>
      <c r="I231" s="52"/>
      <c r="J231" s="53"/>
      <c r="K231" s="52"/>
    </row>
    <row r="232">
      <c r="A232" s="17"/>
      <c r="B232" s="17"/>
      <c r="C232" s="51"/>
      <c r="D232" s="51"/>
      <c r="E232" s="51"/>
      <c r="F232" s="52"/>
      <c r="G232" s="52"/>
      <c r="H232" s="52"/>
      <c r="I232" s="52"/>
      <c r="J232" s="53"/>
      <c r="K232" s="52"/>
    </row>
    <row r="233">
      <c r="A233" s="17"/>
      <c r="B233" s="17"/>
      <c r="C233" s="51"/>
      <c r="D233" s="51"/>
      <c r="E233" s="51"/>
      <c r="F233" s="52"/>
      <c r="G233" s="52"/>
      <c r="H233" s="52"/>
      <c r="I233" s="52"/>
      <c r="J233" s="53"/>
      <c r="K233" s="52"/>
    </row>
    <row r="234">
      <c r="A234" s="17"/>
      <c r="B234" s="17"/>
      <c r="C234" s="51"/>
      <c r="D234" s="51"/>
      <c r="E234" s="51"/>
      <c r="F234" s="52"/>
      <c r="G234" s="52"/>
      <c r="H234" s="52"/>
      <c r="I234" s="52"/>
      <c r="J234" s="53"/>
      <c r="K234" s="52"/>
    </row>
    <row r="235">
      <c r="A235" s="17"/>
      <c r="B235" s="17"/>
      <c r="C235" s="51"/>
      <c r="D235" s="51"/>
      <c r="E235" s="51"/>
      <c r="F235" s="52"/>
      <c r="G235" s="52"/>
      <c r="H235" s="52"/>
      <c r="I235" s="52"/>
      <c r="J235" s="53"/>
      <c r="K235" s="52"/>
    </row>
    <row r="236">
      <c r="A236" s="17"/>
      <c r="B236" s="17"/>
      <c r="C236" s="51"/>
      <c r="D236" s="51"/>
      <c r="E236" s="51"/>
      <c r="F236" s="52"/>
      <c r="G236" s="52"/>
      <c r="H236" s="52"/>
      <c r="I236" s="52"/>
      <c r="J236" s="53"/>
      <c r="K236" s="52"/>
    </row>
    <row r="237">
      <c r="A237" s="17"/>
      <c r="B237" s="17"/>
      <c r="C237" s="51"/>
      <c r="D237" s="51"/>
      <c r="E237" s="51"/>
      <c r="F237" s="52"/>
      <c r="G237" s="52"/>
      <c r="H237" s="52"/>
      <c r="I237" s="52"/>
      <c r="J237" s="53"/>
      <c r="K237" s="52"/>
    </row>
    <row r="238">
      <c r="A238" s="17"/>
      <c r="B238" s="17"/>
      <c r="C238" s="51"/>
      <c r="D238" s="51"/>
      <c r="E238" s="51"/>
      <c r="F238" s="52"/>
      <c r="G238" s="52"/>
      <c r="H238" s="52"/>
      <c r="I238" s="52"/>
      <c r="J238" s="53"/>
      <c r="K238" s="52"/>
    </row>
    <row r="239">
      <c r="A239" s="17"/>
      <c r="B239" s="17"/>
      <c r="C239" s="51"/>
      <c r="D239" s="51"/>
      <c r="E239" s="51"/>
      <c r="F239" s="52"/>
      <c r="G239" s="52"/>
      <c r="H239" s="52"/>
      <c r="I239" s="52"/>
      <c r="J239" s="53"/>
      <c r="K239" s="52"/>
    </row>
    <row r="240">
      <c r="A240" s="17"/>
      <c r="B240" s="17"/>
      <c r="C240" s="51"/>
      <c r="D240" s="51"/>
      <c r="E240" s="51"/>
      <c r="F240" s="52"/>
      <c r="G240" s="52"/>
      <c r="H240" s="52"/>
      <c r="I240" s="52"/>
      <c r="J240" s="53"/>
      <c r="K240" s="52"/>
    </row>
    <row r="241">
      <c r="A241" s="17"/>
      <c r="B241" s="17"/>
      <c r="C241" s="51"/>
      <c r="D241" s="51"/>
      <c r="E241" s="51"/>
      <c r="F241" s="52"/>
      <c r="G241" s="52"/>
      <c r="H241" s="52"/>
      <c r="I241" s="52"/>
      <c r="J241" s="53"/>
      <c r="K241" s="52"/>
    </row>
    <row r="242">
      <c r="A242" s="17"/>
      <c r="B242" s="17"/>
      <c r="C242" s="51"/>
      <c r="D242" s="51"/>
      <c r="E242" s="51"/>
      <c r="F242" s="52"/>
      <c r="G242" s="52"/>
      <c r="H242" s="52"/>
      <c r="I242" s="52"/>
      <c r="J242" s="53"/>
      <c r="K242" s="52"/>
    </row>
    <row r="243">
      <c r="A243" s="17"/>
      <c r="B243" s="17"/>
      <c r="C243" s="51"/>
      <c r="D243" s="51"/>
      <c r="E243" s="51"/>
      <c r="F243" s="52"/>
      <c r="G243" s="52"/>
      <c r="H243" s="52"/>
      <c r="I243" s="52"/>
      <c r="J243" s="53"/>
      <c r="K243" s="52"/>
    </row>
    <row r="244">
      <c r="A244" s="17"/>
      <c r="B244" s="17"/>
      <c r="C244" s="51"/>
      <c r="D244" s="51"/>
      <c r="E244" s="51"/>
      <c r="F244" s="52"/>
      <c r="G244" s="52"/>
      <c r="H244" s="52"/>
      <c r="I244" s="52"/>
      <c r="J244" s="53"/>
      <c r="K244" s="52"/>
    </row>
    <row r="245">
      <c r="A245" s="17"/>
      <c r="B245" s="17"/>
      <c r="C245" s="51"/>
      <c r="D245" s="51"/>
      <c r="E245" s="51"/>
      <c r="F245" s="52"/>
      <c r="G245" s="52"/>
      <c r="H245" s="52"/>
      <c r="I245" s="52"/>
      <c r="J245" s="53"/>
      <c r="K245" s="52"/>
    </row>
    <row r="246">
      <c r="A246" s="17"/>
      <c r="B246" s="17"/>
      <c r="C246" s="51"/>
      <c r="D246" s="51"/>
      <c r="E246" s="51"/>
      <c r="F246" s="52"/>
      <c r="G246" s="52"/>
      <c r="H246" s="52"/>
      <c r="I246" s="52"/>
      <c r="J246" s="53"/>
      <c r="K246" s="52"/>
    </row>
    <row r="247">
      <c r="A247" s="17"/>
      <c r="B247" s="17"/>
      <c r="C247" s="51"/>
      <c r="D247" s="51"/>
      <c r="E247" s="51"/>
      <c r="F247" s="52"/>
      <c r="G247" s="52"/>
      <c r="H247" s="52"/>
      <c r="I247" s="52"/>
      <c r="J247" s="53"/>
      <c r="K247" s="52"/>
    </row>
    <row r="248">
      <c r="A248" s="17"/>
      <c r="B248" s="17"/>
      <c r="C248" s="51"/>
      <c r="D248" s="51"/>
      <c r="E248" s="51"/>
      <c r="F248" s="52"/>
      <c r="G248" s="52"/>
      <c r="H248" s="52"/>
      <c r="I248" s="52"/>
      <c r="J248" s="53"/>
      <c r="K248" s="52"/>
    </row>
    <row r="249">
      <c r="A249" s="17"/>
      <c r="B249" s="17"/>
      <c r="C249" s="51"/>
      <c r="D249" s="51"/>
      <c r="E249" s="51"/>
      <c r="F249" s="52"/>
      <c r="G249" s="52"/>
      <c r="H249" s="52"/>
      <c r="I249" s="52"/>
      <c r="J249" s="53"/>
      <c r="K249" s="52"/>
    </row>
    <row r="250">
      <c r="A250" s="17"/>
      <c r="B250" s="17"/>
      <c r="C250" s="51"/>
      <c r="D250" s="51"/>
      <c r="E250" s="51"/>
      <c r="F250" s="52"/>
      <c r="G250" s="52"/>
      <c r="H250" s="52"/>
      <c r="I250" s="52"/>
      <c r="J250" s="53"/>
      <c r="K250" s="52"/>
    </row>
    <row r="251">
      <c r="A251" s="17"/>
      <c r="B251" s="17"/>
      <c r="C251" s="51"/>
      <c r="D251" s="51"/>
      <c r="E251" s="51"/>
      <c r="F251" s="52"/>
      <c r="G251" s="52"/>
      <c r="H251" s="52"/>
      <c r="I251" s="52"/>
      <c r="J251" s="53"/>
      <c r="K251" s="52"/>
    </row>
    <row r="252">
      <c r="A252" s="17"/>
      <c r="B252" s="17"/>
      <c r="C252" s="51"/>
      <c r="D252" s="51"/>
      <c r="E252" s="51"/>
      <c r="F252" s="52"/>
      <c r="G252" s="52"/>
      <c r="H252" s="52"/>
      <c r="I252" s="52"/>
      <c r="J252" s="53"/>
      <c r="K252" s="52"/>
    </row>
    <row r="253">
      <c r="A253" s="17"/>
      <c r="B253" s="17"/>
      <c r="C253" s="51"/>
      <c r="D253" s="51"/>
      <c r="E253" s="51"/>
      <c r="F253" s="52"/>
      <c r="G253" s="52"/>
      <c r="H253" s="52"/>
      <c r="I253" s="52"/>
      <c r="J253" s="53"/>
      <c r="K253" s="52"/>
    </row>
    <row r="254">
      <c r="A254" s="17"/>
      <c r="B254" s="17"/>
      <c r="C254" s="51"/>
      <c r="D254" s="51"/>
      <c r="E254" s="51"/>
      <c r="F254" s="52"/>
      <c r="G254" s="52"/>
      <c r="H254" s="52"/>
      <c r="I254" s="52"/>
      <c r="J254" s="53"/>
      <c r="K254" s="52"/>
    </row>
    <row r="255">
      <c r="A255" s="17"/>
      <c r="B255" s="17"/>
      <c r="C255" s="51"/>
      <c r="D255" s="51"/>
      <c r="E255" s="51"/>
      <c r="F255" s="52"/>
      <c r="G255" s="52"/>
      <c r="H255" s="52"/>
      <c r="I255" s="52"/>
      <c r="J255" s="53"/>
      <c r="K255" s="52"/>
    </row>
    <row r="256">
      <c r="A256" s="17"/>
      <c r="B256" s="17"/>
      <c r="C256" s="51"/>
      <c r="D256" s="51"/>
      <c r="E256" s="51"/>
      <c r="F256" s="52"/>
      <c r="G256" s="52"/>
      <c r="H256" s="52"/>
      <c r="I256" s="52"/>
      <c r="J256" s="53"/>
      <c r="K256" s="52"/>
    </row>
    <row r="257">
      <c r="A257" s="17"/>
      <c r="B257" s="17"/>
      <c r="C257" s="51"/>
      <c r="D257" s="51"/>
      <c r="E257" s="51"/>
      <c r="F257" s="52"/>
      <c r="G257" s="52"/>
      <c r="H257" s="52"/>
      <c r="I257" s="52"/>
      <c r="J257" s="53"/>
      <c r="K257" s="52"/>
    </row>
    <row r="258">
      <c r="A258" s="17"/>
      <c r="B258" s="17"/>
      <c r="C258" s="51"/>
      <c r="D258" s="51"/>
      <c r="E258" s="51"/>
      <c r="F258" s="52"/>
      <c r="G258" s="52"/>
      <c r="H258" s="52"/>
      <c r="I258" s="52"/>
      <c r="J258" s="53"/>
      <c r="K258" s="52"/>
    </row>
    <row r="259">
      <c r="A259" s="17"/>
      <c r="B259" s="17"/>
      <c r="C259" s="51"/>
      <c r="D259" s="51"/>
      <c r="E259" s="51"/>
      <c r="F259" s="52"/>
      <c r="G259" s="52"/>
      <c r="H259" s="52"/>
      <c r="I259" s="52"/>
      <c r="J259" s="53"/>
      <c r="K259" s="52"/>
    </row>
    <row r="260">
      <c r="A260" s="17"/>
      <c r="B260" s="17"/>
      <c r="C260" s="51"/>
      <c r="D260" s="51"/>
      <c r="E260" s="51"/>
      <c r="F260" s="52"/>
      <c r="G260" s="52"/>
      <c r="H260" s="52"/>
      <c r="I260" s="52"/>
      <c r="J260" s="53"/>
      <c r="K260" s="52"/>
    </row>
    <row r="261">
      <c r="A261" s="17"/>
      <c r="B261" s="17"/>
      <c r="C261" s="51"/>
      <c r="D261" s="51"/>
      <c r="E261" s="51"/>
      <c r="F261" s="52"/>
      <c r="G261" s="52"/>
      <c r="H261" s="52"/>
      <c r="I261" s="52"/>
      <c r="J261" s="53"/>
      <c r="K261" s="52"/>
    </row>
    <row r="262">
      <c r="A262" s="17"/>
      <c r="B262" s="17"/>
      <c r="C262" s="51"/>
      <c r="D262" s="51"/>
      <c r="E262" s="51"/>
      <c r="F262" s="52"/>
      <c r="G262" s="52"/>
      <c r="H262" s="52"/>
      <c r="I262" s="52"/>
      <c r="J262" s="53"/>
      <c r="K262" s="52"/>
    </row>
    <row r="263">
      <c r="A263" s="17"/>
      <c r="B263" s="17"/>
      <c r="C263" s="51"/>
      <c r="D263" s="51"/>
      <c r="E263" s="51"/>
      <c r="F263" s="52"/>
      <c r="G263" s="52"/>
      <c r="H263" s="52"/>
      <c r="I263" s="52"/>
      <c r="J263" s="53"/>
      <c r="K263" s="52"/>
    </row>
    <row r="264">
      <c r="A264" s="17"/>
      <c r="B264" s="17"/>
      <c r="C264" s="51"/>
      <c r="D264" s="51"/>
      <c r="E264" s="51"/>
      <c r="F264" s="52"/>
      <c r="G264" s="52"/>
      <c r="H264" s="52"/>
      <c r="I264" s="52"/>
      <c r="J264" s="53"/>
      <c r="K264" s="52"/>
    </row>
    <row r="265">
      <c r="A265" s="17"/>
      <c r="B265" s="17"/>
      <c r="C265" s="51"/>
      <c r="D265" s="51"/>
      <c r="E265" s="51"/>
      <c r="F265" s="52"/>
      <c r="G265" s="52"/>
      <c r="H265" s="52"/>
      <c r="I265" s="52"/>
      <c r="J265" s="53"/>
      <c r="K265" s="52"/>
    </row>
    <row r="266">
      <c r="A266" s="17"/>
      <c r="B266" s="17"/>
      <c r="C266" s="51"/>
      <c r="D266" s="51"/>
      <c r="E266" s="51"/>
      <c r="F266" s="52"/>
      <c r="G266" s="52"/>
      <c r="H266" s="52"/>
      <c r="I266" s="52"/>
      <c r="J266" s="53"/>
      <c r="K266" s="52"/>
    </row>
    <row r="267">
      <c r="A267" s="17"/>
      <c r="B267" s="17"/>
      <c r="C267" s="51"/>
      <c r="D267" s="51"/>
      <c r="E267" s="51"/>
      <c r="F267" s="52"/>
      <c r="G267" s="52"/>
      <c r="H267" s="52"/>
      <c r="I267" s="52"/>
      <c r="J267" s="53"/>
      <c r="K267" s="52"/>
    </row>
    <row r="268">
      <c r="A268" s="17"/>
      <c r="B268" s="17"/>
      <c r="C268" s="51"/>
      <c r="D268" s="51"/>
      <c r="E268" s="51"/>
      <c r="F268" s="52"/>
      <c r="G268" s="52"/>
      <c r="H268" s="52"/>
      <c r="I268" s="52"/>
      <c r="J268" s="53"/>
      <c r="K268" s="52"/>
    </row>
    <row r="269">
      <c r="A269" s="17"/>
      <c r="B269" s="17"/>
      <c r="C269" s="51"/>
      <c r="D269" s="51"/>
      <c r="E269" s="51"/>
      <c r="F269" s="52"/>
      <c r="G269" s="52"/>
      <c r="H269" s="52"/>
      <c r="I269" s="52"/>
      <c r="J269" s="53"/>
      <c r="K269" s="52"/>
    </row>
    <row r="270">
      <c r="A270" s="17"/>
      <c r="B270" s="17"/>
      <c r="C270" s="51"/>
      <c r="D270" s="51"/>
      <c r="E270" s="51"/>
      <c r="F270" s="52"/>
      <c r="G270" s="52"/>
      <c r="H270" s="52"/>
      <c r="I270" s="52"/>
      <c r="J270" s="53"/>
      <c r="K270" s="52"/>
    </row>
    <row r="271">
      <c r="A271" s="17"/>
      <c r="B271" s="17"/>
      <c r="C271" s="51"/>
      <c r="D271" s="51"/>
      <c r="E271" s="51"/>
      <c r="F271" s="52"/>
      <c r="G271" s="52"/>
      <c r="H271" s="52"/>
      <c r="I271" s="52"/>
      <c r="J271" s="53"/>
      <c r="K271" s="52"/>
    </row>
    <row r="272">
      <c r="A272" s="17"/>
      <c r="B272" s="17"/>
      <c r="C272" s="51"/>
      <c r="D272" s="51"/>
      <c r="E272" s="51"/>
      <c r="F272" s="52"/>
      <c r="G272" s="52"/>
      <c r="H272" s="52"/>
      <c r="I272" s="52"/>
      <c r="J272" s="53"/>
      <c r="K272" s="52"/>
    </row>
    <row r="273">
      <c r="A273" s="17"/>
      <c r="B273" s="17"/>
      <c r="C273" s="51"/>
      <c r="D273" s="51"/>
      <c r="E273" s="51"/>
      <c r="F273" s="52"/>
      <c r="G273" s="52"/>
      <c r="H273" s="52"/>
      <c r="I273" s="52"/>
      <c r="J273" s="53"/>
      <c r="K273" s="52"/>
    </row>
    <row r="274">
      <c r="A274" s="17"/>
      <c r="B274" s="17"/>
      <c r="C274" s="51"/>
      <c r="D274" s="51"/>
      <c r="E274" s="51"/>
      <c r="F274" s="52"/>
      <c r="G274" s="52"/>
      <c r="H274" s="52"/>
      <c r="I274" s="52"/>
      <c r="J274" s="53"/>
      <c r="K274" s="52"/>
    </row>
    <row r="275">
      <c r="A275" s="17"/>
      <c r="B275" s="17"/>
      <c r="C275" s="51"/>
      <c r="D275" s="51"/>
      <c r="E275" s="51"/>
      <c r="F275" s="52"/>
      <c r="G275" s="52"/>
      <c r="H275" s="52"/>
      <c r="I275" s="52"/>
      <c r="J275" s="53"/>
      <c r="K275" s="52"/>
    </row>
    <row r="276">
      <c r="A276" s="17"/>
      <c r="B276" s="17"/>
      <c r="C276" s="51"/>
      <c r="D276" s="51"/>
      <c r="E276" s="51"/>
      <c r="F276" s="52"/>
      <c r="G276" s="52"/>
      <c r="H276" s="52"/>
      <c r="I276" s="52"/>
      <c r="J276" s="53"/>
      <c r="K276" s="52"/>
    </row>
    <row r="277">
      <c r="A277" s="17"/>
      <c r="B277" s="17"/>
      <c r="C277" s="51"/>
      <c r="D277" s="51"/>
      <c r="E277" s="51"/>
      <c r="F277" s="52"/>
      <c r="G277" s="52"/>
      <c r="H277" s="52"/>
      <c r="I277" s="52"/>
      <c r="J277" s="53"/>
      <c r="K277" s="52"/>
    </row>
    <row r="278">
      <c r="A278" s="17"/>
      <c r="B278" s="17"/>
      <c r="C278" s="51"/>
      <c r="D278" s="51"/>
      <c r="E278" s="51"/>
      <c r="F278" s="52"/>
      <c r="G278" s="52"/>
      <c r="H278" s="52"/>
      <c r="I278" s="52"/>
      <c r="J278" s="53"/>
      <c r="K278" s="52"/>
    </row>
    <row r="279">
      <c r="A279" s="17"/>
      <c r="B279" s="17"/>
      <c r="C279" s="51"/>
      <c r="D279" s="51"/>
      <c r="E279" s="51"/>
      <c r="F279" s="52"/>
      <c r="G279" s="52"/>
      <c r="H279" s="52"/>
      <c r="I279" s="52"/>
      <c r="J279" s="53"/>
      <c r="K279" s="52"/>
    </row>
    <row r="280">
      <c r="A280" s="17"/>
      <c r="B280" s="17"/>
      <c r="C280" s="51"/>
      <c r="D280" s="51"/>
      <c r="E280" s="51"/>
      <c r="F280" s="52"/>
      <c r="G280" s="52"/>
      <c r="H280" s="52"/>
      <c r="I280" s="52"/>
      <c r="J280" s="53"/>
      <c r="K280" s="52"/>
    </row>
    <row r="281">
      <c r="A281" s="17"/>
      <c r="B281" s="17"/>
      <c r="C281" s="51"/>
      <c r="D281" s="51"/>
      <c r="E281" s="51"/>
      <c r="F281" s="52"/>
      <c r="G281" s="52"/>
      <c r="H281" s="52"/>
      <c r="I281" s="52"/>
      <c r="J281" s="53"/>
      <c r="K281" s="52"/>
    </row>
    <row r="282">
      <c r="A282" s="17"/>
      <c r="B282" s="17"/>
      <c r="C282" s="51"/>
      <c r="D282" s="51"/>
      <c r="E282" s="51"/>
      <c r="F282" s="52"/>
      <c r="G282" s="52"/>
      <c r="H282" s="52"/>
      <c r="I282" s="52"/>
      <c r="J282" s="53"/>
      <c r="K282" s="52"/>
    </row>
    <row r="283">
      <c r="A283" s="17"/>
      <c r="B283" s="17"/>
      <c r="C283" s="51"/>
      <c r="D283" s="51"/>
      <c r="E283" s="51"/>
      <c r="F283" s="52"/>
      <c r="G283" s="52"/>
      <c r="H283" s="52"/>
      <c r="I283" s="52"/>
      <c r="J283" s="53"/>
      <c r="K283" s="52"/>
    </row>
    <row r="284">
      <c r="A284" s="17"/>
      <c r="B284" s="17"/>
      <c r="C284" s="51"/>
      <c r="D284" s="51"/>
      <c r="E284" s="51"/>
      <c r="F284" s="52"/>
      <c r="G284" s="52"/>
      <c r="H284" s="52"/>
      <c r="I284" s="52"/>
      <c r="J284" s="53"/>
      <c r="K284" s="52"/>
    </row>
    <row r="285">
      <c r="A285" s="17"/>
      <c r="B285" s="17"/>
      <c r="C285" s="51"/>
      <c r="D285" s="51"/>
      <c r="E285" s="51"/>
      <c r="F285" s="52"/>
      <c r="G285" s="52"/>
      <c r="H285" s="52"/>
      <c r="I285" s="52"/>
      <c r="J285" s="53"/>
      <c r="K285" s="52"/>
    </row>
    <row r="286">
      <c r="A286" s="17"/>
      <c r="B286" s="17"/>
      <c r="C286" s="51"/>
      <c r="D286" s="51"/>
      <c r="E286" s="51"/>
      <c r="F286" s="52"/>
      <c r="G286" s="52"/>
      <c r="H286" s="52"/>
      <c r="I286" s="52"/>
      <c r="J286" s="53"/>
      <c r="K286" s="52"/>
    </row>
    <row r="287">
      <c r="A287" s="17"/>
      <c r="B287" s="17"/>
      <c r="C287" s="51"/>
      <c r="D287" s="51"/>
      <c r="E287" s="51"/>
      <c r="F287" s="52"/>
      <c r="G287" s="52"/>
      <c r="H287" s="52"/>
      <c r="I287" s="52"/>
      <c r="J287" s="53"/>
      <c r="K287" s="52"/>
    </row>
    <row r="288">
      <c r="A288" s="17"/>
      <c r="B288" s="17"/>
      <c r="C288" s="51"/>
      <c r="D288" s="51"/>
      <c r="E288" s="51"/>
      <c r="F288" s="52"/>
      <c r="G288" s="52"/>
      <c r="H288" s="52"/>
      <c r="I288" s="52"/>
      <c r="J288" s="53"/>
      <c r="K288" s="52"/>
    </row>
    <row r="289">
      <c r="A289" s="17"/>
      <c r="B289" s="17"/>
      <c r="C289" s="51"/>
      <c r="D289" s="51"/>
      <c r="E289" s="51"/>
      <c r="F289" s="52"/>
      <c r="G289" s="52"/>
      <c r="H289" s="52"/>
      <c r="I289" s="52"/>
      <c r="J289" s="53"/>
      <c r="K289" s="52"/>
    </row>
    <row r="290">
      <c r="A290" s="17"/>
      <c r="B290" s="17"/>
      <c r="C290" s="51"/>
      <c r="D290" s="51"/>
      <c r="E290" s="51"/>
      <c r="F290" s="52"/>
      <c r="G290" s="52"/>
      <c r="H290" s="52"/>
      <c r="I290" s="52"/>
      <c r="J290" s="53"/>
      <c r="K290" s="52"/>
    </row>
    <row r="291">
      <c r="A291" s="17"/>
      <c r="B291" s="17"/>
      <c r="C291" s="51"/>
      <c r="D291" s="51"/>
      <c r="E291" s="51"/>
      <c r="F291" s="52"/>
      <c r="G291" s="52"/>
      <c r="H291" s="52"/>
      <c r="I291" s="52"/>
      <c r="J291" s="53"/>
      <c r="K291" s="52"/>
    </row>
    <row r="292">
      <c r="A292" s="17"/>
      <c r="B292" s="17"/>
      <c r="C292" s="51"/>
      <c r="D292" s="51"/>
      <c r="E292" s="51"/>
      <c r="F292" s="52"/>
      <c r="G292" s="52"/>
      <c r="H292" s="52"/>
      <c r="I292" s="52"/>
      <c r="J292" s="53"/>
      <c r="K292" s="52"/>
    </row>
    <row r="293">
      <c r="A293" s="17"/>
      <c r="B293" s="17"/>
      <c r="C293" s="51"/>
      <c r="D293" s="51"/>
      <c r="E293" s="51"/>
      <c r="F293" s="52"/>
      <c r="G293" s="52"/>
      <c r="H293" s="52"/>
      <c r="I293" s="52"/>
      <c r="J293" s="53"/>
      <c r="K293" s="52"/>
    </row>
    <row r="294">
      <c r="A294" s="17"/>
      <c r="B294" s="17"/>
      <c r="C294" s="51"/>
      <c r="D294" s="51"/>
      <c r="E294" s="51"/>
      <c r="F294" s="52"/>
      <c r="G294" s="52"/>
      <c r="H294" s="52"/>
      <c r="I294" s="52"/>
      <c r="J294" s="53"/>
      <c r="K294" s="52"/>
    </row>
    <row r="295">
      <c r="A295" s="17"/>
      <c r="B295" s="17"/>
      <c r="C295" s="51"/>
      <c r="D295" s="51"/>
      <c r="E295" s="51"/>
      <c r="F295" s="52"/>
      <c r="G295" s="52"/>
      <c r="H295" s="52"/>
      <c r="I295" s="52"/>
      <c r="J295" s="53"/>
      <c r="K295" s="52"/>
    </row>
    <row r="296">
      <c r="A296" s="17"/>
      <c r="B296" s="17"/>
      <c r="C296" s="51"/>
      <c r="D296" s="51"/>
      <c r="E296" s="51"/>
      <c r="F296" s="52"/>
      <c r="G296" s="52"/>
      <c r="H296" s="52"/>
      <c r="I296" s="52"/>
      <c r="J296" s="53"/>
      <c r="K296" s="52"/>
    </row>
    <row r="297">
      <c r="A297" s="17"/>
      <c r="B297" s="17"/>
      <c r="C297" s="51"/>
      <c r="D297" s="51"/>
      <c r="E297" s="51"/>
      <c r="F297" s="52"/>
      <c r="G297" s="52"/>
      <c r="H297" s="52"/>
      <c r="I297" s="52"/>
      <c r="J297" s="53"/>
      <c r="K297" s="52"/>
    </row>
    <row r="298">
      <c r="A298" s="17"/>
      <c r="B298" s="17"/>
      <c r="C298" s="51"/>
      <c r="D298" s="51"/>
      <c r="E298" s="51"/>
      <c r="F298" s="52"/>
      <c r="G298" s="52"/>
      <c r="H298" s="52"/>
      <c r="I298" s="52"/>
      <c r="J298" s="53"/>
      <c r="K298" s="52"/>
    </row>
    <row r="299">
      <c r="A299" s="17"/>
      <c r="B299" s="17"/>
      <c r="C299" s="51"/>
      <c r="D299" s="51"/>
      <c r="E299" s="51"/>
      <c r="F299" s="52"/>
      <c r="G299" s="52"/>
      <c r="H299" s="52"/>
      <c r="I299" s="52"/>
      <c r="J299" s="53"/>
      <c r="K299" s="52"/>
    </row>
    <row r="300">
      <c r="A300" s="17"/>
      <c r="B300" s="17"/>
      <c r="C300" s="51"/>
      <c r="D300" s="51"/>
      <c r="E300" s="51"/>
      <c r="F300" s="52"/>
      <c r="G300" s="52"/>
      <c r="H300" s="52"/>
      <c r="I300" s="52"/>
      <c r="J300" s="53"/>
      <c r="K300" s="52"/>
    </row>
    <row r="301">
      <c r="A301" s="17"/>
      <c r="B301" s="17"/>
      <c r="C301" s="51"/>
      <c r="D301" s="51"/>
      <c r="E301" s="51"/>
      <c r="F301" s="52"/>
      <c r="G301" s="52"/>
      <c r="H301" s="52"/>
      <c r="I301" s="52"/>
      <c r="J301" s="53"/>
      <c r="K301" s="52"/>
    </row>
    <row r="302">
      <c r="A302" s="17"/>
      <c r="B302" s="17"/>
      <c r="C302" s="51"/>
      <c r="D302" s="51"/>
      <c r="E302" s="51"/>
      <c r="F302" s="52"/>
      <c r="G302" s="52"/>
      <c r="H302" s="52"/>
      <c r="I302" s="52"/>
      <c r="J302" s="53"/>
      <c r="K302" s="52"/>
    </row>
    <row r="303">
      <c r="A303" s="17"/>
      <c r="B303" s="17"/>
      <c r="C303" s="51"/>
      <c r="D303" s="51"/>
      <c r="E303" s="51"/>
      <c r="F303" s="52"/>
      <c r="G303" s="52"/>
      <c r="H303" s="52"/>
      <c r="I303" s="52"/>
      <c r="J303" s="53"/>
      <c r="K303" s="52"/>
    </row>
    <row r="304">
      <c r="A304" s="17"/>
      <c r="B304" s="17"/>
      <c r="C304" s="51"/>
      <c r="D304" s="51"/>
      <c r="E304" s="51"/>
      <c r="F304" s="52"/>
      <c r="G304" s="52"/>
      <c r="H304" s="52"/>
      <c r="I304" s="52"/>
      <c r="J304" s="53"/>
      <c r="K304" s="52"/>
    </row>
    <row r="305">
      <c r="A305" s="17"/>
      <c r="B305" s="17"/>
      <c r="C305" s="51"/>
      <c r="D305" s="51"/>
      <c r="E305" s="51"/>
      <c r="F305" s="52"/>
      <c r="G305" s="52"/>
      <c r="H305" s="52"/>
      <c r="I305" s="52"/>
      <c r="J305" s="53"/>
      <c r="K305" s="52"/>
    </row>
    <row r="306">
      <c r="A306" s="17"/>
      <c r="B306" s="17"/>
      <c r="C306" s="51"/>
      <c r="D306" s="51"/>
      <c r="E306" s="51"/>
      <c r="F306" s="52"/>
      <c r="G306" s="52"/>
      <c r="H306" s="52"/>
      <c r="I306" s="52"/>
      <c r="J306" s="53"/>
      <c r="K306" s="52"/>
    </row>
    <row r="307">
      <c r="A307" s="17"/>
      <c r="B307" s="17"/>
      <c r="C307" s="51"/>
      <c r="D307" s="51"/>
      <c r="E307" s="51"/>
      <c r="F307" s="52"/>
      <c r="G307" s="52"/>
      <c r="H307" s="52"/>
      <c r="I307" s="52"/>
      <c r="J307" s="53"/>
      <c r="K307" s="52"/>
    </row>
    <row r="308">
      <c r="A308" s="17"/>
      <c r="B308" s="17"/>
      <c r="C308" s="51"/>
      <c r="D308" s="51"/>
      <c r="E308" s="51"/>
      <c r="F308" s="52"/>
      <c r="G308" s="52"/>
      <c r="H308" s="52"/>
      <c r="I308" s="52"/>
      <c r="J308" s="53"/>
      <c r="K308" s="52"/>
    </row>
    <row r="309">
      <c r="A309" s="17"/>
      <c r="B309" s="17"/>
      <c r="C309" s="51"/>
      <c r="D309" s="51"/>
      <c r="E309" s="51"/>
      <c r="F309" s="52"/>
      <c r="G309" s="52"/>
      <c r="H309" s="52"/>
      <c r="I309" s="52"/>
      <c r="J309" s="53"/>
      <c r="K309" s="52"/>
    </row>
    <row r="310">
      <c r="A310" s="17"/>
      <c r="B310" s="17"/>
      <c r="C310" s="51"/>
      <c r="D310" s="51"/>
      <c r="E310" s="51"/>
      <c r="F310" s="52"/>
      <c r="G310" s="52"/>
      <c r="H310" s="52"/>
      <c r="I310" s="52"/>
      <c r="J310" s="53"/>
      <c r="K310" s="52"/>
    </row>
    <row r="311">
      <c r="A311" s="17"/>
      <c r="B311" s="17"/>
      <c r="C311" s="51"/>
      <c r="D311" s="51"/>
      <c r="E311" s="51"/>
      <c r="F311" s="52"/>
      <c r="G311" s="52"/>
      <c r="H311" s="52"/>
      <c r="I311" s="52"/>
      <c r="J311" s="53"/>
      <c r="K311" s="52"/>
    </row>
    <row r="312">
      <c r="A312" s="17"/>
      <c r="B312" s="17"/>
      <c r="C312" s="51"/>
      <c r="D312" s="51"/>
      <c r="E312" s="51"/>
      <c r="F312" s="52"/>
      <c r="G312" s="52"/>
      <c r="H312" s="52"/>
      <c r="I312" s="52"/>
      <c r="J312" s="53"/>
      <c r="K312" s="52"/>
    </row>
    <row r="313">
      <c r="A313" s="17"/>
      <c r="B313" s="17"/>
      <c r="C313" s="51"/>
      <c r="D313" s="51"/>
      <c r="E313" s="51"/>
      <c r="F313" s="52"/>
      <c r="G313" s="52"/>
      <c r="H313" s="52"/>
      <c r="I313" s="52"/>
      <c r="J313" s="53"/>
      <c r="K313" s="52"/>
    </row>
    <row r="314">
      <c r="A314" s="17"/>
      <c r="B314" s="17"/>
      <c r="C314" s="51"/>
      <c r="D314" s="51"/>
      <c r="E314" s="51"/>
      <c r="F314" s="52"/>
      <c r="G314" s="52"/>
      <c r="H314" s="52"/>
      <c r="I314" s="52"/>
      <c r="J314" s="53"/>
      <c r="K314" s="52"/>
    </row>
    <row r="315">
      <c r="A315" s="17"/>
      <c r="B315" s="17"/>
      <c r="C315" s="51"/>
      <c r="D315" s="51"/>
      <c r="E315" s="51"/>
      <c r="F315" s="52"/>
      <c r="G315" s="52"/>
      <c r="H315" s="52"/>
      <c r="I315" s="52"/>
      <c r="J315" s="53"/>
      <c r="K315" s="52"/>
    </row>
    <row r="316">
      <c r="A316" s="17"/>
      <c r="B316" s="17"/>
      <c r="C316" s="51"/>
      <c r="D316" s="51"/>
      <c r="E316" s="51"/>
      <c r="F316" s="52"/>
      <c r="G316" s="52"/>
      <c r="H316" s="52"/>
      <c r="I316" s="52"/>
      <c r="J316" s="53"/>
      <c r="K316" s="52"/>
    </row>
    <row r="317">
      <c r="A317" s="17"/>
      <c r="B317" s="17"/>
      <c r="C317" s="51"/>
      <c r="D317" s="51"/>
      <c r="E317" s="51"/>
      <c r="F317" s="52"/>
      <c r="G317" s="52"/>
      <c r="H317" s="52"/>
      <c r="I317" s="52"/>
      <c r="J317" s="53"/>
      <c r="K317" s="52"/>
    </row>
    <row r="318">
      <c r="A318" s="17"/>
      <c r="B318" s="17"/>
      <c r="C318" s="51"/>
      <c r="D318" s="51"/>
      <c r="E318" s="51"/>
      <c r="F318" s="52"/>
      <c r="G318" s="52"/>
      <c r="H318" s="52"/>
      <c r="I318" s="52"/>
      <c r="J318" s="53"/>
      <c r="K318" s="52"/>
    </row>
    <row r="319">
      <c r="A319" s="17"/>
      <c r="B319" s="17"/>
      <c r="C319" s="51"/>
      <c r="D319" s="51"/>
      <c r="E319" s="51"/>
      <c r="F319" s="52"/>
      <c r="G319" s="52"/>
      <c r="H319" s="52"/>
      <c r="I319" s="52"/>
      <c r="J319" s="53"/>
      <c r="K319" s="52"/>
    </row>
    <row r="320">
      <c r="A320" s="17"/>
      <c r="B320" s="17"/>
      <c r="C320" s="51"/>
      <c r="D320" s="51"/>
      <c r="E320" s="51"/>
      <c r="F320" s="52"/>
      <c r="G320" s="52"/>
      <c r="H320" s="52"/>
      <c r="I320" s="52"/>
      <c r="J320" s="53"/>
      <c r="K320" s="52"/>
    </row>
    <row r="321">
      <c r="A321" s="17"/>
      <c r="B321" s="17"/>
      <c r="C321" s="51"/>
      <c r="D321" s="51"/>
      <c r="E321" s="51"/>
      <c r="F321" s="52"/>
      <c r="G321" s="52"/>
      <c r="H321" s="52"/>
      <c r="I321" s="52"/>
      <c r="J321" s="53"/>
      <c r="K321" s="52"/>
    </row>
    <row r="322">
      <c r="A322" s="17"/>
      <c r="B322" s="17"/>
      <c r="C322" s="51"/>
      <c r="D322" s="51"/>
      <c r="E322" s="51"/>
      <c r="F322" s="52"/>
      <c r="G322" s="52"/>
      <c r="H322" s="52"/>
      <c r="I322" s="52"/>
      <c r="J322" s="53"/>
      <c r="K322" s="52"/>
    </row>
    <row r="323">
      <c r="A323" s="17"/>
      <c r="B323" s="17"/>
      <c r="C323" s="51"/>
      <c r="D323" s="51"/>
      <c r="E323" s="51"/>
      <c r="F323" s="52"/>
      <c r="G323" s="52"/>
      <c r="H323" s="52"/>
      <c r="I323" s="52"/>
      <c r="J323" s="53"/>
      <c r="K323" s="52"/>
    </row>
    <row r="324">
      <c r="A324" s="17"/>
      <c r="B324" s="17"/>
      <c r="C324" s="51"/>
      <c r="D324" s="51"/>
      <c r="E324" s="51"/>
      <c r="F324" s="52"/>
      <c r="G324" s="52"/>
      <c r="H324" s="52"/>
      <c r="I324" s="52"/>
      <c r="J324" s="53"/>
      <c r="K324" s="52"/>
    </row>
    <row r="325">
      <c r="A325" s="17"/>
      <c r="B325" s="17"/>
      <c r="C325" s="51"/>
      <c r="D325" s="51"/>
      <c r="E325" s="51"/>
      <c r="F325" s="52"/>
      <c r="G325" s="52"/>
      <c r="H325" s="52"/>
      <c r="I325" s="52"/>
      <c r="J325" s="53"/>
      <c r="K325" s="52"/>
    </row>
    <row r="326">
      <c r="A326" s="17"/>
      <c r="B326" s="17"/>
      <c r="C326" s="51"/>
      <c r="D326" s="51"/>
      <c r="E326" s="51"/>
      <c r="F326" s="52"/>
      <c r="G326" s="52"/>
      <c r="H326" s="52"/>
      <c r="I326" s="52"/>
      <c r="J326" s="53"/>
      <c r="K326" s="52"/>
    </row>
    <row r="327">
      <c r="A327" s="17"/>
      <c r="B327" s="17"/>
      <c r="C327" s="51"/>
      <c r="D327" s="51"/>
      <c r="E327" s="51"/>
      <c r="F327" s="52"/>
      <c r="G327" s="52"/>
      <c r="H327" s="52"/>
      <c r="I327" s="52"/>
      <c r="J327" s="53"/>
      <c r="K327" s="52"/>
    </row>
    <row r="328">
      <c r="A328" s="17"/>
      <c r="B328" s="17"/>
      <c r="C328" s="51"/>
      <c r="D328" s="51"/>
      <c r="E328" s="51"/>
      <c r="F328" s="52"/>
      <c r="G328" s="52"/>
      <c r="H328" s="52"/>
      <c r="I328" s="52"/>
      <c r="J328" s="53"/>
      <c r="K328" s="52"/>
    </row>
    <row r="329">
      <c r="A329" s="17"/>
      <c r="B329" s="17"/>
      <c r="C329" s="51"/>
      <c r="D329" s="51"/>
      <c r="E329" s="51"/>
      <c r="F329" s="52"/>
      <c r="G329" s="52"/>
      <c r="H329" s="52"/>
      <c r="I329" s="52"/>
      <c r="J329" s="53"/>
      <c r="K329" s="52"/>
    </row>
    <row r="330">
      <c r="A330" s="17"/>
      <c r="B330" s="17"/>
      <c r="C330" s="51"/>
      <c r="D330" s="51"/>
      <c r="E330" s="51"/>
      <c r="F330" s="52"/>
      <c r="G330" s="52"/>
      <c r="H330" s="52"/>
      <c r="I330" s="52"/>
      <c r="J330" s="53"/>
      <c r="K330" s="52"/>
    </row>
    <row r="331">
      <c r="A331" s="17"/>
      <c r="B331" s="17"/>
      <c r="C331" s="51"/>
      <c r="D331" s="51"/>
      <c r="E331" s="51"/>
      <c r="F331" s="52"/>
      <c r="G331" s="52"/>
      <c r="H331" s="52"/>
      <c r="I331" s="52"/>
      <c r="J331" s="53"/>
      <c r="K331" s="52"/>
    </row>
    <row r="332">
      <c r="A332" s="17"/>
      <c r="B332" s="17"/>
      <c r="C332" s="51"/>
      <c r="D332" s="51"/>
      <c r="E332" s="51"/>
      <c r="F332" s="52"/>
      <c r="G332" s="52"/>
      <c r="H332" s="52"/>
      <c r="I332" s="52"/>
      <c r="J332" s="53"/>
      <c r="K332" s="52"/>
    </row>
    <row r="333">
      <c r="A333" s="17"/>
      <c r="B333" s="17"/>
      <c r="C333" s="51"/>
      <c r="D333" s="51"/>
      <c r="E333" s="51"/>
      <c r="F333" s="52"/>
      <c r="G333" s="52"/>
      <c r="H333" s="52"/>
      <c r="I333" s="52"/>
      <c r="J333" s="53"/>
      <c r="K333" s="52"/>
    </row>
    <row r="334">
      <c r="A334" s="17"/>
      <c r="B334" s="17"/>
      <c r="C334" s="51"/>
      <c r="D334" s="51"/>
      <c r="E334" s="51"/>
      <c r="F334" s="52"/>
      <c r="G334" s="52"/>
      <c r="H334" s="52"/>
      <c r="I334" s="52"/>
      <c r="J334" s="53"/>
      <c r="K334" s="52"/>
    </row>
    <row r="335">
      <c r="A335" s="17"/>
      <c r="B335" s="17"/>
      <c r="C335" s="51"/>
      <c r="D335" s="51"/>
      <c r="E335" s="51"/>
      <c r="F335" s="52"/>
      <c r="G335" s="52"/>
      <c r="H335" s="52"/>
      <c r="I335" s="52"/>
      <c r="J335" s="53"/>
      <c r="K335" s="52"/>
    </row>
    <row r="336">
      <c r="A336" s="17"/>
      <c r="B336" s="17"/>
      <c r="C336" s="51"/>
      <c r="D336" s="51"/>
      <c r="E336" s="51"/>
      <c r="F336" s="52"/>
      <c r="G336" s="52"/>
      <c r="H336" s="52"/>
      <c r="I336" s="52"/>
      <c r="J336" s="53"/>
      <c r="K336" s="52"/>
    </row>
    <row r="337">
      <c r="A337" s="17"/>
      <c r="B337" s="17"/>
      <c r="C337" s="51"/>
      <c r="D337" s="51"/>
      <c r="E337" s="51"/>
      <c r="F337" s="52"/>
      <c r="G337" s="52"/>
      <c r="H337" s="52"/>
      <c r="I337" s="52"/>
      <c r="J337" s="53"/>
      <c r="K337" s="52"/>
    </row>
    <row r="338">
      <c r="A338" s="17"/>
      <c r="B338" s="17"/>
      <c r="C338" s="51"/>
      <c r="D338" s="51"/>
      <c r="E338" s="51"/>
      <c r="F338" s="52"/>
      <c r="G338" s="52"/>
      <c r="H338" s="52"/>
      <c r="I338" s="52"/>
      <c r="J338" s="53"/>
      <c r="K338" s="52"/>
    </row>
    <row r="339">
      <c r="A339" s="17"/>
      <c r="B339" s="17"/>
      <c r="C339" s="51"/>
      <c r="D339" s="51"/>
      <c r="E339" s="51"/>
      <c r="F339" s="52"/>
      <c r="G339" s="52"/>
      <c r="H339" s="52"/>
      <c r="I339" s="52"/>
      <c r="J339" s="53"/>
      <c r="K339" s="52"/>
    </row>
    <row r="340">
      <c r="A340" s="17"/>
      <c r="B340" s="17"/>
      <c r="C340" s="51"/>
      <c r="D340" s="51"/>
      <c r="E340" s="51"/>
      <c r="F340" s="52"/>
      <c r="G340" s="52"/>
      <c r="H340" s="52"/>
      <c r="I340" s="52"/>
      <c r="J340" s="53"/>
      <c r="K340" s="52"/>
    </row>
    <row r="341">
      <c r="A341" s="17"/>
      <c r="B341" s="17"/>
      <c r="C341" s="51"/>
      <c r="D341" s="51"/>
      <c r="E341" s="51"/>
      <c r="F341" s="52"/>
      <c r="G341" s="52"/>
      <c r="H341" s="52"/>
      <c r="I341" s="52"/>
      <c r="J341" s="53"/>
      <c r="K341" s="52"/>
    </row>
    <row r="342">
      <c r="A342" s="17"/>
      <c r="B342" s="17"/>
      <c r="C342" s="51"/>
      <c r="D342" s="51"/>
      <c r="E342" s="51"/>
      <c r="F342" s="52"/>
      <c r="G342" s="52"/>
      <c r="H342" s="52"/>
      <c r="I342" s="52"/>
      <c r="J342" s="53"/>
      <c r="K342" s="52"/>
    </row>
    <row r="343">
      <c r="A343" s="17"/>
      <c r="B343" s="17"/>
      <c r="C343" s="51"/>
      <c r="D343" s="51"/>
      <c r="E343" s="51"/>
      <c r="F343" s="52"/>
      <c r="G343" s="52"/>
      <c r="H343" s="52"/>
      <c r="I343" s="52"/>
      <c r="J343" s="53"/>
      <c r="K343" s="52"/>
    </row>
    <row r="344">
      <c r="A344" s="17"/>
      <c r="B344" s="17"/>
      <c r="C344" s="51"/>
      <c r="D344" s="51"/>
      <c r="E344" s="51"/>
      <c r="F344" s="52"/>
      <c r="G344" s="52"/>
      <c r="H344" s="52"/>
      <c r="I344" s="52"/>
      <c r="J344" s="53"/>
      <c r="K344" s="52"/>
    </row>
    <row r="345">
      <c r="A345" s="17"/>
      <c r="B345" s="17"/>
      <c r="C345" s="51"/>
      <c r="D345" s="51"/>
      <c r="E345" s="51"/>
      <c r="F345" s="52"/>
      <c r="G345" s="52"/>
      <c r="H345" s="52"/>
      <c r="I345" s="52"/>
      <c r="J345" s="53"/>
      <c r="K345" s="52"/>
    </row>
    <row r="346">
      <c r="A346" s="17"/>
      <c r="B346" s="17"/>
      <c r="C346" s="51"/>
      <c r="D346" s="51"/>
      <c r="E346" s="51"/>
      <c r="F346" s="52"/>
      <c r="G346" s="52"/>
      <c r="H346" s="52"/>
      <c r="I346" s="52"/>
      <c r="J346" s="53"/>
      <c r="K346" s="52"/>
    </row>
    <row r="347">
      <c r="A347" s="17"/>
      <c r="B347" s="17"/>
      <c r="C347" s="51"/>
      <c r="D347" s="51"/>
      <c r="E347" s="51"/>
      <c r="F347" s="52"/>
      <c r="G347" s="52"/>
      <c r="H347" s="52"/>
      <c r="I347" s="52"/>
      <c r="J347" s="53"/>
      <c r="K347" s="52"/>
    </row>
    <row r="348">
      <c r="A348" s="17"/>
      <c r="B348" s="17"/>
      <c r="C348" s="51"/>
      <c r="D348" s="51"/>
      <c r="E348" s="51"/>
      <c r="F348" s="52"/>
      <c r="G348" s="52"/>
      <c r="H348" s="52"/>
      <c r="I348" s="52"/>
      <c r="J348" s="53"/>
      <c r="K348" s="52"/>
    </row>
    <row r="349">
      <c r="A349" s="17"/>
      <c r="B349" s="17"/>
      <c r="C349" s="51"/>
      <c r="D349" s="51"/>
      <c r="E349" s="51"/>
      <c r="F349" s="52"/>
      <c r="G349" s="52"/>
      <c r="H349" s="52"/>
      <c r="I349" s="52"/>
      <c r="J349" s="53"/>
      <c r="K349" s="52"/>
    </row>
    <row r="350">
      <c r="A350" s="17"/>
      <c r="B350" s="17"/>
      <c r="C350" s="51"/>
      <c r="D350" s="51"/>
      <c r="E350" s="51"/>
      <c r="F350" s="52"/>
      <c r="G350" s="52"/>
      <c r="H350" s="52"/>
      <c r="I350" s="52"/>
      <c r="J350" s="53"/>
      <c r="K350" s="52"/>
    </row>
    <row r="351">
      <c r="A351" s="17"/>
      <c r="B351" s="17"/>
      <c r="C351" s="51"/>
      <c r="D351" s="51"/>
      <c r="E351" s="51"/>
      <c r="F351" s="52"/>
      <c r="G351" s="52"/>
      <c r="H351" s="52"/>
      <c r="I351" s="52"/>
      <c r="J351" s="53"/>
      <c r="K351" s="52"/>
    </row>
    <row r="352">
      <c r="A352" s="17"/>
      <c r="B352" s="17"/>
      <c r="C352" s="51"/>
      <c r="D352" s="51"/>
      <c r="E352" s="51"/>
      <c r="F352" s="52"/>
      <c r="G352" s="52"/>
      <c r="H352" s="52"/>
      <c r="I352" s="52"/>
      <c r="J352" s="53"/>
      <c r="K352" s="52"/>
    </row>
    <row r="353">
      <c r="A353" s="17"/>
      <c r="B353" s="17"/>
      <c r="C353" s="51"/>
      <c r="D353" s="51"/>
      <c r="E353" s="51"/>
      <c r="F353" s="52"/>
      <c r="G353" s="52"/>
      <c r="H353" s="52"/>
      <c r="I353" s="52"/>
      <c r="J353" s="53"/>
      <c r="K353" s="52"/>
    </row>
    <row r="354">
      <c r="A354" s="17"/>
      <c r="B354" s="17"/>
      <c r="C354" s="51"/>
      <c r="D354" s="51"/>
      <c r="E354" s="51"/>
      <c r="F354" s="52"/>
      <c r="G354" s="52"/>
      <c r="H354" s="52"/>
      <c r="I354" s="52"/>
      <c r="J354" s="53"/>
      <c r="K354" s="52"/>
    </row>
    <row r="355">
      <c r="A355" s="17"/>
      <c r="B355" s="17"/>
      <c r="C355" s="51"/>
      <c r="D355" s="51"/>
      <c r="E355" s="51"/>
      <c r="F355" s="52"/>
      <c r="G355" s="52"/>
      <c r="H355" s="52"/>
      <c r="I355" s="52"/>
      <c r="J355" s="53"/>
      <c r="K355" s="52"/>
    </row>
    <row r="356">
      <c r="A356" s="17"/>
      <c r="B356" s="17"/>
      <c r="C356" s="51"/>
      <c r="D356" s="51"/>
      <c r="E356" s="51"/>
      <c r="F356" s="52"/>
      <c r="G356" s="52"/>
      <c r="H356" s="52"/>
      <c r="I356" s="52"/>
      <c r="J356" s="53"/>
      <c r="K356" s="52"/>
    </row>
    <row r="357">
      <c r="A357" s="17"/>
      <c r="B357" s="17"/>
      <c r="C357" s="51"/>
      <c r="D357" s="51"/>
      <c r="E357" s="51"/>
      <c r="F357" s="52"/>
      <c r="G357" s="52"/>
      <c r="H357" s="52"/>
      <c r="I357" s="52"/>
      <c r="J357" s="53"/>
      <c r="K357" s="52"/>
    </row>
    <row r="358">
      <c r="A358" s="17"/>
      <c r="B358" s="17"/>
      <c r="C358" s="51"/>
      <c r="D358" s="51"/>
      <c r="E358" s="51"/>
      <c r="F358" s="52"/>
      <c r="G358" s="52"/>
      <c r="H358" s="52"/>
      <c r="I358" s="52"/>
      <c r="J358" s="53"/>
      <c r="K358" s="52"/>
    </row>
    <row r="359">
      <c r="A359" s="17"/>
      <c r="B359" s="17"/>
      <c r="C359" s="51"/>
      <c r="D359" s="51"/>
      <c r="E359" s="51"/>
      <c r="F359" s="52"/>
      <c r="G359" s="52"/>
      <c r="H359" s="52"/>
      <c r="I359" s="52"/>
      <c r="J359" s="53"/>
      <c r="K359" s="52"/>
    </row>
    <row r="360">
      <c r="A360" s="17"/>
      <c r="B360" s="17"/>
      <c r="C360" s="51"/>
      <c r="D360" s="51"/>
      <c r="E360" s="51"/>
      <c r="F360" s="52"/>
      <c r="G360" s="52"/>
      <c r="H360" s="52"/>
      <c r="I360" s="52"/>
      <c r="J360" s="53"/>
      <c r="K360" s="52"/>
    </row>
    <row r="361">
      <c r="A361" s="17"/>
      <c r="B361" s="17"/>
      <c r="C361" s="51"/>
      <c r="D361" s="51"/>
      <c r="E361" s="51"/>
      <c r="F361" s="52"/>
      <c r="G361" s="52"/>
      <c r="H361" s="52"/>
      <c r="I361" s="52"/>
      <c r="J361" s="53"/>
      <c r="K361" s="52"/>
    </row>
    <row r="362">
      <c r="A362" s="17"/>
      <c r="B362" s="17"/>
      <c r="C362" s="51"/>
      <c r="D362" s="51"/>
      <c r="E362" s="51"/>
      <c r="F362" s="52"/>
      <c r="G362" s="52"/>
      <c r="H362" s="52"/>
      <c r="I362" s="52"/>
      <c r="J362" s="53"/>
      <c r="K362" s="52"/>
    </row>
    <row r="363">
      <c r="A363" s="17"/>
      <c r="B363" s="17"/>
      <c r="C363" s="51"/>
      <c r="D363" s="51"/>
      <c r="E363" s="51"/>
      <c r="F363" s="52"/>
      <c r="G363" s="52"/>
      <c r="H363" s="52"/>
      <c r="I363" s="52"/>
      <c r="J363" s="53"/>
      <c r="K363" s="52"/>
    </row>
    <row r="364">
      <c r="A364" s="17"/>
      <c r="B364" s="17"/>
      <c r="C364" s="51"/>
      <c r="D364" s="51"/>
      <c r="E364" s="51"/>
      <c r="F364" s="52"/>
      <c r="G364" s="52"/>
      <c r="H364" s="52"/>
      <c r="I364" s="52"/>
      <c r="J364" s="53"/>
      <c r="K364" s="52"/>
    </row>
    <row r="365">
      <c r="A365" s="17"/>
      <c r="B365" s="17"/>
      <c r="C365" s="51"/>
      <c r="D365" s="51"/>
      <c r="E365" s="51"/>
      <c r="F365" s="52"/>
      <c r="G365" s="52"/>
      <c r="H365" s="52"/>
      <c r="I365" s="52"/>
      <c r="J365" s="53"/>
      <c r="K365" s="52"/>
    </row>
    <row r="366">
      <c r="A366" s="17"/>
      <c r="B366" s="17"/>
      <c r="C366" s="51"/>
      <c r="D366" s="51"/>
      <c r="E366" s="51"/>
      <c r="F366" s="52"/>
      <c r="G366" s="52"/>
      <c r="H366" s="52"/>
      <c r="I366" s="52"/>
      <c r="J366" s="53"/>
      <c r="K366" s="52"/>
    </row>
    <row r="367">
      <c r="A367" s="17"/>
      <c r="B367" s="17"/>
      <c r="C367" s="51"/>
      <c r="D367" s="51"/>
      <c r="E367" s="51"/>
      <c r="F367" s="52"/>
      <c r="G367" s="52"/>
      <c r="H367" s="52"/>
      <c r="I367" s="52"/>
      <c r="J367" s="53"/>
      <c r="K367" s="52"/>
    </row>
    <row r="368">
      <c r="A368" s="17"/>
      <c r="B368" s="17"/>
      <c r="C368" s="51"/>
      <c r="D368" s="51"/>
      <c r="E368" s="51"/>
      <c r="F368" s="52"/>
      <c r="G368" s="52"/>
      <c r="H368" s="52"/>
      <c r="I368" s="52"/>
      <c r="J368" s="53"/>
      <c r="K368" s="52"/>
    </row>
    <row r="369">
      <c r="A369" s="17"/>
      <c r="B369" s="17"/>
      <c r="C369" s="51"/>
      <c r="D369" s="51"/>
      <c r="E369" s="51"/>
      <c r="F369" s="52"/>
      <c r="G369" s="52"/>
      <c r="H369" s="52"/>
      <c r="I369" s="52"/>
      <c r="J369" s="53"/>
      <c r="K369" s="52"/>
    </row>
    <row r="370">
      <c r="A370" s="17"/>
      <c r="B370" s="17"/>
      <c r="C370" s="51"/>
      <c r="D370" s="51"/>
      <c r="E370" s="51"/>
      <c r="F370" s="52"/>
      <c r="G370" s="52"/>
      <c r="H370" s="52"/>
      <c r="I370" s="52"/>
      <c r="J370" s="53"/>
      <c r="K370" s="52"/>
    </row>
    <row r="371">
      <c r="A371" s="17"/>
      <c r="B371" s="17"/>
      <c r="C371" s="51"/>
      <c r="D371" s="51"/>
      <c r="E371" s="51"/>
      <c r="F371" s="52"/>
      <c r="G371" s="52"/>
      <c r="H371" s="52"/>
      <c r="I371" s="52"/>
      <c r="J371" s="53"/>
      <c r="K371" s="52"/>
    </row>
    <row r="372">
      <c r="A372" s="17"/>
      <c r="B372" s="17"/>
      <c r="C372" s="51"/>
      <c r="D372" s="51"/>
      <c r="E372" s="51"/>
      <c r="F372" s="52"/>
      <c r="G372" s="52"/>
      <c r="H372" s="52"/>
      <c r="I372" s="52"/>
      <c r="J372" s="53"/>
      <c r="K372" s="52"/>
    </row>
    <row r="373">
      <c r="A373" s="17"/>
      <c r="B373" s="17"/>
      <c r="C373" s="51"/>
      <c r="D373" s="51"/>
      <c r="E373" s="51"/>
      <c r="F373" s="52"/>
      <c r="G373" s="52"/>
      <c r="H373" s="52"/>
      <c r="I373" s="52"/>
      <c r="J373" s="53"/>
      <c r="K373" s="52"/>
    </row>
    <row r="374">
      <c r="A374" s="17"/>
      <c r="B374" s="17"/>
      <c r="C374" s="51"/>
      <c r="D374" s="51"/>
      <c r="E374" s="51"/>
      <c r="F374" s="52"/>
      <c r="G374" s="52"/>
      <c r="H374" s="52"/>
      <c r="I374" s="52"/>
      <c r="J374" s="53"/>
      <c r="K374" s="52"/>
    </row>
    <row r="375">
      <c r="A375" s="17"/>
      <c r="B375" s="17"/>
      <c r="C375" s="51"/>
      <c r="D375" s="51"/>
      <c r="E375" s="51"/>
      <c r="F375" s="52"/>
      <c r="G375" s="52"/>
      <c r="H375" s="52"/>
      <c r="I375" s="52"/>
      <c r="J375" s="53"/>
      <c r="K375" s="52"/>
    </row>
    <row r="376">
      <c r="A376" s="17"/>
      <c r="B376" s="17"/>
      <c r="C376" s="51"/>
      <c r="D376" s="51"/>
      <c r="E376" s="51"/>
      <c r="F376" s="52"/>
      <c r="G376" s="52"/>
      <c r="H376" s="52"/>
      <c r="I376" s="52"/>
      <c r="J376" s="53"/>
      <c r="K376" s="52"/>
    </row>
    <row r="377">
      <c r="A377" s="17"/>
      <c r="B377" s="17"/>
      <c r="C377" s="51"/>
      <c r="D377" s="51"/>
      <c r="E377" s="51"/>
      <c r="F377" s="52"/>
      <c r="G377" s="52"/>
      <c r="H377" s="52"/>
      <c r="I377" s="52"/>
      <c r="J377" s="53"/>
      <c r="K377" s="52"/>
    </row>
    <row r="378">
      <c r="A378" s="17"/>
      <c r="B378" s="17"/>
      <c r="C378" s="51"/>
      <c r="D378" s="51"/>
      <c r="E378" s="51"/>
      <c r="F378" s="52"/>
      <c r="G378" s="52"/>
      <c r="H378" s="52"/>
      <c r="I378" s="52"/>
      <c r="J378" s="53"/>
      <c r="K378" s="52"/>
    </row>
    <row r="379">
      <c r="A379" s="17"/>
      <c r="B379" s="17"/>
      <c r="C379" s="51"/>
      <c r="D379" s="51"/>
      <c r="E379" s="51"/>
      <c r="F379" s="52"/>
      <c r="G379" s="52"/>
      <c r="H379" s="52"/>
      <c r="I379" s="52"/>
      <c r="J379" s="53"/>
      <c r="K379" s="52"/>
    </row>
    <row r="380">
      <c r="A380" s="17"/>
      <c r="B380" s="17"/>
      <c r="C380" s="51"/>
      <c r="D380" s="51"/>
      <c r="E380" s="51"/>
      <c r="F380" s="52"/>
      <c r="G380" s="52"/>
      <c r="H380" s="52"/>
      <c r="I380" s="52"/>
      <c r="J380" s="53"/>
      <c r="K380" s="52"/>
    </row>
    <row r="381">
      <c r="A381" s="17"/>
      <c r="B381" s="17"/>
      <c r="C381" s="51"/>
      <c r="D381" s="51"/>
      <c r="E381" s="51"/>
      <c r="F381" s="52"/>
      <c r="G381" s="52"/>
      <c r="H381" s="52"/>
      <c r="I381" s="52"/>
      <c r="J381" s="53"/>
      <c r="K381" s="52"/>
    </row>
    <row r="382">
      <c r="A382" s="17"/>
      <c r="B382" s="17"/>
      <c r="C382" s="51"/>
      <c r="D382" s="51"/>
      <c r="E382" s="51"/>
      <c r="F382" s="52"/>
      <c r="G382" s="52"/>
      <c r="H382" s="52"/>
      <c r="I382" s="52"/>
      <c r="J382" s="53"/>
      <c r="K382" s="52"/>
    </row>
    <row r="383">
      <c r="A383" s="17"/>
      <c r="B383" s="17"/>
      <c r="C383" s="51"/>
      <c r="D383" s="51"/>
      <c r="E383" s="51"/>
      <c r="F383" s="52"/>
      <c r="G383" s="52"/>
      <c r="H383" s="52"/>
      <c r="I383" s="52"/>
      <c r="J383" s="53"/>
      <c r="K383" s="52"/>
    </row>
    <row r="384">
      <c r="A384" s="17"/>
      <c r="B384" s="17"/>
      <c r="C384" s="51"/>
      <c r="D384" s="51"/>
      <c r="E384" s="51"/>
      <c r="F384" s="52"/>
      <c r="G384" s="52"/>
      <c r="H384" s="52"/>
      <c r="I384" s="52"/>
      <c r="J384" s="53"/>
      <c r="K384" s="52"/>
    </row>
    <row r="385">
      <c r="A385" s="17"/>
      <c r="B385" s="17"/>
      <c r="C385" s="51"/>
      <c r="D385" s="51"/>
      <c r="E385" s="51"/>
      <c r="F385" s="52"/>
      <c r="G385" s="52"/>
      <c r="H385" s="52"/>
      <c r="I385" s="52"/>
      <c r="J385" s="53"/>
      <c r="K385" s="52"/>
    </row>
    <row r="386">
      <c r="A386" s="17"/>
      <c r="B386" s="17"/>
      <c r="C386" s="51"/>
      <c r="D386" s="51"/>
      <c r="E386" s="51"/>
      <c r="F386" s="52"/>
      <c r="G386" s="52"/>
      <c r="H386" s="52"/>
      <c r="I386" s="52"/>
      <c r="J386" s="53"/>
      <c r="K386" s="52"/>
    </row>
    <row r="387">
      <c r="A387" s="17"/>
      <c r="B387" s="17"/>
      <c r="C387" s="51"/>
      <c r="D387" s="51"/>
      <c r="E387" s="51"/>
      <c r="F387" s="52"/>
      <c r="G387" s="52"/>
      <c r="H387" s="52"/>
      <c r="I387" s="52"/>
      <c r="J387" s="53"/>
      <c r="K387" s="52"/>
    </row>
    <row r="388">
      <c r="A388" s="17"/>
      <c r="B388" s="17"/>
      <c r="C388" s="51"/>
      <c r="D388" s="51"/>
      <c r="E388" s="51"/>
      <c r="F388" s="52"/>
      <c r="G388" s="52"/>
      <c r="H388" s="52"/>
      <c r="I388" s="52"/>
      <c r="J388" s="53"/>
      <c r="K388" s="52"/>
    </row>
    <row r="389">
      <c r="A389" s="17"/>
      <c r="B389" s="17"/>
      <c r="C389" s="51"/>
      <c r="D389" s="51"/>
      <c r="E389" s="51"/>
      <c r="F389" s="52"/>
      <c r="G389" s="52"/>
      <c r="H389" s="52"/>
      <c r="I389" s="52"/>
      <c r="J389" s="53"/>
      <c r="K389" s="52"/>
    </row>
    <row r="390">
      <c r="A390" s="17"/>
      <c r="B390" s="17"/>
      <c r="C390" s="51"/>
      <c r="D390" s="51"/>
      <c r="E390" s="51"/>
      <c r="F390" s="52"/>
      <c r="G390" s="52"/>
      <c r="H390" s="52"/>
      <c r="I390" s="52"/>
      <c r="J390" s="53"/>
      <c r="K390" s="52"/>
    </row>
    <row r="391">
      <c r="A391" s="17"/>
      <c r="B391" s="17"/>
      <c r="C391" s="51"/>
      <c r="D391" s="51"/>
      <c r="E391" s="51"/>
      <c r="F391" s="52"/>
      <c r="G391" s="52"/>
      <c r="H391" s="52"/>
      <c r="I391" s="52"/>
      <c r="J391" s="53"/>
      <c r="K391" s="52"/>
    </row>
    <row r="392">
      <c r="A392" s="17"/>
      <c r="B392" s="17"/>
      <c r="C392" s="51"/>
      <c r="D392" s="51"/>
      <c r="E392" s="51"/>
      <c r="F392" s="52"/>
      <c r="G392" s="52"/>
      <c r="H392" s="52"/>
      <c r="I392" s="52"/>
      <c r="J392" s="53"/>
      <c r="K392" s="52"/>
    </row>
    <row r="393">
      <c r="A393" s="17"/>
      <c r="B393" s="17"/>
      <c r="C393" s="51"/>
      <c r="D393" s="51"/>
      <c r="E393" s="51"/>
      <c r="F393" s="52"/>
      <c r="G393" s="52"/>
      <c r="H393" s="52"/>
      <c r="I393" s="52"/>
      <c r="J393" s="53"/>
      <c r="K393" s="52"/>
    </row>
    <row r="394">
      <c r="A394" s="17"/>
      <c r="B394" s="17"/>
      <c r="C394" s="51"/>
      <c r="D394" s="51"/>
      <c r="E394" s="51"/>
      <c r="F394" s="52"/>
      <c r="G394" s="52"/>
      <c r="H394" s="52"/>
      <c r="I394" s="52"/>
      <c r="J394" s="53"/>
      <c r="K394" s="52"/>
    </row>
    <row r="395">
      <c r="A395" s="17"/>
      <c r="B395" s="17"/>
      <c r="C395" s="51"/>
      <c r="D395" s="51"/>
      <c r="E395" s="51"/>
      <c r="F395" s="52"/>
      <c r="G395" s="52"/>
      <c r="H395" s="52"/>
      <c r="I395" s="52"/>
      <c r="J395" s="53"/>
      <c r="K395" s="52"/>
    </row>
    <row r="396">
      <c r="A396" s="17"/>
      <c r="B396" s="17"/>
      <c r="C396" s="51"/>
      <c r="D396" s="51"/>
      <c r="E396" s="51"/>
      <c r="F396" s="52"/>
      <c r="G396" s="52"/>
      <c r="H396" s="52"/>
      <c r="I396" s="52"/>
      <c r="J396" s="53"/>
      <c r="K396" s="52"/>
    </row>
    <row r="397">
      <c r="A397" s="17"/>
      <c r="B397" s="17"/>
      <c r="C397" s="51"/>
      <c r="D397" s="51"/>
      <c r="E397" s="51"/>
      <c r="F397" s="52"/>
      <c r="G397" s="52"/>
      <c r="H397" s="52"/>
      <c r="I397" s="52"/>
      <c r="J397" s="53"/>
      <c r="K397" s="52"/>
    </row>
    <row r="398">
      <c r="A398" s="17"/>
      <c r="B398" s="17"/>
      <c r="C398" s="51"/>
      <c r="D398" s="51"/>
      <c r="E398" s="51"/>
      <c r="F398" s="52"/>
      <c r="G398" s="52"/>
      <c r="H398" s="52"/>
      <c r="I398" s="52"/>
      <c r="J398" s="53"/>
      <c r="K398" s="52"/>
    </row>
    <row r="399">
      <c r="A399" s="17"/>
      <c r="B399" s="17"/>
      <c r="C399" s="51"/>
      <c r="D399" s="51"/>
      <c r="E399" s="51"/>
      <c r="F399" s="52"/>
      <c r="G399" s="52"/>
      <c r="H399" s="52"/>
      <c r="I399" s="52"/>
      <c r="J399" s="53"/>
      <c r="K399" s="52"/>
    </row>
    <row r="400">
      <c r="A400" s="17"/>
      <c r="B400" s="17"/>
      <c r="C400" s="51"/>
      <c r="D400" s="51"/>
      <c r="E400" s="51"/>
      <c r="F400" s="52"/>
      <c r="G400" s="52"/>
      <c r="H400" s="52"/>
      <c r="I400" s="52"/>
      <c r="J400" s="53"/>
      <c r="K400" s="52"/>
    </row>
    <row r="401">
      <c r="A401" s="17"/>
      <c r="B401" s="17"/>
      <c r="C401" s="51"/>
      <c r="D401" s="51"/>
      <c r="E401" s="51"/>
      <c r="F401" s="52"/>
      <c r="G401" s="52"/>
      <c r="H401" s="52"/>
      <c r="I401" s="52"/>
      <c r="J401" s="53"/>
      <c r="K401" s="52"/>
    </row>
    <row r="402">
      <c r="A402" s="17"/>
      <c r="B402" s="17"/>
      <c r="C402" s="51"/>
      <c r="D402" s="51"/>
      <c r="E402" s="51"/>
      <c r="F402" s="52"/>
      <c r="G402" s="52"/>
      <c r="H402" s="52"/>
      <c r="I402" s="52"/>
      <c r="J402" s="53"/>
      <c r="K402" s="52"/>
    </row>
    <row r="403">
      <c r="A403" s="17"/>
      <c r="B403" s="17"/>
      <c r="C403" s="51"/>
      <c r="D403" s="51"/>
      <c r="E403" s="51"/>
      <c r="F403" s="52"/>
      <c r="G403" s="52"/>
      <c r="H403" s="52"/>
      <c r="I403" s="52"/>
      <c r="J403" s="53"/>
      <c r="K403" s="52"/>
    </row>
    <row r="404">
      <c r="A404" s="17"/>
      <c r="B404" s="17"/>
      <c r="C404" s="51"/>
      <c r="D404" s="51"/>
      <c r="E404" s="51"/>
      <c r="F404" s="52"/>
      <c r="G404" s="52"/>
      <c r="H404" s="52"/>
      <c r="I404" s="52"/>
      <c r="J404" s="53"/>
      <c r="K404" s="52"/>
    </row>
    <row r="405">
      <c r="A405" s="17"/>
      <c r="B405" s="17"/>
      <c r="C405" s="51"/>
      <c r="D405" s="51"/>
      <c r="E405" s="51"/>
      <c r="F405" s="52"/>
      <c r="G405" s="52"/>
      <c r="H405" s="52"/>
      <c r="I405" s="52"/>
      <c r="J405" s="53"/>
      <c r="K405" s="52"/>
    </row>
    <row r="406">
      <c r="A406" s="17"/>
      <c r="B406" s="17"/>
      <c r="C406" s="51"/>
      <c r="D406" s="51"/>
      <c r="E406" s="51"/>
      <c r="F406" s="52"/>
      <c r="G406" s="52"/>
      <c r="H406" s="52"/>
      <c r="I406" s="52"/>
      <c r="J406" s="53"/>
      <c r="K406" s="52"/>
    </row>
    <row r="407">
      <c r="A407" s="17"/>
      <c r="B407" s="17"/>
      <c r="C407" s="51"/>
      <c r="D407" s="51"/>
      <c r="E407" s="51"/>
      <c r="F407" s="52"/>
      <c r="G407" s="52"/>
      <c r="H407" s="52"/>
      <c r="I407" s="52"/>
      <c r="J407" s="53"/>
      <c r="K407" s="52"/>
    </row>
    <row r="408">
      <c r="A408" s="17"/>
      <c r="B408" s="17"/>
      <c r="C408" s="51"/>
      <c r="D408" s="51"/>
      <c r="E408" s="51"/>
      <c r="F408" s="52"/>
      <c r="G408" s="52"/>
      <c r="H408" s="52"/>
      <c r="I408" s="52"/>
      <c r="J408" s="53"/>
      <c r="K408" s="52"/>
    </row>
    <row r="409">
      <c r="A409" s="17"/>
      <c r="B409" s="17"/>
      <c r="C409" s="51"/>
      <c r="D409" s="51"/>
      <c r="E409" s="51"/>
      <c r="F409" s="52"/>
      <c r="G409" s="52"/>
      <c r="H409" s="52"/>
      <c r="I409" s="52"/>
      <c r="J409" s="53"/>
      <c r="K409" s="52"/>
    </row>
    <row r="410">
      <c r="A410" s="17"/>
      <c r="B410" s="17"/>
      <c r="C410" s="51"/>
      <c r="D410" s="51"/>
      <c r="E410" s="51"/>
      <c r="F410" s="52"/>
      <c r="G410" s="52"/>
      <c r="H410" s="52"/>
      <c r="I410" s="52"/>
      <c r="J410" s="53"/>
      <c r="K410" s="52"/>
    </row>
    <row r="411">
      <c r="A411" s="17"/>
      <c r="B411" s="17"/>
      <c r="C411" s="51"/>
      <c r="D411" s="51"/>
      <c r="E411" s="51"/>
      <c r="F411" s="52"/>
      <c r="G411" s="52"/>
      <c r="H411" s="52"/>
      <c r="I411" s="52"/>
      <c r="J411" s="53"/>
      <c r="K411" s="52"/>
    </row>
    <row r="412">
      <c r="A412" s="17"/>
      <c r="B412" s="17"/>
      <c r="C412" s="51"/>
      <c r="D412" s="51"/>
      <c r="E412" s="51"/>
      <c r="F412" s="52"/>
      <c r="G412" s="52"/>
      <c r="H412" s="52"/>
      <c r="I412" s="52"/>
      <c r="J412" s="53"/>
      <c r="K412" s="52"/>
    </row>
    <row r="413">
      <c r="A413" s="17"/>
      <c r="B413" s="17"/>
      <c r="C413" s="51"/>
      <c r="D413" s="51"/>
      <c r="E413" s="51"/>
      <c r="F413" s="52"/>
      <c r="G413" s="52"/>
      <c r="H413" s="52"/>
      <c r="I413" s="52"/>
      <c r="J413" s="53"/>
      <c r="K413" s="52"/>
    </row>
    <row r="414">
      <c r="A414" s="17"/>
      <c r="B414" s="17"/>
      <c r="C414" s="51"/>
      <c r="D414" s="51"/>
      <c r="E414" s="51"/>
      <c r="F414" s="52"/>
      <c r="G414" s="52"/>
      <c r="H414" s="52"/>
      <c r="I414" s="52"/>
      <c r="J414" s="53"/>
      <c r="K414" s="52"/>
    </row>
    <row r="415">
      <c r="A415" s="17"/>
      <c r="B415" s="17"/>
      <c r="C415" s="51"/>
      <c r="D415" s="51"/>
      <c r="E415" s="51"/>
      <c r="F415" s="52"/>
      <c r="G415" s="52"/>
      <c r="H415" s="52"/>
      <c r="I415" s="52"/>
      <c r="J415" s="53"/>
      <c r="K415" s="52"/>
    </row>
    <row r="416">
      <c r="A416" s="17"/>
      <c r="B416" s="17"/>
      <c r="C416" s="51"/>
      <c r="D416" s="51"/>
      <c r="E416" s="51"/>
      <c r="F416" s="52"/>
      <c r="G416" s="52"/>
      <c r="H416" s="52"/>
      <c r="I416" s="52"/>
      <c r="J416" s="53"/>
      <c r="K416" s="52"/>
    </row>
    <row r="417">
      <c r="A417" s="17"/>
      <c r="B417" s="17"/>
      <c r="C417" s="51"/>
      <c r="D417" s="51"/>
      <c r="E417" s="51"/>
      <c r="F417" s="52"/>
      <c r="G417" s="52"/>
      <c r="H417" s="52"/>
      <c r="I417" s="52"/>
      <c r="J417" s="53"/>
      <c r="K417" s="52"/>
    </row>
    <row r="418">
      <c r="A418" s="17"/>
      <c r="B418" s="17"/>
      <c r="C418" s="51"/>
      <c r="D418" s="51"/>
      <c r="E418" s="51"/>
      <c r="F418" s="52"/>
      <c r="G418" s="52"/>
      <c r="H418" s="52"/>
      <c r="I418" s="52"/>
      <c r="J418" s="53"/>
      <c r="K418" s="52"/>
    </row>
    <row r="419">
      <c r="A419" s="17"/>
      <c r="B419" s="17"/>
      <c r="C419" s="51"/>
      <c r="D419" s="51"/>
      <c r="E419" s="51"/>
      <c r="F419" s="52"/>
      <c r="G419" s="52"/>
      <c r="H419" s="52"/>
      <c r="I419" s="52"/>
      <c r="J419" s="53"/>
      <c r="K419" s="52"/>
    </row>
    <row r="420">
      <c r="A420" s="17"/>
      <c r="B420" s="17"/>
      <c r="C420" s="51"/>
      <c r="D420" s="51"/>
      <c r="E420" s="51"/>
      <c r="F420" s="52"/>
      <c r="G420" s="52"/>
      <c r="H420" s="52"/>
      <c r="I420" s="52"/>
      <c r="J420" s="53"/>
      <c r="K420" s="52"/>
    </row>
    <row r="421">
      <c r="A421" s="17"/>
      <c r="B421" s="17"/>
      <c r="C421" s="51"/>
      <c r="D421" s="51"/>
      <c r="E421" s="51"/>
      <c r="F421" s="52"/>
      <c r="G421" s="52"/>
      <c r="H421" s="52"/>
      <c r="I421" s="52"/>
      <c r="J421" s="53"/>
      <c r="K421" s="52"/>
    </row>
    <row r="422">
      <c r="A422" s="17"/>
      <c r="B422" s="17"/>
      <c r="C422" s="51"/>
      <c r="D422" s="51"/>
      <c r="E422" s="51"/>
      <c r="F422" s="52"/>
      <c r="G422" s="52"/>
      <c r="H422" s="52"/>
      <c r="I422" s="52"/>
      <c r="J422" s="53"/>
      <c r="K422" s="52"/>
    </row>
    <row r="423">
      <c r="A423" s="17"/>
      <c r="B423" s="17"/>
      <c r="C423" s="51"/>
      <c r="D423" s="51"/>
      <c r="E423" s="51"/>
      <c r="F423" s="52"/>
      <c r="G423" s="52"/>
      <c r="H423" s="52"/>
      <c r="I423" s="52"/>
      <c r="J423" s="53"/>
      <c r="K423" s="52"/>
    </row>
    <row r="424">
      <c r="A424" s="17"/>
      <c r="B424" s="17"/>
      <c r="C424" s="51"/>
      <c r="D424" s="51"/>
      <c r="E424" s="51"/>
      <c r="F424" s="52"/>
      <c r="G424" s="52"/>
      <c r="H424" s="52"/>
      <c r="I424" s="52"/>
      <c r="J424" s="53"/>
      <c r="K424" s="52"/>
    </row>
    <row r="425">
      <c r="A425" s="17"/>
      <c r="B425" s="17"/>
      <c r="C425" s="51"/>
      <c r="D425" s="51"/>
      <c r="E425" s="51"/>
      <c r="F425" s="52"/>
      <c r="G425" s="52"/>
      <c r="H425" s="52"/>
      <c r="I425" s="52"/>
      <c r="J425" s="53"/>
      <c r="K425" s="52"/>
    </row>
    <row r="426">
      <c r="A426" s="17"/>
      <c r="B426" s="17"/>
      <c r="C426" s="51"/>
      <c r="D426" s="51"/>
      <c r="E426" s="51"/>
      <c r="F426" s="52"/>
      <c r="G426" s="52"/>
      <c r="H426" s="52"/>
      <c r="I426" s="52"/>
      <c r="J426" s="53"/>
      <c r="K426" s="52"/>
    </row>
    <row r="427">
      <c r="A427" s="17"/>
      <c r="B427" s="17"/>
      <c r="C427" s="51"/>
      <c r="D427" s="51"/>
      <c r="E427" s="51"/>
      <c r="F427" s="52"/>
      <c r="G427" s="52"/>
      <c r="H427" s="52"/>
      <c r="I427" s="52"/>
      <c r="J427" s="53"/>
      <c r="K427" s="52"/>
    </row>
    <row r="428">
      <c r="A428" s="17"/>
      <c r="B428" s="17"/>
      <c r="C428" s="51"/>
      <c r="D428" s="51"/>
      <c r="E428" s="51"/>
      <c r="F428" s="52"/>
      <c r="G428" s="52"/>
      <c r="H428" s="52"/>
      <c r="I428" s="52"/>
      <c r="J428" s="53"/>
      <c r="K428" s="52"/>
    </row>
    <row r="429">
      <c r="A429" s="17"/>
      <c r="B429" s="17"/>
      <c r="C429" s="51"/>
      <c r="D429" s="51"/>
      <c r="E429" s="51"/>
      <c r="F429" s="52"/>
      <c r="G429" s="52"/>
      <c r="H429" s="52"/>
      <c r="I429" s="52"/>
      <c r="J429" s="53"/>
      <c r="K429" s="52"/>
    </row>
    <row r="430">
      <c r="A430" s="17"/>
      <c r="B430" s="17"/>
      <c r="C430" s="51"/>
      <c r="D430" s="51"/>
      <c r="E430" s="51"/>
      <c r="F430" s="52"/>
      <c r="G430" s="52"/>
      <c r="H430" s="52"/>
      <c r="I430" s="52"/>
      <c r="J430" s="53"/>
      <c r="K430" s="52"/>
    </row>
    <row r="431">
      <c r="A431" s="17"/>
      <c r="B431" s="17"/>
      <c r="C431" s="51"/>
      <c r="D431" s="51"/>
      <c r="E431" s="51"/>
      <c r="F431" s="52"/>
      <c r="G431" s="52"/>
      <c r="H431" s="52"/>
      <c r="I431" s="52"/>
      <c r="J431" s="53"/>
      <c r="K431" s="52"/>
    </row>
    <row r="432">
      <c r="A432" s="17"/>
      <c r="B432" s="17"/>
      <c r="C432" s="51"/>
      <c r="D432" s="51"/>
      <c r="E432" s="51"/>
      <c r="F432" s="52"/>
      <c r="G432" s="52"/>
      <c r="H432" s="52"/>
      <c r="I432" s="52"/>
      <c r="J432" s="53"/>
      <c r="K432" s="52"/>
    </row>
    <row r="433">
      <c r="A433" s="17"/>
      <c r="B433" s="17"/>
      <c r="C433" s="51"/>
      <c r="D433" s="51"/>
      <c r="E433" s="51"/>
      <c r="F433" s="52"/>
      <c r="G433" s="52"/>
      <c r="H433" s="52"/>
      <c r="I433" s="52"/>
      <c r="J433" s="53"/>
      <c r="K433" s="52"/>
    </row>
    <row r="434">
      <c r="A434" s="17"/>
      <c r="B434" s="17"/>
      <c r="C434" s="51"/>
      <c r="D434" s="51"/>
      <c r="E434" s="51"/>
      <c r="F434" s="52"/>
      <c r="G434" s="52"/>
      <c r="H434" s="52"/>
      <c r="I434" s="52"/>
      <c r="J434" s="53"/>
      <c r="K434" s="52"/>
    </row>
    <row r="435">
      <c r="A435" s="17"/>
      <c r="B435" s="17"/>
      <c r="C435" s="51"/>
      <c r="D435" s="51"/>
      <c r="E435" s="51"/>
      <c r="F435" s="52"/>
      <c r="G435" s="52"/>
      <c r="H435" s="52"/>
      <c r="I435" s="52"/>
      <c r="J435" s="53"/>
      <c r="K435" s="52"/>
    </row>
    <row r="436">
      <c r="A436" s="17"/>
      <c r="B436" s="17"/>
      <c r="C436" s="51"/>
      <c r="D436" s="51"/>
      <c r="E436" s="51"/>
      <c r="F436" s="52"/>
      <c r="G436" s="52"/>
      <c r="H436" s="52"/>
      <c r="I436" s="52"/>
      <c r="J436" s="53"/>
      <c r="K436" s="52"/>
    </row>
    <row r="437">
      <c r="A437" s="17"/>
      <c r="B437" s="17"/>
      <c r="C437" s="51"/>
      <c r="D437" s="51"/>
      <c r="E437" s="51"/>
      <c r="F437" s="52"/>
      <c r="G437" s="52"/>
      <c r="H437" s="52"/>
      <c r="I437" s="52"/>
      <c r="J437" s="53"/>
      <c r="K437" s="52"/>
    </row>
    <row r="438">
      <c r="A438" s="17"/>
      <c r="B438" s="17"/>
      <c r="C438" s="51"/>
      <c r="D438" s="51"/>
      <c r="E438" s="51"/>
      <c r="F438" s="52"/>
      <c r="G438" s="52"/>
      <c r="H438" s="52"/>
      <c r="I438" s="52"/>
      <c r="J438" s="53"/>
      <c r="K438" s="52"/>
    </row>
    <row r="439">
      <c r="A439" s="17"/>
      <c r="B439" s="17"/>
      <c r="C439" s="51"/>
      <c r="D439" s="51"/>
      <c r="E439" s="51"/>
      <c r="F439" s="52"/>
      <c r="G439" s="52"/>
      <c r="H439" s="52"/>
      <c r="I439" s="52"/>
      <c r="J439" s="53"/>
      <c r="K439" s="52"/>
    </row>
    <row r="440">
      <c r="A440" s="17"/>
      <c r="B440" s="17"/>
      <c r="C440" s="51"/>
      <c r="D440" s="51"/>
      <c r="E440" s="51"/>
      <c r="F440" s="52"/>
      <c r="G440" s="52"/>
      <c r="H440" s="52"/>
      <c r="I440" s="52"/>
      <c r="J440" s="53"/>
      <c r="K440" s="52"/>
    </row>
    <row r="441">
      <c r="A441" s="17"/>
      <c r="B441" s="17"/>
      <c r="C441" s="51"/>
      <c r="D441" s="51"/>
      <c r="E441" s="51"/>
      <c r="F441" s="52"/>
      <c r="G441" s="52"/>
      <c r="H441" s="52"/>
      <c r="I441" s="52"/>
      <c r="J441" s="53"/>
      <c r="K441" s="52"/>
    </row>
    <row r="442">
      <c r="A442" s="17"/>
      <c r="B442" s="17"/>
      <c r="C442" s="51"/>
      <c r="D442" s="51"/>
      <c r="E442" s="51"/>
      <c r="F442" s="52"/>
      <c r="G442" s="52"/>
      <c r="H442" s="52"/>
      <c r="I442" s="52"/>
      <c r="J442" s="53"/>
      <c r="K442" s="52"/>
    </row>
    <row r="443">
      <c r="A443" s="17"/>
      <c r="B443" s="17"/>
      <c r="C443" s="51"/>
      <c r="D443" s="51"/>
      <c r="E443" s="51"/>
      <c r="F443" s="52"/>
      <c r="G443" s="52"/>
      <c r="H443" s="52"/>
      <c r="I443" s="52"/>
      <c r="J443" s="53"/>
      <c r="K443" s="52"/>
    </row>
    <row r="444">
      <c r="A444" s="17"/>
      <c r="B444" s="17"/>
      <c r="C444" s="51"/>
      <c r="D444" s="51"/>
      <c r="E444" s="51"/>
      <c r="F444" s="52"/>
      <c r="G444" s="52"/>
      <c r="H444" s="52"/>
      <c r="I444" s="52"/>
      <c r="J444" s="53"/>
      <c r="K444" s="52"/>
    </row>
    <row r="445">
      <c r="A445" s="17"/>
      <c r="B445" s="17"/>
      <c r="C445" s="51"/>
      <c r="D445" s="51"/>
      <c r="E445" s="51"/>
      <c r="F445" s="52"/>
      <c r="G445" s="52"/>
      <c r="H445" s="52"/>
      <c r="I445" s="52"/>
      <c r="J445" s="53"/>
      <c r="K445" s="52"/>
    </row>
    <row r="446">
      <c r="A446" s="17"/>
      <c r="B446" s="17"/>
      <c r="C446" s="51"/>
      <c r="D446" s="51"/>
      <c r="E446" s="51"/>
      <c r="F446" s="52"/>
      <c r="G446" s="52"/>
      <c r="H446" s="52"/>
      <c r="I446" s="52"/>
      <c r="J446" s="53"/>
      <c r="K446" s="52"/>
    </row>
    <row r="447">
      <c r="A447" s="17"/>
      <c r="B447" s="17"/>
      <c r="C447" s="51"/>
      <c r="D447" s="51"/>
      <c r="E447" s="51"/>
      <c r="F447" s="52"/>
      <c r="G447" s="52"/>
      <c r="H447" s="52"/>
      <c r="I447" s="52"/>
      <c r="J447" s="53"/>
      <c r="K447" s="52"/>
    </row>
    <row r="448">
      <c r="A448" s="17"/>
      <c r="B448" s="17"/>
      <c r="C448" s="51"/>
      <c r="D448" s="51"/>
      <c r="E448" s="51"/>
      <c r="F448" s="52"/>
      <c r="G448" s="52"/>
      <c r="H448" s="52"/>
      <c r="I448" s="52"/>
      <c r="J448" s="53"/>
      <c r="K448" s="52"/>
    </row>
    <row r="449">
      <c r="A449" s="17"/>
      <c r="B449" s="17"/>
      <c r="C449" s="51"/>
      <c r="D449" s="51"/>
      <c r="E449" s="51"/>
      <c r="F449" s="52"/>
      <c r="G449" s="52"/>
      <c r="H449" s="52"/>
      <c r="I449" s="52"/>
      <c r="J449" s="53"/>
      <c r="K449" s="52"/>
    </row>
    <row r="450">
      <c r="A450" s="17"/>
      <c r="B450" s="17"/>
      <c r="C450" s="51"/>
      <c r="D450" s="51"/>
      <c r="E450" s="51"/>
      <c r="F450" s="52"/>
      <c r="G450" s="52"/>
      <c r="H450" s="52"/>
      <c r="I450" s="52"/>
      <c r="J450" s="53"/>
      <c r="K450" s="52"/>
    </row>
    <row r="451">
      <c r="A451" s="17"/>
      <c r="B451" s="17"/>
      <c r="C451" s="51"/>
      <c r="D451" s="51"/>
      <c r="E451" s="51"/>
      <c r="F451" s="52"/>
      <c r="G451" s="52"/>
      <c r="H451" s="52"/>
      <c r="I451" s="52"/>
      <c r="J451" s="53"/>
      <c r="K451" s="52"/>
    </row>
    <row r="452">
      <c r="A452" s="17"/>
      <c r="B452" s="17"/>
      <c r="C452" s="51"/>
      <c r="D452" s="51"/>
      <c r="E452" s="51"/>
      <c r="F452" s="52"/>
      <c r="G452" s="52"/>
      <c r="H452" s="52"/>
      <c r="I452" s="52"/>
      <c r="J452" s="53"/>
      <c r="K452" s="52"/>
    </row>
    <row r="453">
      <c r="A453" s="17"/>
      <c r="B453" s="17"/>
      <c r="C453" s="51"/>
      <c r="D453" s="51"/>
      <c r="E453" s="51"/>
      <c r="F453" s="52"/>
      <c r="G453" s="52"/>
      <c r="H453" s="52"/>
      <c r="I453" s="52"/>
      <c r="J453" s="53"/>
      <c r="K453" s="52"/>
    </row>
    <row r="454">
      <c r="A454" s="17"/>
      <c r="B454" s="17"/>
      <c r="C454" s="51"/>
      <c r="D454" s="51"/>
      <c r="E454" s="51"/>
      <c r="F454" s="52"/>
      <c r="G454" s="52"/>
      <c r="H454" s="52"/>
      <c r="I454" s="52"/>
      <c r="J454" s="53"/>
      <c r="K454" s="52"/>
    </row>
    <row r="455">
      <c r="A455" s="17"/>
      <c r="B455" s="17"/>
      <c r="C455" s="51"/>
      <c r="D455" s="51"/>
      <c r="E455" s="51"/>
      <c r="F455" s="52"/>
      <c r="G455" s="52"/>
      <c r="H455" s="52"/>
      <c r="I455" s="52"/>
      <c r="J455" s="53"/>
      <c r="K455" s="52"/>
    </row>
    <row r="456">
      <c r="A456" s="17"/>
      <c r="B456" s="17"/>
      <c r="C456" s="51"/>
      <c r="D456" s="51"/>
      <c r="E456" s="51"/>
      <c r="F456" s="52"/>
      <c r="G456" s="52"/>
      <c r="H456" s="52"/>
      <c r="I456" s="52"/>
      <c r="J456" s="53"/>
      <c r="K456" s="52"/>
    </row>
    <row r="457">
      <c r="A457" s="17"/>
      <c r="B457" s="17"/>
      <c r="C457" s="51"/>
      <c r="D457" s="51"/>
      <c r="E457" s="51"/>
      <c r="F457" s="52"/>
      <c r="G457" s="52"/>
      <c r="H457" s="52"/>
      <c r="I457" s="52"/>
      <c r="J457" s="53"/>
      <c r="K457" s="52"/>
    </row>
    <row r="458">
      <c r="A458" s="17"/>
      <c r="B458" s="17"/>
      <c r="C458" s="51"/>
      <c r="D458" s="51"/>
      <c r="E458" s="51"/>
      <c r="F458" s="52"/>
      <c r="G458" s="52"/>
      <c r="H458" s="52"/>
      <c r="I458" s="52"/>
      <c r="J458" s="53"/>
      <c r="K458" s="52"/>
    </row>
    <row r="459">
      <c r="A459" s="17"/>
      <c r="B459" s="17"/>
      <c r="C459" s="51"/>
      <c r="D459" s="51"/>
      <c r="E459" s="51"/>
      <c r="F459" s="52"/>
      <c r="G459" s="52"/>
      <c r="H459" s="52"/>
      <c r="I459" s="52"/>
      <c r="J459" s="53"/>
      <c r="K459" s="52"/>
    </row>
    <row r="460">
      <c r="A460" s="17"/>
      <c r="B460" s="17"/>
      <c r="C460" s="51"/>
      <c r="D460" s="51"/>
      <c r="E460" s="51"/>
      <c r="F460" s="52"/>
      <c r="G460" s="52"/>
      <c r="H460" s="52"/>
      <c r="I460" s="52"/>
      <c r="J460" s="53"/>
      <c r="K460" s="52"/>
    </row>
    <row r="461">
      <c r="A461" s="17"/>
      <c r="B461" s="17"/>
      <c r="C461" s="51"/>
      <c r="D461" s="51"/>
      <c r="E461" s="51"/>
      <c r="F461" s="52"/>
      <c r="G461" s="52"/>
      <c r="H461" s="52"/>
      <c r="I461" s="52"/>
      <c r="J461" s="53"/>
      <c r="K461" s="52"/>
    </row>
    <row r="462">
      <c r="A462" s="17"/>
      <c r="B462" s="17"/>
      <c r="C462" s="51"/>
      <c r="D462" s="51"/>
      <c r="E462" s="51"/>
      <c r="F462" s="52"/>
      <c r="G462" s="52"/>
      <c r="H462" s="52"/>
      <c r="I462" s="52"/>
      <c r="J462" s="53"/>
      <c r="K462" s="52"/>
    </row>
    <row r="463">
      <c r="A463" s="17"/>
      <c r="B463" s="17"/>
      <c r="C463" s="51"/>
      <c r="D463" s="51"/>
      <c r="E463" s="51"/>
      <c r="F463" s="52"/>
      <c r="G463" s="52"/>
      <c r="H463" s="52"/>
      <c r="I463" s="52"/>
      <c r="J463" s="53"/>
      <c r="K463" s="52"/>
    </row>
    <row r="464">
      <c r="A464" s="17"/>
      <c r="B464" s="17"/>
      <c r="C464" s="51"/>
      <c r="D464" s="51"/>
      <c r="E464" s="51"/>
      <c r="F464" s="52"/>
      <c r="G464" s="52"/>
      <c r="H464" s="52"/>
      <c r="I464" s="52"/>
      <c r="J464" s="53"/>
      <c r="K464" s="52"/>
    </row>
    <row r="465">
      <c r="A465" s="17"/>
      <c r="B465" s="17"/>
      <c r="C465" s="51"/>
      <c r="D465" s="51"/>
      <c r="E465" s="51"/>
      <c r="F465" s="52"/>
      <c r="G465" s="52"/>
      <c r="H465" s="52"/>
      <c r="I465" s="52"/>
      <c r="J465" s="53"/>
      <c r="K465" s="52"/>
    </row>
    <row r="466">
      <c r="A466" s="17"/>
      <c r="B466" s="17"/>
      <c r="C466" s="51"/>
      <c r="D466" s="51"/>
      <c r="E466" s="51"/>
      <c r="F466" s="52"/>
      <c r="G466" s="52"/>
      <c r="H466" s="52"/>
      <c r="I466" s="52"/>
      <c r="J466" s="53"/>
      <c r="K466" s="52"/>
    </row>
    <row r="467">
      <c r="A467" s="17"/>
      <c r="B467" s="17"/>
      <c r="C467" s="51"/>
      <c r="D467" s="51"/>
      <c r="E467" s="51"/>
      <c r="F467" s="52"/>
      <c r="G467" s="52"/>
      <c r="H467" s="52"/>
      <c r="I467" s="52"/>
      <c r="J467" s="53"/>
      <c r="K467" s="52"/>
    </row>
    <row r="468">
      <c r="A468" s="17"/>
      <c r="B468" s="17"/>
      <c r="C468" s="51"/>
      <c r="D468" s="51"/>
      <c r="E468" s="51"/>
      <c r="F468" s="52"/>
      <c r="G468" s="52"/>
      <c r="H468" s="52"/>
      <c r="I468" s="52"/>
      <c r="J468" s="53"/>
      <c r="K468" s="52"/>
    </row>
    <row r="469">
      <c r="A469" s="17"/>
      <c r="B469" s="17"/>
      <c r="C469" s="51"/>
      <c r="D469" s="51"/>
      <c r="E469" s="51"/>
      <c r="F469" s="52"/>
      <c r="G469" s="52"/>
      <c r="H469" s="52"/>
      <c r="I469" s="52"/>
      <c r="J469" s="53"/>
      <c r="K469" s="52"/>
    </row>
    <row r="470">
      <c r="A470" s="17"/>
      <c r="B470" s="17"/>
      <c r="C470" s="51"/>
      <c r="D470" s="51"/>
      <c r="E470" s="51"/>
      <c r="F470" s="52"/>
      <c r="G470" s="52"/>
      <c r="H470" s="52"/>
      <c r="I470" s="52"/>
      <c r="J470" s="53"/>
      <c r="K470" s="52"/>
    </row>
    <row r="471">
      <c r="A471" s="17"/>
      <c r="B471" s="17"/>
      <c r="C471" s="51"/>
      <c r="D471" s="51"/>
      <c r="E471" s="51"/>
      <c r="F471" s="52"/>
      <c r="G471" s="52"/>
      <c r="H471" s="52"/>
      <c r="I471" s="52"/>
      <c r="J471" s="53"/>
      <c r="K471" s="52"/>
    </row>
    <row r="472">
      <c r="A472" s="17"/>
      <c r="B472" s="17"/>
      <c r="C472" s="51"/>
      <c r="D472" s="51"/>
      <c r="E472" s="51"/>
      <c r="F472" s="52"/>
      <c r="G472" s="52"/>
      <c r="H472" s="52"/>
      <c r="I472" s="52"/>
      <c r="J472" s="53"/>
      <c r="K472" s="52"/>
    </row>
    <row r="473">
      <c r="A473" s="17"/>
      <c r="B473" s="17"/>
      <c r="C473" s="51"/>
      <c r="D473" s="51"/>
      <c r="E473" s="51"/>
      <c r="F473" s="52"/>
      <c r="G473" s="52"/>
      <c r="H473" s="52"/>
      <c r="I473" s="52"/>
      <c r="J473" s="53"/>
      <c r="K473" s="52"/>
    </row>
    <row r="474">
      <c r="A474" s="17"/>
      <c r="B474" s="17"/>
      <c r="C474" s="51"/>
      <c r="D474" s="51"/>
      <c r="E474" s="51"/>
      <c r="F474" s="52"/>
      <c r="G474" s="52"/>
      <c r="H474" s="52"/>
      <c r="I474" s="52"/>
      <c r="J474" s="53"/>
      <c r="K474" s="52"/>
    </row>
    <row r="475">
      <c r="A475" s="17"/>
      <c r="B475" s="17"/>
      <c r="C475" s="51"/>
      <c r="D475" s="51"/>
      <c r="E475" s="51"/>
      <c r="F475" s="52"/>
      <c r="G475" s="52"/>
      <c r="H475" s="52"/>
      <c r="I475" s="52"/>
      <c r="J475" s="53"/>
      <c r="K475" s="52"/>
    </row>
    <row r="476">
      <c r="A476" s="17"/>
      <c r="B476" s="17"/>
      <c r="C476" s="51"/>
      <c r="D476" s="51"/>
      <c r="E476" s="51"/>
      <c r="F476" s="52"/>
      <c r="G476" s="52"/>
      <c r="H476" s="52"/>
      <c r="I476" s="52"/>
      <c r="J476" s="53"/>
      <c r="K476" s="52"/>
    </row>
    <row r="477">
      <c r="A477" s="17"/>
      <c r="B477" s="17"/>
      <c r="C477" s="51"/>
      <c r="D477" s="51"/>
      <c r="E477" s="51"/>
      <c r="F477" s="52"/>
      <c r="G477" s="52"/>
      <c r="H477" s="52"/>
      <c r="I477" s="52"/>
      <c r="J477" s="53"/>
      <c r="K477" s="52"/>
    </row>
    <row r="478">
      <c r="A478" s="17"/>
      <c r="B478" s="17"/>
      <c r="C478" s="51"/>
      <c r="D478" s="51"/>
      <c r="E478" s="51"/>
      <c r="F478" s="52"/>
      <c r="G478" s="52"/>
      <c r="H478" s="52"/>
      <c r="I478" s="52"/>
      <c r="J478" s="53"/>
      <c r="K478" s="52"/>
    </row>
    <row r="479">
      <c r="A479" s="17"/>
      <c r="B479" s="17"/>
      <c r="C479" s="51"/>
      <c r="D479" s="51"/>
      <c r="E479" s="51"/>
      <c r="F479" s="52"/>
      <c r="G479" s="52"/>
      <c r="H479" s="52"/>
      <c r="I479" s="52"/>
      <c r="J479" s="53"/>
      <c r="K479" s="52"/>
    </row>
    <row r="480">
      <c r="A480" s="17"/>
      <c r="B480" s="17"/>
      <c r="C480" s="51"/>
      <c r="D480" s="51"/>
      <c r="E480" s="51"/>
      <c r="F480" s="52"/>
      <c r="G480" s="52"/>
      <c r="H480" s="52"/>
      <c r="I480" s="52"/>
      <c r="J480" s="53"/>
      <c r="K480" s="52"/>
    </row>
    <row r="481">
      <c r="A481" s="17"/>
      <c r="B481" s="17"/>
      <c r="C481" s="51"/>
      <c r="D481" s="51"/>
      <c r="E481" s="51"/>
      <c r="F481" s="52"/>
      <c r="G481" s="52"/>
      <c r="H481" s="52"/>
      <c r="I481" s="52"/>
      <c r="J481" s="53"/>
      <c r="K481" s="52"/>
    </row>
    <row r="482">
      <c r="A482" s="17"/>
      <c r="B482" s="17"/>
      <c r="C482" s="51"/>
      <c r="D482" s="51"/>
      <c r="E482" s="51"/>
      <c r="F482" s="52"/>
      <c r="G482" s="52"/>
      <c r="H482" s="52"/>
      <c r="I482" s="52"/>
      <c r="J482" s="53"/>
      <c r="K482" s="52"/>
    </row>
    <row r="483">
      <c r="A483" s="17"/>
      <c r="B483" s="17"/>
      <c r="C483" s="51"/>
      <c r="D483" s="51"/>
      <c r="E483" s="51"/>
      <c r="F483" s="52"/>
      <c r="G483" s="52"/>
      <c r="H483" s="52"/>
      <c r="I483" s="52"/>
      <c r="J483" s="53"/>
      <c r="K483" s="52"/>
    </row>
    <row r="484">
      <c r="A484" s="17"/>
      <c r="B484" s="17"/>
      <c r="C484" s="51"/>
      <c r="D484" s="51"/>
      <c r="E484" s="51"/>
      <c r="F484" s="52"/>
      <c r="G484" s="52"/>
      <c r="H484" s="52"/>
      <c r="I484" s="52"/>
      <c r="J484" s="53"/>
      <c r="K484" s="52"/>
    </row>
    <row r="485">
      <c r="A485" s="17"/>
      <c r="B485" s="17"/>
      <c r="C485" s="51"/>
      <c r="D485" s="51"/>
      <c r="E485" s="51"/>
      <c r="F485" s="52"/>
      <c r="G485" s="52"/>
      <c r="H485" s="52"/>
      <c r="I485" s="52"/>
      <c r="J485" s="53"/>
      <c r="K485" s="52"/>
    </row>
    <row r="486">
      <c r="A486" s="17"/>
      <c r="B486" s="17"/>
      <c r="C486" s="51"/>
      <c r="D486" s="51"/>
      <c r="E486" s="51"/>
      <c r="F486" s="52"/>
      <c r="G486" s="52"/>
      <c r="H486" s="52"/>
      <c r="I486" s="52"/>
      <c r="J486" s="53"/>
      <c r="K486" s="52"/>
    </row>
    <row r="487">
      <c r="A487" s="17"/>
      <c r="B487" s="17"/>
      <c r="C487" s="51"/>
      <c r="D487" s="51"/>
      <c r="E487" s="51"/>
      <c r="F487" s="52"/>
      <c r="G487" s="52"/>
      <c r="H487" s="52"/>
      <c r="I487" s="52"/>
      <c r="J487" s="53"/>
      <c r="K487" s="52"/>
    </row>
    <row r="488">
      <c r="A488" s="17"/>
      <c r="B488" s="17"/>
      <c r="C488" s="51"/>
      <c r="D488" s="51"/>
      <c r="E488" s="51"/>
      <c r="F488" s="52"/>
      <c r="G488" s="52"/>
      <c r="H488" s="52"/>
      <c r="I488" s="52"/>
      <c r="J488" s="53"/>
      <c r="K488" s="52"/>
    </row>
    <row r="489">
      <c r="A489" s="17"/>
      <c r="B489" s="17"/>
      <c r="C489" s="51"/>
      <c r="D489" s="51"/>
      <c r="E489" s="51"/>
      <c r="F489" s="52"/>
      <c r="G489" s="52"/>
      <c r="H489" s="52"/>
      <c r="I489" s="52"/>
      <c r="J489" s="53"/>
      <c r="K489" s="52"/>
    </row>
    <row r="490">
      <c r="A490" s="17"/>
      <c r="B490" s="17"/>
      <c r="C490" s="51"/>
      <c r="D490" s="51"/>
      <c r="E490" s="51"/>
      <c r="F490" s="52"/>
      <c r="G490" s="52"/>
      <c r="H490" s="52"/>
      <c r="I490" s="52"/>
      <c r="J490" s="53"/>
      <c r="K490" s="52"/>
    </row>
    <row r="491">
      <c r="A491" s="17"/>
      <c r="B491" s="17"/>
      <c r="C491" s="51"/>
      <c r="D491" s="51"/>
      <c r="E491" s="51"/>
      <c r="F491" s="52"/>
      <c r="G491" s="52"/>
      <c r="H491" s="52"/>
      <c r="I491" s="52"/>
      <c r="J491" s="53"/>
      <c r="K491" s="52"/>
    </row>
    <row r="492">
      <c r="A492" s="17"/>
      <c r="B492" s="17"/>
      <c r="C492" s="51"/>
      <c r="D492" s="51"/>
      <c r="E492" s="51"/>
      <c r="F492" s="52"/>
      <c r="G492" s="52"/>
      <c r="H492" s="52"/>
      <c r="I492" s="52"/>
      <c r="J492" s="53"/>
      <c r="K492" s="52"/>
    </row>
    <row r="493">
      <c r="A493" s="17"/>
      <c r="B493" s="17"/>
      <c r="C493" s="51"/>
      <c r="D493" s="51"/>
      <c r="E493" s="51"/>
      <c r="F493" s="52"/>
      <c r="G493" s="52"/>
      <c r="H493" s="52"/>
      <c r="I493" s="52"/>
      <c r="J493" s="53"/>
      <c r="K493" s="52"/>
    </row>
    <row r="494">
      <c r="A494" s="17"/>
      <c r="B494" s="17"/>
      <c r="C494" s="51"/>
      <c r="D494" s="51"/>
      <c r="E494" s="51"/>
      <c r="F494" s="52"/>
      <c r="G494" s="52"/>
      <c r="H494" s="52"/>
      <c r="I494" s="52"/>
      <c r="J494" s="53"/>
      <c r="K494" s="52"/>
    </row>
    <row r="495">
      <c r="A495" s="17"/>
      <c r="B495" s="17"/>
      <c r="C495" s="51"/>
      <c r="D495" s="51"/>
      <c r="E495" s="51"/>
      <c r="F495" s="52"/>
      <c r="G495" s="52"/>
      <c r="H495" s="52"/>
      <c r="I495" s="52"/>
      <c r="J495" s="53"/>
      <c r="K495" s="52"/>
    </row>
    <row r="496">
      <c r="A496" s="17"/>
      <c r="B496" s="17"/>
      <c r="C496" s="51"/>
      <c r="D496" s="51"/>
      <c r="E496" s="51"/>
      <c r="F496" s="52"/>
      <c r="G496" s="52"/>
      <c r="H496" s="52"/>
      <c r="I496" s="52"/>
      <c r="J496" s="53"/>
      <c r="K496" s="52"/>
    </row>
    <row r="497">
      <c r="A497" s="17"/>
      <c r="B497" s="17"/>
      <c r="C497" s="51"/>
      <c r="D497" s="51"/>
      <c r="E497" s="51"/>
      <c r="F497" s="52"/>
      <c r="G497" s="52"/>
      <c r="H497" s="52"/>
      <c r="I497" s="52"/>
      <c r="J497" s="53"/>
      <c r="K497" s="52"/>
    </row>
    <row r="498">
      <c r="A498" s="17"/>
      <c r="B498" s="17"/>
      <c r="C498" s="51"/>
      <c r="D498" s="51"/>
      <c r="E498" s="51"/>
      <c r="F498" s="52"/>
      <c r="G498" s="52"/>
      <c r="H498" s="52"/>
      <c r="I498" s="52"/>
      <c r="J498" s="53"/>
      <c r="K498" s="52"/>
    </row>
    <row r="499">
      <c r="A499" s="17"/>
      <c r="B499" s="17"/>
      <c r="C499" s="51"/>
      <c r="D499" s="51"/>
      <c r="E499" s="51"/>
      <c r="F499" s="52"/>
      <c r="G499" s="52"/>
      <c r="H499" s="52"/>
      <c r="I499" s="52"/>
      <c r="J499" s="53"/>
      <c r="K499" s="52"/>
    </row>
    <row r="500">
      <c r="A500" s="17"/>
      <c r="B500" s="17"/>
      <c r="C500" s="51"/>
      <c r="D500" s="51"/>
      <c r="E500" s="51"/>
      <c r="F500" s="52"/>
      <c r="G500" s="52"/>
      <c r="H500" s="52"/>
      <c r="I500" s="52"/>
      <c r="J500" s="53"/>
      <c r="K500" s="52"/>
    </row>
    <row r="501">
      <c r="A501" s="17"/>
      <c r="B501" s="17"/>
      <c r="C501" s="51"/>
      <c r="D501" s="51"/>
      <c r="E501" s="51"/>
      <c r="F501" s="52"/>
      <c r="G501" s="52"/>
      <c r="H501" s="52"/>
      <c r="I501" s="52"/>
      <c r="J501" s="53"/>
      <c r="K501" s="52"/>
    </row>
    <row r="502">
      <c r="A502" s="17"/>
      <c r="B502" s="17"/>
      <c r="C502" s="51"/>
      <c r="D502" s="51"/>
      <c r="E502" s="51"/>
      <c r="F502" s="52"/>
      <c r="G502" s="52"/>
      <c r="H502" s="52"/>
      <c r="I502" s="52"/>
      <c r="J502" s="53"/>
      <c r="K502" s="52"/>
    </row>
    <row r="503">
      <c r="A503" s="17"/>
      <c r="B503" s="17"/>
      <c r="C503" s="51"/>
      <c r="D503" s="51"/>
      <c r="E503" s="51"/>
      <c r="F503" s="52"/>
      <c r="G503" s="52"/>
      <c r="H503" s="52"/>
      <c r="I503" s="52"/>
      <c r="J503" s="53"/>
      <c r="K503" s="52"/>
    </row>
    <row r="504">
      <c r="A504" s="17"/>
      <c r="B504" s="17"/>
      <c r="C504" s="51"/>
      <c r="D504" s="51"/>
      <c r="E504" s="51"/>
      <c r="F504" s="52"/>
      <c r="G504" s="52"/>
      <c r="H504" s="52"/>
      <c r="I504" s="52"/>
      <c r="J504" s="53"/>
      <c r="K504" s="52"/>
    </row>
    <row r="505">
      <c r="A505" s="17"/>
      <c r="B505" s="17"/>
      <c r="C505" s="51"/>
      <c r="D505" s="51"/>
      <c r="E505" s="51"/>
      <c r="F505" s="52"/>
      <c r="G505" s="52"/>
      <c r="H505" s="52"/>
      <c r="I505" s="52"/>
      <c r="J505" s="53"/>
      <c r="K505" s="52"/>
    </row>
    <row r="506">
      <c r="A506" s="17"/>
      <c r="B506" s="17"/>
      <c r="C506" s="51"/>
      <c r="D506" s="51"/>
      <c r="E506" s="51"/>
      <c r="F506" s="52"/>
      <c r="G506" s="52"/>
      <c r="H506" s="52"/>
      <c r="I506" s="52"/>
      <c r="J506" s="53"/>
      <c r="K506" s="52"/>
    </row>
    <row r="507">
      <c r="A507" s="17"/>
      <c r="B507" s="17"/>
      <c r="C507" s="51"/>
      <c r="D507" s="51"/>
      <c r="E507" s="51"/>
      <c r="F507" s="52"/>
      <c r="G507" s="52"/>
      <c r="H507" s="52"/>
      <c r="I507" s="52"/>
      <c r="J507" s="53"/>
      <c r="K507" s="52"/>
    </row>
    <row r="508">
      <c r="A508" s="17"/>
      <c r="B508" s="17"/>
      <c r="C508" s="51"/>
      <c r="D508" s="51"/>
      <c r="E508" s="51"/>
      <c r="F508" s="52"/>
      <c r="G508" s="52"/>
      <c r="H508" s="52"/>
      <c r="I508" s="52"/>
      <c r="J508" s="53"/>
      <c r="K508" s="52"/>
    </row>
    <row r="509">
      <c r="A509" s="17"/>
      <c r="B509" s="17"/>
      <c r="C509" s="51"/>
      <c r="D509" s="51"/>
      <c r="E509" s="51"/>
      <c r="F509" s="52"/>
      <c r="G509" s="52"/>
      <c r="H509" s="52"/>
      <c r="I509" s="52"/>
      <c r="J509" s="53"/>
      <c r="K509" s="52"/>
    </row>
    <row r="510">
      <c r="A510" s="17"/>
      <c r="B510" s="17"/>
      <c r="C510" s="51"/>
      <c r="D510" s="51"/>
      <c r="E510" s="51"/>
      <c r="F510" s="52"/>
      <c r="G510" s="52"/>
      <c r="H510" s="52"/>
      <c r="I510" s="52"/>
      <c r="J510" s="53"/>
      <c r="K510" s="52"/>
    </row>
    <row r="511">
      <c r="A511" s="17"/>
      <c r="B511" s="17"/>
      <c r="C511" s="51"/>
      <c r="D511" s="51"/>
      <c r="E511" s="51"/>
      <c r="F511" s="52"/>
      <c r="G511" s="52"/>
      <c r="H511" s="52"/>
      <c r="I511" s="52"/>
      <c r="J511" s="53"/>
      <c r="K511" s="52"/>
    </row>
    <row r="512">
      <c r="A512" s="17"/>
      <c r="B512" s="17"/>
      <c r="C512" s="51"/>
      <c r="D512" s="51"/>
      <c r="E512" s="51"/>
      <c r="F512" s="52"/>
      <c r="G512" s="52"/>
      <c r="H512" s="52"/>
      <c r="I512" s="52"/>
      <c r="J512" s="53"/>
      <c r="K512" s="52"/>
    </row>
    <row r="513">
      <c r="A513" s="17"/>
      <c r="B513" s="17"/>
      <c r="C513" s="51"/>
      <c r="D513" s="51"/>
      <c r="E513" s="51"/>
      <c r="F513" s="52"/>
      <c r="G513" s="52"/>
      <c r="H513" s="52"/>
      <c r="I513" s="52"/>
      <c r="J513" s="53"/>
      <c r="K513" s="52"/>
    </row>
    <row r="514">
      <c r="A514" s="17"/>
      <c r="B514" s="17"/>
      <c r="C514" s="51"/>
      <c r="D514" s="51"/>
      <c r="E514" s="51"/>
      <c r="F514" s="52"/>
      <c r="G514" s="52"/>
      <c r="H514" s="52"/>
      <c r="I514" s="52"/>
      <c r="J514" s="53"/>
      <c r="K514" s="52"/>
    </row>
    <row r="515">
      <c r="A515" s="17"/>
      <c r="B515" s="17"/>
      <c r="C515" s="51"/>
      <c r="D515" s="51"/>
      <c r="E515" s="51"/>
      <c r="F515" s="52"/>
      <c r="G515" s="52"/>
      <c r="H515" s="52"/>
      <c r="I515" s="52"/>
      <c r="J515" s="53"/>
      <c r="K515" s="52"/>
    </row>
    <row r="516">
      <c r="A516" s="17"/>
      <c r="B516" s="17"/>
      <c r="C516" s="51"/>
      <c r="D516" s="51"/>
      <c r="E516" s="51"/>
      <c r="F516" s="52"/>
      <c r="G516" s="52"/>
      <c r="H516" s="52"/>
      <c r="I516" s="52"/>
      <c r="J516" s="53"/>
      <c r="K516" s="52"/>
    </row>
    <row r="517">
      <c r="A517" s="17"/>
      <c r="B517" s="17"/>
      <c r="C517" s="51"/>
      <c r="D517" s="51"/>
      <c r="E517" s="51"/>
      <c r="F517" s="52"/>
      <c r="G517" s="52"/>
      <c r="H517" s="52"/>
      <c r="I517" s="52"/>
      <c r="J517" s="53"/>
      <c r="K517" s="52"/>
    </row>
    <row r="518">
      <c r="A518" s="17"/>
      <c r="B518" s="17"/>
      <c r="C518" s="51"/>
      <c r="D518" s="51"/>
      <c r="E518" s="51"/>
      <c r="F518" s="52"/>
      <c r="G518" s="52"/>
      <c r="H518" s="52"/>
      <c r="I518" s="52"/>
      <c r="J518" s="53"/>
      <c r="K518" s="52"/>
    </row>
    <row r="519">
      <c r="A519" s="17"/>
      <c r="B519" s="17"/>
      <c r="C519" s="51"/>
      <c r="D519" s="51"/>
      <c r="E519" s="51"/>
      <c r="F519" s="52"/>
      <c r="G519" s="52"/>
      <c r="H519" s="52"/>
      <c r="I519" s="52"/>
      <c r="J519" s="53"/>
      <c r="K519" s="52"/>
    </row>
    <row r="520">
      <c r="A520" s="17"/>
      <c r="B520" s="17"/>
      <c r="C520" s="51"/>
      <c r="D520" s="51"/>
      <c r="E520" s="51"/>
      <c r="F520" s="52"/>
      <c r="G520" s="52"/>
      <c r="H520" s="52"/>
      <c r="I520" s="52"/>
      <c r="J520" s="53"/>
      <c r="K520" s="52"/>
    </row>
    <row r="521">
      <c r="A521" s="17"/>
      <c r="B521" s="17"/>
      <c r="C521" s="51"/>
      <c r="D521" s="51"/>
      <c r="E521" s="51"/>
      <c r="F521" s="52"/>
      <c r="G521" s="52"/>
      <c r="H521" s="52"/>
      <c r="I521" s="52"/>
      <c r="J521" s="53"/>
      <c r="K521" s="52"/>
    </row>
    <row r="522">
      <c r="A522" s="17"/>
      <c r="B522" s="17"/>
      <c r="C522" s="51"/>
      <c r="D522" s="51"/>
      <c r="E522" s="51"/>
      <c r="F522" s="52"/>
      <c r="G522" s="52"/>
      <c r="H522" s="52"/>
      <c r="I522" s="52"/>
      <c r="J522" s="53"/>
      <c r="K522" s="52"/>
    </row>
    <row r="523">
      <c r="A523" s="17"/>
      <c r="B523" s="17"/>
      <c r="C523" s="51"/>
      <c r="D523" s="51"/>
      <c r="E523" s="51"/>
      <c r="F523" s="52"/>
      <c r="G523" s="52"/>
      <c r="H523" s="52"/>
      <c r="I523" s="52"/>
      <c r="J523" s="53"/>
      <c r="K523" s="52"/>
    </row>
    <row r="524">
      <c r="A524" s="17"/>
      <c r="B524" s="17"/>
      <c r="C524" s="51"/>
      <c r="D524" s="51"/>
      <c r="E524" s="51"/>
      <c r="F524" s="52"/>
      <c r="G524" s="52"/>
      <c r="H524" s="52"/>
      <c r="I524" s="52"/>
      <c r="J524" s="53"/>
      <c r="K524" s="52"/>
    </row>
    <row r="525">
      <c r="A525" s="17"/>
      <c r="B525" s="17"/>
      <c r="C525" s="51"/>
      <c r="D525" s="51"/>
      <c r="E525" s="51"/>
      <c r="F525" s="52"/>
      <c r="G525" s="52"/>
      <c r="H525" s="52"/>
      <c r="I525" s="52"/>
      <c r="J525" s="53"/>
      <c r="K525" s="52"/>
    </row>
    <row r="526">
      <c r="A526" s="17"/>
      <c r="B526" s="17"/>
      <c r="C526" s="51"/>
      <c r="D526" s="51"/>
      <c r="E526" s="51"/>
      <c r="F526" s="52"/>
      <c r="G526" s="52"/>
      <c r="H526" s="52"/>
      <c r="I526" s="52"/>
      <c r="J526" s="53"/>
      <c r="K526" s="52"/>
    </row>
    <row r="527">
      <c r="A527" s="17"/>
      <c r="B527" s="17"/>
      <c r="C527" s="51"/>
      <c r="D527" s="51"/>
      <c r="E527" s="51"/>
      <c r="F527" s="52"/>
      <c r="G527" s="52"/>
      <c r="H527" s="52"/>
      <c r="I527" s="52"/>
      <c r="J527" s="53"/>
      <c r="K527" s="52"/>
    </row>
    <row r="528">
      <c r="A528" s="17"/>
      <c r="B528" s="17"/>
      <c r="C528" s="51"/>
      <c r="D528" s="51"/>
      <c r="E528" s="51"/>
      <c r="F528" s="52"/>
      <c r="G528" s="52"/>
      <c r="H528" s="52"/>
      <c r="I528" s="52"/>
      <c r="J528" s="53"/>
      <c r="K528" s="52"/>
    </row>
    <row r="529">
      <c r="A529" s="17"/>
      <c r="B529" s="17"/>
      <c r="C529" s="51"/>
      <c r="D529" s="51"/>
      <c r="E529" s="51"/>
      <c r="F529" s="52"/>
      <c r="G529" s="52"/>
      <c r="H529" s="52"/>
      <c r="I529" s="52"/>
      <c r="J529" s="53"/>
      <c r="K529" s="52"/>
    </row>
    <row r="530">
      <c r="A530" s="17"/>
      <c r="B530" s="17"/>
      <c r="C530" s="51"/>
      <c r="D530" s="51"/>
      <c r="E530" s="51"/>
      <c r="F530" s="52"/>
      <c r="G530" s="52"/>
      <c r="H530" s="52"/>
      <c r="I530" s="52"/>
      <c r="J530" s="53"/>
      <c r="K530" s="52"/>
    </row>
    <row r="531">
      <c r="A531" s="17"/>
      <c r="B531" s="17"/>
      <c r="C531" s="51"/>
      <c r="D531" s="51"/>
      <c r="E531" s="51"/>
      <c r="F531" s="52"/>
      <c r="G531" s="52"/>
      <c r="H531" s="52"/>
      <c r="I531" s="52"/>
      <c r="J531" s="53"/>
      <c r="K531" s="52"/>
    </row>
    <row r="532">
      <c r="A532" s="17"/>
      <c r="B532" s="17"/>
      <c r="C532" s="51"/>
      <c r="D532" s="51"/>
      <c r="E532" s="51"/>
      <c r="F532" s="52"/>
      <c r="G532" s="52"/>
      <c r="H532" s="52"/>
      <c r="I532" s="52"/>
      <c r="J532" s="53"/>
      <c r="K532" s="52"/>
    </row>
    <row r="533">
      <c r="A533" s="17"/>
      <c r="B533" s="17"/>
      <c r="C533" s="51"/>
      <c r="D533" s="51"/>
      <c r="E533" s="51"/>
      <c r="F533" s="52"/>
      <c r="G533" s="52"/>
      <c r="H533" s="52"/>
      <c r="I533" s="52"/>
      <c r="J533" s="53"/>
      <c r="K533" s="52"/>
    </row>
    <row r="534">
      <c r="A534" s="17"/>
      <c r="B534" s="17"/>
      <c r="C534" s="51"/>
      <c r="D534" s="51"/>
      <c r="E534" s="51"/>
      <c r="F534" s="52"/>
      <c r="G534" s="52"/>
      <c r="H534" s="52"/>
      <c r="I534" s="52"/>
      <c r="J534" s="53"/>
      <c r="K534" s="52"/>
    </row>
    <row r="535">
      <c r="A535" s="17"/>
      <c r="B535" s="17"/>
      <c r="C535" s="51"/>
      <c r="D535" s="51"/>
      <c r="E535" s="51"/>
      <c r="F535" s="52"/>
      <c r="G535" s="52"/>
      <c r="H535" s="52"/>
      <c r="I535" s="52"/>
      <c r="J535" s="53"/>
      <c r="K535" s="52"/>
    </row>
    <row r="536">
      <c r="A536" s="17"/>
      <c r="B536" s="17"/>
      <c r="C536" s="51"/>
      <c r="D536" s="51"/>
      <c r="E536" s="51"/>
      <c r="F536" s="52"/>
      <c r="G536" s="52"/>
      <c r="H536" s="52"/>
      <c r="I536" s="52"/>
      <c r="J536" s="53"/>
      <c r="K536" s="52"/>
    </row>
    <row r="537">
      <c r="A537" s="17"/>
      <c r="B537" s="17"/>
      <c r="C537" s="51"/>
      <c r="D537" s="51"/>
      <c r="E537" s="51"/>
      <c r="F537" s="52"/>
      <c r="G537" s="52"/>
      <c r="H537" s="52"/>
      <c r="I537" s="52"/>
      <c r="J537" s="53"/>
      <c r="K537" s="52"/>
    </row>
    <row r="538">
      <c r="A538" s="17"/>
      <c r="B538" s="17"/>
      <c r="C538" s="51"/>
      <c r="D538" s="51"/>
      <c r="E538" s="51"/>
      <c r="F538" s="52"/>
      <c r="G538" s="52"/>
      <c r="H538" s="52"/>
      <c r="I538" s="52"/>
      <c r="J538" s="53"/>
      <c r="K538" s="52"/>
    </row>
    <row r="539">
      <c r="A539" s="17"/>
      <c r="B539" s="17"/>
      <c r="C539" s="51"/>
      <c r="D539" s="51"/>
      <c r="E539" s="51"/>
      <c r="F539" s="52"/>
      <c r="G539" s="52"/>
      <c r="H539" s="52"/>
      <c r="I539" s="52"/>
      <c r="J539" s="53"/>
      <c r="K539" s="52"/>
    </row>
    <row r="540">
      <c r="A540" s="17"/>
      <c r="B540" s="17"/>
      <c r="C540" s="51"/>
      <c r="D540" s="51"/>
      <c r="E540" s="51"/>
      <c r="F540" s="52"/>
      <c r="G540" s="52"/>
      <c r="H540" s="52"/>
      <c r="I540" s="52"/>
      <c r="J540" s="53"/>
      <c r="K540" s="52"/>
    </row>
    <row r="541">
      <c r="A541" s="17"/>
      <c r="B541" s="17"/>
      <c r="C541" s="51"/>
      <c r="D541" s="51"/>
      <c r="E541" s="51"/>
      <c r="F541" s="52"/>
      <c r="G541" s="52"/>
      <c r="H541" s="52"/>
      <c r="I541" s="52"/>
      <c r="J541" s="53"/>
      <c r="K541" s="52"/>
    </row>
    <row r="542">
      <c r="A542" s="17"/>
      <c r="B542" s="17"/>
      <c r="C542" s="51"/>
      <c r="D542" s="51"/>
      <c r="E542" s="51"/>
      <c r="F542" s="52"/>
      <c r="G542" s="52"/>
      <c r="H542" s="52"/>
      <c r="I542" s="52"/>
      <c r="J542" s="53"/>
      <c r="K542" s="52"/>
    </row>
    <row r="543">
      <c r="A543" s="17"/>
      <c r="B543" s="17"/>
      <c r="C543" s="51"/>
      <c r="D543" s="51"/>
      <c r="E543" s="51"/>
      <c r="F543" s="52"/>
      <c r="G543" s="52"/>
      <c r="H543" s="52"/>
      <c r="I543" s="52"/>
      <c r="J543" s="53"/>
      <c r="K543" s="52"/>
    </row>
    <row r="544">
      <c r="A544" s="17"/>
      <c r="B544" s="17"/>
      <c r="C544" s="51"/>
      <c r="D544" s="51"/>
      <c r="E544" s="51"/>
      <c r="F544" s="52"/>
      <c r="G544" s="52"/>
      <c r="H544" s="52"/>
      <c r="I544" s="52"/>
      <c r="J544" s="53"/>
      <c r="K544" s="52"/>
    </row>
    <row r="545">
      <c r="A545" s="17"/>
      <c r="B545" s="17"/>
      <c r="C545" s="51"/>
      <c r="D545" s="51"/>
      <c r="E545" s="51"/>
      <c r="F545" s="52"/>
      <c r="G545" s="52"/>
      <c r="H545" s="52"/>
      <c r="I545" s="52"/>
      <c r="J545" s="53"/>
      <c r="K545" s="52"/>
    </row>
    <row r="546">
      <c r="A546" s="17"/>
      <c r="B546" s="17"/>
      <c r="C546" s="51"/>
      <c r="D546" s="51"/>
      <c r="E546" s="51"/>
      <c r="F546" s="52"/>
      <c r="G546" s="52"/>
      <c r="H546" s="52"/>
      <c r="I546" s="52"/>
      <c r="J546" s="53"/>
      <c r="K546" s="52"/>
    </row>
    <row r="547">
      <c r="A547" s="17"/>
      <c r="B547" s="17"/>
      <c r="C547" s="51"/>
      <c r="D547" s="51"/>
      <c r="E547" s="51"/>
      <c r="F547" s="52"/>
      <c r="G547" s="52"/>
      <c r="H547" s="52"/>
      <c r="I547" s="52"/>
      <c r="J547" s="53"/>
      <c r="K547" s="52"/>
    </row>
    <row r="548">
      <c r="A548" s="17"/>
      <c r="B548" s="17"/>
      <c r="C548" s="51"/>
      <c r="D548" s="51"/>
      <c r="E548" s="51"/>
      <c r="F548" s="52"/>
      <c r="G548" s="52"/>
      <c r="H548" s="52"/>
      <c r="I548" s="52"/>
      <c r="J548" s="53"/>
      <c r="K548" s="52"/>
    </row>
    <row r="549">
      <c r="A549" s="17"/>
      <c r="B549" s="17"/>
      <c r="C549" s="51"/>
      <c r="D549" s="51"/>
      <c r="E549" s="51"/>
      <c r="F549" s="52"/>
      <c r="G549" s="52"/>
      <c r="H549" s="52"/>
      <c r="I549" s="52"/>
      <c r="J549" s="53"/>
      <c r="K549" s="52"/>
    </row>
    <row r="550">
      <c r="A550" s="17"/>
      <c r="B550" s="17"/>
      <c r="C550" s="51"/>
      <c r="D550" s="51"/>
      <c r="E550" s="51"/>
      <c r="F550" s="52"/>
      <c r="G550" s="52"/>
      <c r="H550" s="52"/>
      <c r="I550" s="52"/>
      <c r="J550" s="53"/>
      <c r="K550" s="52"/>
    </row>
    <row r="551">
      <c r="A551" s="17"/>
      <c r="B551" s="17"/>
      <c r="C551" s="51"/>
      <c r="D551" s="51"/>
      <c r="E551" s="51"/>
      <c r="F551" s="52"/>
      <c r="G551" s="52"/>
      <c r="H551" s="52"/>
      <c r="I551" s="52"/>
      <c r="J551" s="53"/>
      <c r="K551" s="52"/>
    </row>
    <row r="552">
      <c r="A552" s="17"/>
      <c r="B552" s="17"/>
      <c r="C552" s="51"/>
      <c r="D552" s="51"/>
      <c r="E552" s="51"/>
      <c r="F552" s="52"/>
      <c r="G552" s="52"/>
      <c r="H552" s="52"/>
      <c r="I552" s="52"/>
      <c r="J552" s="53"/>
      <c r="K552" s="52"/>
    </row>
    <row r="553">
      <c r="A553" s="17"/>
      <c r="B553" s="17"/>
      <c r="C553" s="51"/>
      <c r="D553" s="51"/>
      <c r="E553" s="51"/>
      <c r="F553" s="52"/>
      <c r="G553" s="52"/>
      <c r="H553" s="52"/>
      <c r="I553" s="52"/>
      <c r="J553" s="53"/>
      <c r="K553" s="52"/>
    </row>
    <row r="554">
      <c r="A554" s="17"/>
      <c r="B554" s="17"/>
      <c r="C554" s="51"/>
      <c r="D554" s="51"/>
      <c r="E554" s="51"/>
      <c r="F554" s="52"/>
      <c r="G554" s="52"/>
      <c r="H554" s="52"/>
      <c r="I554" s="52"/>
      <c r="J554" s="53"/>
      <c r="K554" s="52"/>
    </row>
    <row r="555">
      <c r="A555" s="17"/>
      <c r="B555" s="17"/>
      <c r="C555" s="51"/>
      <c r="D555" s="51"/>
      <c r="E555" s="51"/>
      <c r="F555" s="52"/>
      <c r="G555" s="52"/>
      <c r="H555" s="52"/>
      <c r="I555" s="52"/>
      <c r="J555" s="53"/>
      <c r="K555" s="52"/>
    </row>
    <row r="556">
      <c r="A556" s="17"/>
      <c r="B556" s="17"/>
      <c r="C556" s="51"/>
      <c r="D556" s="51"/>
      <c r="E556" s="51"/>
      <c r="F556" s="52"/>
      <c r="G556" s="52"/>
      <c r="H556" s="52"/>
      <c r="I556" s="52"/>
      <c r="J556" s="53"/>
      <c r="K556" s="52"/>
    </row>
    <row r="557">
      <c r="A557" s="17"/>
      <c r="B557" s="17"/>
      <c r="C557" s="51"/>
      <c r="D557" s="51"/>
      <c r="E557" s="51"/>
      <c r="F557" s="52"/>
      <c r="G557" s="52"/>
      <c r="H557" s="52"/>
      <c r="I557" s="52"/>
      <c r="J557" s="53"/>
      <c r="K557" s="52"/>
    </row>
    <row r="558">
      <c r="A558" s="17"/>
      <c r="B558" s="17"/>
      <c r="C558" s="51"/>
      <c r="D558" s="51"/>
      <c r="E558" s="51"/>
      <c r="F558" s="52"/>
      <c r="G558" s="52"/>
      <c r="H558" s="52"/>
      <c r="I558" s="52"/>
      <c r="J558" s="53"/>
      <c r="K558" s="52"/>
    </row>
    <row r="559">
      <c r="A559" s="17"/>
      <c r="B559" s="17"/>
      <c r="C559" s="51"/>
      <c r="D559" s="51"/>
      <c r="E559" s="51"/>
      <c r="F559" s="52"/>
      <c r="G559" s="52"/>
      <c r="H559" s="52"/>
      <c r="I559" s="52"/>
      <c r="J559" s="53"/>
      <c r="K559" s="52"/>
    </row>
    <row r="560">
      <c r="A560" s="17"/>
      <c r="B560" s="17"/>
      <c r="C560" s="51"/>
      <c r="D560" s="51"/>
      <c r="E560" s="51"/>
      <c r="F560" s="52"/>
      <c r="G560" s="52"/>
      <c r="H560" s="52"/>
      <c r="I560" s="52"/>
      <c r="J560" s="53"/>
      <c r="K560" s="52"/>
    </row>
    <row r="561">
      <c r="A561" s="17"/>
      <c r="B561" s="17"/>
      <c r="C561" s="51"/>
      <c r="D561" s="51"/>
      <c r="E561" s="51"/>
      <c r="F561" s="52"/>
      <c r="G561" s="52"/>
      <c r="H561" s="52"/>
      <c r="I561" s="52"/>
      <c r="J561" s="53"/>
      <c r="K561" s="52"/>
    </row>
    <row r="562">
      <c r="A562" s="17"/>
      <c r="B562" s="17"/>
      <c r="C562" s="51"/>
      <c r="D562" s="51"/>
      <c r="E562" s="51"/>
      <c r="F562" s="52"/>
      <c r="G562" s="52"/>
      <c r="H562" s="52"/>
      <c r="I562" s="52"/>
      <c r="J562" s="53"/>
      <c r="K562" s="52"/>
    </row>
    <row r="563">
      <c r="A563" s="17"/>
      <c r="B563" s="17"/>
      <c r="C563" s="51"/>
      <c r="D563" s="51"/>
      <c r="E563" s="51"/>
      <c r="F563" s="52"/>
      <c r="G563" s="52"/>
      <c r="H563" s="52"/>
      <c r="I563" s="52"/>
      <c r="J563" s="53"/>
      <c r="K563" s="52"/>
    </row>
    <row r="564">
      <c r="A564" s="17"/>
      <c r="B564" s="17"/>
      <c r="C564" s="51"/>
      <c r="D564" s="51"/>
      <c r="E564" s="51"/>
      <c r="F564" s="52"/>
      <c r="G564" s="52"/>
      <c r="H564" s="52"/>
      <c r="I564" s="52"/>
      <c r="J564" s="53"/>
      <c r="K564" s="52"/>
    </row>
    <row r="565">
      <c r="A565" s="17"/>
      <c r="B565" s="17"/>
      <c r="C565" s="51"/>
      <c r="D565" s="51"/>
      <c r="E565" s="51"/>
      <c r="F565" s="52"/>
      <c r="G565" s="52"/>
      <c r="H565" s="52"/>
      <c r="I565" s="52"/>
      <c r="J565" s="53"/>
      <c r="K565" s="52"/>
    </row>
    <row r="566">
      <c r="A566" s="17"/>
      <c r="B566" s="17"/>
      <c r="C566" s="51"/>
      <c r="D566" s="51"/>
      <c r="E566" s="51"/>
      <c r="F566" s="52"/>
      <c r="G566" s="52"/>
      <c r="H566" s="52"/>
      <c r="I566" s="52"/>
      <c r="J566" s="53"/>
      <c r="K566" s="52"/>
    </row>
    <row r="567">
      <c r="A567" s="17"/>
      <c r="B567" s="17"/>
      <c r="C567" s="51"/>
      <c r="D567" s="51"/>
      <c r="E567" s="51"/>
      <c r="F567" s="52"/>
      <c r="G567" s="52"/>
      <c r="H567" s="52"/>
      <c r="I567" s="52"/>
      <c r="J567" s="53"/>
      <c r="K567" s="52"/>
    </row>
    <row r="568">
      <c r="A568" s="17"/>
      <c r="B568" s="17"/>
      <c r="C568" s="51"/>
      <c r="D568" s="51"/>
      <c r="E568" s="51"/>
      <c r="F568" s="52"/>
      <c r="G568" s="52"/>
      <c r="H568" s="52"/>
      <c r="I568" s="52"/>
      <c r="J568" s="53"/>
      <c r="K568" s="52"/>
    </row>
    <row r="569">
      <c r="A569" s="17"/>
      <c r="B569" s="17"/>
      <c r="C569" s="51"/>
      <c r="D569" s="51"/>
      <c r="E569" s="51"/>
      <c r="F569" s="52"/>
      <c r="G569" s="52"/>
      <c r="H569" s="52"/>
      <c r="I569" s="52"/>
      <c r="J569" s="53"/>
      <c r="K569" s="52"/>
    </row>
    <row r="570">
      <c r="A570" s="17"/>
      <c r="B570" s="17"/>
      <c r="C570" s="51"/>
      <c r="D570" s="51"/>
      <c r="E570" s="51"/>
      <c r="F570" s="52"/>
      <c r="G570" s="52"/>
      <c r="H570" s="52"/>
      <c r="I570" s="52"/>
      <c r="J570" s="53"/>
      <c r="K570" s="52"/>
    </row>
    <row r="571">
      <c r="A571" s="17"/>
      <c r="B571" s="17"/>
      <c r="C571" s="51"/>
      <c r="D571" s="51"/>
      <c r="E571" s="51"/>
      <c r="F571" s="52"/>
      <c r="G571" s="52"/>
      <c r="H571" s="52"/>
      <c r="I571" s="52"/>
      <c r="J571" s="53"/>
      <c r="K571" s="52"/>
    </row>
    <row r="572">
      <c r="A572" s="17"/>
      <c r="B572" s="17"/>
      <c r="C572" s="51"/>
      <c r="D572" s="51"/>
      <c r="E572" s="51"/>
      <c r="F572" s="52"/>
      <c r="G572" s="52"/>
      <c r="H572" s="52"/>
      <c r="I572" s="52"/>
      <c r="J572" s="53"/>
      <c r="K572" s="52"/>
    </row>
    <row r="573">
      <c r="A573" s="17"/>
      <c r="B573" s="17"/>
      <c r="C573" s="51"/>
      <c r="D573" s="51"/>
      <c r="E573" s="51"/>
      <c r="F573" s="52"/>
      <c r="G573" s="52"/>
      <c r="H573" s="52"/>
      <c r="I573" s="52"/>
      <c r="J573" s="53"/>
      <c r="K573" s="52"/>
    </row>
    <row r="574">
      <c r="A574" s="17"/>
      <c r="B574" s="17"/>
      <c r="C574" s="51"/>
      <c r="D574" s="51"/>
      <c r="E574" s="51"/>
      <c r="F574" s="52"/>
      <c r="G574" s="52"/>
      <c r="H574" s="52"/>
      <c r="I574" s="52"/>
      <c r="J574" s="53"/>
      <c r="K574" s="52"/>
    </row>
    <row r="575">
      <c r="A575" s="17"/>
      <c r="B575" s="17"/>
      <c r="C575" s="51"/>
      <c r="D575" s="51"/>
      <c r="E575" s="51"/>
      <c r="F575" s="52"/>
      <c r="G575" s="52"/>
      <c r="H575" s="52"/>
      <c r="I575" s="52"/>
      <c r="J575" s="53"/>
      <c r="K575" s="52"/>
    </row>
    <row r="576">
      <c r="A576" s="17"/>
      <c r="B576" s="17"/>
      <c r="C576" s="51"/>
      <c r="D576" s="51"/>
      <c r="E576" s="51"/>
      <c r="F576" s="52"/>
      <c r="G576" s="52"/>
      <c r="H576" s="52"/>
      <c r="I576" s="52"/>
      <c r="J576" s="53"/>
      <c r="K576" s="52"/>
    </row>
    <row r="577">
      <c r="A577" s="17"/>
      <c r="B577" s="17"/>
      <c r="C577" s="51"/>
      <c r="D577" s="51"/>
      <c r="E577" s="51"/>
      <c r="F577" s="52"/>
      <c r="G577" s="52"/>
      <c r="H577" s="52"/>
      <c r="I577" s="52"/>
      <c r="J577" s="53"/>
      <c r="K577" s="52"/>
    </row>
    <row r="578">
      <c r="A578" s="17"/>
      <c r="B578" s="17"/>
      <c r="C578" s="51"/>
      <c r="D578" s="51"/>
      <c r="E578" s="51"/>
      <c r="F578" s="52"/>
      <c r="G578" s="52"/>
      <c r="H578" s="52"/>
      <c r="I578" s="52"/>
      <c r="J578" s="53"/>
      <c r="K578" s="52"/>
    </row>
    <row r="579">
      <c r="A579" s="17"/>
      <c r="B579" s="17"/>
      <c r="C579" s="51"/>
      <c r="D579" s="51"/>
      <c r="E579" s="51"/>
      <c r="F579" s="52"/>
      <c r="G579" s="52"/>
      <c r="H579" s="52"/>
      <c r="I579" s="52"/>
      <c r="J579" s="53"/>
      <c r="K579" s="52"/>
    </row>
    <row r="580">
      <c r="A580" s="17"/>
      <c r="B580" s="17"/>
      <c r="C580" s="51"/>
      <c r="D580" s="51"/>
      <c r="E580" s="51"/>
      <c r="F580" s="52"/>
      <c r="G580" s="52"/>
      <c r="H580" s="52"/>
      <c r="I580" s="52"/>
      <c r="J580" s="53"/>
      <c r="K580" s="52"/>
    </row>
    <row r="581">
      <c r="A581" s="17"/>
      <c r="B581" s="17"/>
      <c r="C581" s="51"/>
      <c r="D581" s="51"/>
      <c r="E581" s="51"/>
      <c r="F581" s="52"/>
      <c r="G581" s="52"/>
      <c r="H581" s="52"/>
      <c r="I581" s="52"/>
      <c r="J581" s="53"/>
      <c r="K581" s="52"/>
    </row>
    <row r="582">
      <c r="A582" s="17"/>
      <c r="B582" s="17"/>
      <c r="C582" s="51"/>
      <c r="D582" s="51"/>
      <c r="E582" s="51"/>
      <c r="F582" s="52"/>
      <c r="G582" s="52"/>
      <c r="H582" s="52"/>
      <c r="I582" s="52"/>
      <c r="J582" s="53"/>
      <c r="K582" s="52"/>
    </row>
    <row r="583">
      <c r="A583" s="17"/>
      <c r="B583" s="17"/>
      <c r="C583" s="51"/>
      <c r="D583" s="51"/>
      <c r="E583" s="51"/>
      <c r="F583" s="52"/>
      <c r="G583" s="52"/>
      <c r="H583" s="52"/>
      <c r="I583" s="52"/>
      <c r="J583" s="53"/>
      <c r="K583" s="52"/>
    </row>
    <row r="584">
      <c r="A584" s="17"/>
      <c r="B584" s="17"/>
      <c r="C584" s="51"/>
      <c r="D584" s="51"/>
      <c r="E584" s="51"/>
      <c r="F584" s="52"/>
      <c r="G584" s="52"/>
      <c r="H584" s="52"/>
      <c r="I584" s="52"/>
      <c r="J584" s="53"/>
      <c r="K584" s="52"/>
    </row>
    <row r="585">
      <c r="A585" s="17"/>
      <c r="B585" s="17"/>
      <c r="C585" s="51"/>
      <c r="D585" s="51"/>
      <c r="E585" s="51"/>
      <c r="F585" s="52"/>
      <c r="G585" s="52"/>
      <c r="H585" s="52"/>
      <c r="I585" s="52"/>
      <c r="J585" s="53"/>
      <c r="K585" s="52"/>
    </row>
    <row r="586">
      <c r="A586" s="17"/>
      <c r="B586" s="17"/>
      <c r="C586" s="51"/>
      <c r="D586" s="51"/>
      <c r="E586" s="51"/>
      <c r="F586" s="52"/>
      <c r="G586" s="52"/>
      <c r="H586" s="52"/>
      <c r="I586" s="52"/>
      <c r="J586" s="53"/>
      <c r="K586" s="52"/>
    </row>
    <row r="587">
      <c r="A587" s="17"/>
      <c r="B587" s="17"/>
      <c r="C587" s="51"/>
      <c r="D587" s="51"/>
      <c r="E587" s="51"/>
      <c r="F587" s="52"/>
      <c r="G587" s="52"/>
      <c r="H587" s="52"/>
      <c r="I587" s="52"/>
      <c r="J587" s="53"/>
      <c r="K587" s="52"/>
    </row>
    <row r="588">
      <c r="A588" s="17"/>
      <c r="B588" s="17"/>
      <c r="C588" s="51"/>
      <c r="D588" s="51"/>
      <c r="E588" s="51"/>
      <c r="F588" s="52"/>
      <c r="G588" s="52"/>
      <c r="H588" s="52"/>
      <c r="I588" s="52"/>
      <c r="J588" s="53"/>
      <c r="K588" s="52"/>
    </row>
    <row r="589">
      <c r="A589" s="17"/>
      <c r="B589" s="17"/>
      <c r="C589" s="51"/>
      <c r="D589" s="51"/>
      <c r="E589" s="51"/>
      <c r="F589" s="52"/>
      <c r="G589" s="52"/>
      <c r="H589" s="52"/>
      <c r="I589" s="52"/>
      <c r="J589" s="53"/>
      <c r="K589" s="52"/>
    </row>
    <row r="590">
      <c r="A590" s="17"/>
      <c r="B590" s="17"/>
      <c r="C590" s="51"/>
      <c r="D590" s="51"/>
      <c r="E590" s="51"/>
      <c r="F590" s="52"/>
      <c r="G590" s="52"/>
      <c r="H590" s="52"/>
      <c r="I590" s="52"/>
      <c r="J590" s="53"/>
      <c r="K590" s="52"/>
    </row>
    <row r="591">
      <c r="A591" s="17"/>
      <c r="B591" s="17"/>
      <c r="C591" s="51"/>
      <c r="D591" s="51"/>
      <c r="E591" s="51"/>
      <c r="F591" s="52"/>
      <c r="G591" s="52"/>
      <c r="H591" s="52"/>
      <c r="I591" s="52"/>
      <c r="J591" s="53"/>
      <c r="K591" s="52"/>
    </row>
    <row r="592">
      <c r="A592" s="17"/>
      <c r="B592" s="17"/>
      <c r="C592" s="51"/>
      <c r="D592" s="51"/>
      <c r="E592" s="51"/>
      <c r="F592" s="52"/>
      <c r="G592" s="52"/>
      <c r="H592" s="52"/>
      <c r="I592" s="52"/>
      <c r="J592" s="53"/>
      <c r="K592" s="52"/>
    </row>
    <row r="593">
      <c r="A593" s="17"/>
      <c r="B593" s="17"/>
      <c r="C593" s="51"/>
      <c r="D593" s="51"/>
      <c r="E593" s="51"/>
      <c r="F593" s="52"/>
      <c r="G593" s="52"/>
      <c r="H593" s="52"/>
      <c r="I593" s="52"/>
      <c r="J593" s="53"/>
      <c r="K593" s="52"/>
    </row>
    <row r="594">
      <c r="A594" s="17"/>
      <c r="B594" s="17"/>
      <c r="C594" s="51"/>
      <c r="D594" s="51"/>
      <c r="E594" s="51"/>
      <c r="F594" s="52"/>
      <c r="G594" s="52"/>
      <c r="H594" s="52"/>
      <c r="I594" s="52"/>
      <c r="J594" s="53"/>
      <c r="K594" s="52"/>
    </row>
    <row r="595">
      <c r="A595" s="17"/>
      <c r="B595" s="17"/>
      <c r="C595" s="51"/>
      <c r="D595" s="51"/>
      <c r="E595" s="51"/>
      <c r="F595" s="52"/>
      <c r="G595" s="52"/>
      <c r="H595" s="52"/>
      <c r="I595" s="52"/>
      <c r="J595" s="53"/>
      <c r="K595" s="52"/>
    </row>
    <row r="596">
      <c r="A596" s="17"/>
      <c r="B596" s="17"/>
      <c r="C596" s="51"/>
      <c r="D596" s="51"/>
      <c r="E596" s="51"/>
      <c r="F596" s="52"/>
      <c r="G596" s="52"/>
      <c r="H596" s="52"/>
      <c r="I596" s="52"/>
      <c r="J596" s="53"/>
      <c r="K596" s="52"/>
    </row>
    <row r="597">
      <c r="A597" s="17"/>
      <c r="B597" s="17"/>
      <c r="C597" s="51"/>
      <c r="D597" s="51"/>
      <c r="E597" s="51"/>
      <c r="F597" s="52"/>
      <c r="G597" s="52"/>
      <c r="H597" s="52"/>
      <c r="I597" s="52"/>
      <c r="J597" s="53"/>
      <c r="K597" s="52"/>
    </row>
    <row r="598">
      <c r="A598" s="17"/>
      <c r="B598" s="17"/>
      <c r="C598" s="51"/>
      <c r="D598" s="51"/>
      <c r="E598" s="51"/>
      <c r="F598" s="52"/>
      <c r="G598" s="52"/>
      <c r="H598" s="52"/>
      <c r="I598" s="52"/>
      <c r="J598" s="53"/>
      <c r="K598" s="52"/>
    </row>
    <row r="599">
      <c r="A599" s="17"/>
      <c r="B599" s="17"/>
      <c r="C599" s="51"/>
      <c r="D599" s="51"/>
      <c r="E599" s="51"/>
      <c r="F599" s="52"/>
      <c r="G599" s="52"/>
      <c r="H599" s="52"/>
      <c r="I599" s="52"/>
      <c r="J599" s="53"/>
      <c r="K599" s="52"/>
    </row>
    <row r="600">
      <c r="A600" s="17"/>
      <c r="B600" s="17"/>
      <c r="C600" s="51"/>
      <c r="D600" s="51"/>
      <c r="E600" s="51"/>
      <c r="F600" s="52"/>
      <c r="G600" s="52"/>
      <c r="H600" s="52"/>
      <c r="I600" s="52"/>
      <c r="J600" s="53"/>
      <c r="K600" s="52"/>
    </row>
    <row r="601">
      <c r="A601" s="17"/>
      <c r="B601" s="17"/>
      <c r="C601" s="51"/>
      <c r="D601" s="51"/>
      <c r="E601" s="51"/>
      <c r="F601" s="52"/>
      <c r="G601" s="52"/>
      <c r="H601" s="52"/>
      <c r="I601" s="52"/>
      <c r="J601" s="53"/>
      <c r="K601" s="52"/>
    </row>
    <row r="602">
      <c r="A602" s="17"/>
      <c r="B602" s="17"/>
      <c r="C602" s="51"/>
      <c r="D602" s="51"/>
      <c r="E602" s="51"/>
      <c r="F602" s="52"/>
      <c r="G602" s="52"/>
      <c r="H602" s="52"/>
      <c r="I602" s="52"/>
      <c r="J602" s="53"/>
      <c r="K602" s="52"/>
    </row>
    <row r="603">
      <c r="A603" s="17"/>
      <c r="B603" s="17"/>
      <c r="C603" s="51"/>
      <c r="D603" s="51"/>
      <c r="E603" s="51"/>
      <c r="F603" s="52"/>
      <c r="G603" s="52"/>
      <c r="H603" s="52"/>
      <c r="I603" s="52"/>
      <c r="J603" s="53"/>
      <c r="K603" s="52"/>
    </row>
    <row r="604">
      <c r="A604" s="17"/>
      <c r="B604" s="17"/>
      <c r="C604" s="51"/>
      <c r="D604" s="51"/>
      <c r="E604" s="51"/>
      <c r="F604" s="52"/>
      <c r="G604" s="52"/>
      <c r="H604" s="52"/>
      <c r="I604" s="52"/>
      <c r="J604" s="53"/>
      <c r="K604" s="52"/>
    </row>
    <row r="605">
      <c r="A605" s="17"/>
      <c r="B605" s="17"/>
      <c r="C605" s="51"/>
      <c r="D605" s="51"/>
      <c r="E605" s="51"/>
      <c r="F605" s="52"/>
      <c r="G605" s="52"/>
      <c r="H605" s="52"/>
      <c r="I605" s="52"/>
      <c r="J605" s="53"/>
      <c r="K605" s="52"/>
    </row>
    <row r="606">
      <c r="A606" s="17"/>
      <c r="B606" s="17"/>
      <c r="C606" s="51"/>
      <c r="D606" s="51"/>
      <c r="E606" s="51"/>
      <c r="F606" s="52"/>
      <c r="G606" s="52"/>
      <c r="H606" s="52"/>
      <c r="I606" s="52"/>
      <c r="J606" s="53"/>
      <c r="K606" s="52"/>
    </row>
    <row r="607">
      <c r="A607" s="17"/>
      <c r="B607" s="17"/>
      <c r="C607" s="51"/>
      <c r="D607" s="51"/>
      <c r="E607" s="51"/>
      <c r="F607" s="52"/>
      <c r="G607" s="52"/>
      <c r="H607" s="52"/>
      <c r="I607" s="52"/>
      <c r="J607" s="53"/>
      <c r="K607" s="52"/>
    </row>
    <row r="608">
      <c r="A608" s="17"/>
      <c r="B608" s="17"/>
      <c r="C608" s="51"/>
      <c r="D608" s="51"/>
      <c r="E608" s="51"/>
      <c r="F608" s="52"/>
      <c r="G608" s="52"/>
      <c r="H608" s="52"/>
      <c r="I608" s="52"/>
      <c r="J608" s="53"/>
      <c r="K608" s="52"/>
    </row>
    <row r="609">
      <c r="A609" s="17"/>
      <c r="B609" s="17"/>
      <c r="C609" s="51"/>
      <c r="D609" s="51"/>
      <c r="E609" s="51"/>
      <c r="F609" s="52"/>
      <c r="G609" s="52"/>
      <c r="H609" s="52"/>
      <c r="I609" s="52"/>
      <c r="J609" s="53"/>
      <c r="K609" s="52"/>
    </row>
    <row r="610">
      <c r="A610" s="17"/>
      <c r="B610" s="17"/>
      <c r="C610" s="51"/>
      <c r="D610" s="51"/>
      <c r="E610" s="51"/>
      <c r="F610" s="52"/>
      <c r="G610" s="52"/>
      <c r="H610" s="52"/>
      <c r="I610" s="52"/>
      <c r="J610" s="53"/>
      <c r="K610" s="52"/>
    </row>
    <row r="611">
      <c r="A611" s="17"/>
      <c r="B611" s="17"/>
      <c r="C611" s="51"/>
      <c r="D611" s="51"/>
      <c r="E611" s="51"/>
      <c r="F611" s="52"/>
      <c r="G611" s="52"/>
      <c r="H611" s="52"/>
      <c r="I611" s="52"/>
      <c r="J611" s="53"/>
      <c r="K611" s="52"/>
    </row>
    <row r="612">
      <c r="A612" s="17"/>
      <c r="B612" s="17"/>
      <c r="C612" s="51"/>
      <c r="D612" s="51"/>
      <c r="E612" s="51"/>
      <c r="F612" s="52"/>
      <c r="G612" s="52"/>
      <c r="H612" s="52"/>
      <c r="I612" s="52"/>
      <c r="J612" s="53"/>
      <c r="K612" s="52"/>
    </row>
    <row r="613">
      <c r="A613" s="17"/>
      <c r="B613" s="17"/>
      <c r="C613" s="51"/>
      <c r="D613" s="51"/>
      <c r="E613" s="51"/>
      <c r="F613" s="52"/>
      <c r="G613" s="52"/>
      <c r="H613" s="52"/>
      <c r="I613" s="52"/>
      <c r="J613" s="53"/>
      <c r="K613" s="52"/>
    </row>
    <row r="614">
      <c r="A614" s="17"/>
      <c r="B614" s="17"/>
      <c r="C614" s="51"/>
      <c r="D614" s="51"/>
      <c r="E614" s="51"/>
      <c r="F614" s="52"/>
      <c r="G614" s="52"/>
      <c r="H614" s="52"/>
      <c r="I614" s="52"/>
      <c r="J614" s="53"/>
      <c r="K614" s="52"/>
    </row>
    <row r="615">
      <c r="A615" s="17"/>
      <c r="B615" s="17"/>
      <c r="C615" s="51"/>
      <c r="D615" s="51"/>
      <c r="E615" s="51"/>
      <c r="F615" s="52"/>
      <c r="G615" s="52"/>
      <c r="H615" s="52"/>
      <c r="I615" s="52"/>
      <c r="J615" s="53"/>
      <c r="K615" s="52"/>
    </row>
    <row r="616">
      <c r="A616" s="17"/>
      <c r="B616" s="17"/>
      <c r="C616" s="51"/>
      <c r="D616" s="51"/>
      <c r="E616" s="51"/>
      <c r="F616" s="52"/>
      <c r="G616" s="52"/>
      <c r="H616" s="52"/>
      <c r="I616" s="52"/>
      <c r="J616" s="53"/>
      <c r="K616" s="52"/>
    </row>
    <row r="617">
      <c r="A617" s="17"/>
      <c r="B617" s="17"/>
      <c r="C617" s="51"/>
      <c r="D617" s="51"/>
      <c r="E617" s="51"/>
      <c r="F617" s="52"/>
      <c r="G617" s="52"/>
      <c r="H617" s="52"/>
      <c r="I617" s="52"/>
      <c r="J617" s="53"/>
      <c r="K617" s="52"/>
    </row>
    <row r="618">
      <c r="A618" s="17"/>
      <c r="B618" s="17"/>
      <c r="C618" s="51"/>
      <c r="D618" s="51"/>
      <c r="E618" s="51"/>
      <c r="F618" s="52"/>
      <c r="G618" s="52"/>
      <c r="H618" s="52"/>
      <c r="I618" s="52"/>
      <c r="J618" s="53"/>
      <c r="K618" s="52"/>
    </row>
    <row r="619">
      <c r="A619" s="17"/>
      <c r="B619" s="17"/>
      <c r="C619" s="51"/>
      <c r="D619" s="51"/>
      <c r="E619" s="51"/>
      <c r="F619" s="52"/>
      <c r="G619" s="52"/>
      <c r="H619" s="52"/>
      <c r="I619" s="52"/>
      <c r="J619" s="53"/>
      <c r="K619" s="52"/>
    </row>
    <row r="620">
      <c r="A620" s="17"/>
      <c r="B620" s="17"/>
      <c r="C620" s="51"/>
      <c r="D620" s="51"/>
      <c r="E620" s="51"/>
      <c r="F620" s="52"/>
      <c r="G620" s="52"/>
      <c r="H620" s="52"/>
      <c r="I620" s="52"/>
      <c r="J620" s="53"/>
      <c r="K620" s="52"/>
    </row>
    <row r="621">
      <c r="A621" s="17"/>
      <c r="B621" s="17"/>
      <c r="C621" s="51"/>
      <c r="D621" s="51"/>
      <c r="E621" s="51"/>
      <c r="F621" s="52"/>
      <c r="G621" s="52"/>
      <c r="H621" s="52"/>
      <c r="I621" s="52"/>
      <c r="J621" s="53"/>
      <c r="K621" s="52"/>
    </row>
    <row r="622">
      <c r="A622" s="17"/>
      <c r="B622" s="17"/>
      <c r="C622" s="51"/>
      <c r="D622" s="51"/>
      <c r="E622" s="51"/>
      <c r="F622" s="52"/>
      <c r="G622" s="52"/>
      <c r="H622" s="52"/>
      <c r="I622" s="52"/>
      <c r="J622" s="53"/>
      <c r="K622" s="52"/>
    </row>
    <row r="623">
      <c r="A623" s="17"/>
      <c r="B623" s="17"/>
      <c r="C623" s="51"/>
      <c r="D623" s="51"/>
      <c r="E623" s="51"/>
      <c r="F623" s="52"/>
      <c r="G623" s="52"/>
      <c r="H623" s="52"/>
      <c r="I623" s="52"/>
      <c r="J623" s="53"/>
      <c r="K623" s="52"/>
    </row>
    <row r="624">
      <c r="A624" s="17"/>
      <c r="B624" s="17"/>
      <c r="C624" s="51"/>
      <c r="D624" s="51"/>
      <c r="E624" s="51"/>
      <c r="F624" s="52"/>
      <c r="G624" s="52"/>
      <c r="H624" s="52"/>
      <c r="I624" s="52"/>
      <c r="J624" s="53"/>
      <c r="K624" s="52"/>
    </row>
    <row r="625">
      <c r="A625" s="17"/>
      <c r="B625" s="17"/>
      <c r="C625" s="51"/>
      <c r="D625" s="51"/>
      <c r="E625" s="51"/>
      <c r="F625" s="52"/>
      <c r="G625" s="52"/>
      <c r="H625" s="52"/>
      <c r="I625" s="52"/>
      <c r="J625" s="53"/>
      <c r="K625" s="52"/>
    </row>
    <row r="626">
      <c r="A626" s="17"/>
      <c r="B626" s="17"/>
      <c r="C626" s="51"/>
      <c r="D626" s="51"/>
      <c r="E626" s="51"/>
      <c r="F626" s="52"/>
      <c r="G626" s="52"/>
      <c r="H626" s="52"/>
      <c r="I626" s="52"/>
      <c r="J626" s="53"/>
      <c r="K626" s="52"/>
    </row>
    <row r="627">
      <c r="A627" s="17"/>
      <c r="B627" s="17"/>
      <c r="C627" s="51"/>
      <c r="D627" s="51"/>
      <c r="E627" s="51"/>
      <c r="F627" s="52"/>
      <c r="G627" s="52"/>
      <c r="H627" s="52"/>
      <c r="I627" s="52"/>
      <c r="J627" s="53"/>
      <c r="K627" s="52"/>
    </row>
    <row r="628">
      <c r="A628" s="17"/>
      <c r="B628" s="17"/>
      <c r="C628" s="51"/>
      <c r="D628" s="51"/>
      <c r="E628" s="51"/>
      <c r="F628" s="52"/>
      <c r="G628" s="52"/>
      <c r="H628" s="52"/>
      <c r="I628" s="52"/>
      <c r="J628" s="53"/>
      <c r="K628" s="52"/>
    </row>
    <row r="629">
      <c r="A629" s="17"/>
      <c r="B629" s="17"/>
      <c r="C629" s="51"/>
      <c r="D629" s="51"/>
      <c r="E629" s="51"/>
      <c r="F629" s="52"/>
      <c r="G629" s="52"/>
      <c r="H629" s="52"/>
      <c r="I629" s="52"/>
      <c r="J629" s="53"/>
      <c r="K629" s="52"/>
    </row>
    <row r="630">
      <c r="A630" s="17"/>
      <c r="B630" s="17"/>
      <c r="C630" s="51"/>
      <c r="D630" s="51"/>
      <c r="E630" s="51"/>
      <c r="F630" s="52"/>
      <c r="G630" s="52"/>
      <c r="H630" s="52"/>
      <c r="I630" s="52"/>
      <c r="J630" s="53"/>
      <c r="K630" s="52"/>
    </row>
    <row r="631">
      <c r="A631" s="17"/>
      <c r="B631" s="17"/>
      <c r="C631" s="51"/>
      <c r="D631" s="51"/>
      <c r="E631" s="51"/>
      <c r="F631" s="52"/>
      <c r="G631" s="52"/>
      <c r="H631" s="52"/>
      <c r="I631" s="52"/>
      <c r="J631" s="53"/>
      <c r="K631" s="52"/>
    </row>
    <row r="632">
      <c r="A632" s="17"/>
      <c r="B632" s="17"/>
      <c r="C632" s="51"/>
      <c r="D632" s="51"/>
      <c r="E632" s="51"/>
      <c r="F632" s="52"/>
      <c r="G632" s="52"/>
      <c r="H632" s="52"/>
      <c r="I632" s="52"/>
      <c r="J632" s="53"/>
      <c r="K632" s="52"/>
    </row>
    <row r="633">
      <c r="A633" s="17"/>
      <c r="B633" s="17"/>
      <c r="C633" s="51"/>
      <c r="D633" s="51"/>
      <c r="E633" s="51"/>
      <c r="F633" s="52"/>
      <c r="G633" s="52"/>
      <c r="H633" s="52"/>
      <c r="I633" s="52"/>
      <c r="J633" s="53"/>
      <c r="K633" s="52"/>
    </row>
    <row r="634">
      <c r="A634" s="17"/>
      <c r="B634" s="17"/>
      <c r="C634" s="51"/>
      <c r="D634" s="51"/>
      <c r="E634" s="51"/>
      <c r="F634" s="52"/>
      <c r="G634" s="52"/>
      <c r="H634" s="52"/>
      <c r="I634" s="52"/>
      <c r="J634" s="53"/>
      <c r="K634" s="52"/>
    </row>
    <row r="635">
      <c r="A635" s="17"/>
      <c r="B635" s="17"/>
      <c r="C635" s="51"/>
      <c r="D635" s="51"/>
      <c r="E635" s="51"/>
      <c r="F635" s="52"/>
      <c r="G635" s="52"/>
      <c r="H635" s="52"/>
      <c r="I635" s="52"/>
      <c r="J635" s="53"/>
      <c r="K635" s="52"/>
    </row>
    <row r="636">
      <c r="A636" s="17"/>
      <c r="B636" s="17"/>
      <c r="C636" s="51"/>
      <c r="D636" s="51"/>
      <c r="E636" s="51"/>
      <c r="F636" s="52"/>
      <c r="G636" s="52"/>
      <c r="H636" s="52"/>
      <c r="I636" s="52"/>
      <c r="J636" s="53"/>
      <c r="K636" s="52"/>
    </row>
    <row r="637">
      <c r="A637" s="17"/>
      <c r="B637" s="17"/>
      <c r="C637" s="51"/>
      <c r="D637" s="51"/>
      <c r="E637" s="51"/>
      <c r="F637" s="52"/>
      <c r="G637" s="52"/>
      <c r="H637" s="52"/>
      <c r="I637" s="52"/>
      <c r="J637" s="53"/>
      <c r="K637" s="52"/>
    </row>
    <row r="638">
      <c r="A638" s="17"/>
      <c r="B638" s="17"/>
      <c r="C638" s="51"/>
      <c r="D638" s="51"/>
      <c r="E638" s="51"/>
      <c r="F638" s="52"/>
      <c r="G638" s="52"/>
      <c r="H638" s="52"/>
      <c r="I638" s="52"/>
      <c r="J638" s="53"/>
      <c r="K638" s="52"/>
    </row>
    <row r="639">
      <c r="A639" s="17"/>
      <c r="B639" s="17"/>
      <c r="C639" s="51"/>
      <c r="D639" s="51"/>
      <c r="E639" s="51"/>
      <c r="F639" s="52"/>
      <c r="G639" s="52"/>
      <c r="H639" s="52"/>
      <c r="I639" s="52"/>
      <c r="J639" s="53"/>
      <c r="K639" s="52"/>
    </row>
    <row r="640">
      <c r="A640" s="17"/>
      <c r="B640" s="17"/>
      <c r="C640" s="51"/>
      <c r="D640" s="51"/>
      <c r="E640" s="51"/>
      <c r="F640" s="52"/>
      <c r="G640" s="52"/>
      <c r="H640" s="52"/>
      <c r="I640" s="52"/>
      <c r="J640" s="53"/>
      <c r="K640" s="52"/>
    </row>
    <row r="641">
      <c r="A641" s="17"/>
      <c r="B641" s="17"/>
      <c r="C641" s="51"/>
      <c r="D641" s="51"/>
      <c r="E641" s="51"/>
      <c r="F641" s="52"/>
      <c r="G641" s="52"/>
      <c r="H641" s="52"/>
      <c r="I641" s="52"/>
      <c r="J641" s="53"/>
      <c r="K641" s="52"/>
    </row>
    <row r="642">
      <c r="A642" s="17"/>
      <c r="B642" s="17"/>
      <c r="C642" s="51"/>
      <c r="D642" s="51"/>
      <c r="E642" s="51"/>
      <c r="F642" s="52"/>
      <c r="G642" s="52"/>
      <c r="H642" s="52"/>
      <c r="I642" s="52"/>
      <c r="J642" s="53"/>
      <c r="K642" s="52"/>
    </row>
    <row r="643">
      <c r="A643" s="17"/>
      <c r="B643" s="17"/>
      <c r="C643" s="51"/>
      <c r="D643" s="51"/>
      <c r="E643" s="51"/>
      <c r="F643" s="52"/>
      <c r="G643" s="52"/>
      <c r="H643" s="52"/>
      <c r="I643" s="52"/>
      <c r="J643" s="53"/>
      <c r="K643" s="52"/>
    </row>
    <row r="644">
      <c r="A644" s="17"/>
      <c r="B644" s="17"/>
      <c r="C644" s="51"/>
      <c r="D644" s="51"/>
      <c r="E644" s="51"/>
      <c r="F644" s="52"/>
      <c r="G644" s="52"/>
      <c r="H644" s="52"/>
      <c r="I644" s="52"/>
      <c r="J644" s="53"/>
      <c r="K644" s="52"/>
    </row>
    <row r="645">
      <c r="A645" s="17"/>
      <c r="B645" s="17"/>
      <c r="C645" s="51"/>
      <c r="D645" s="51"/>
      <c r="E645" s="51"/>
      <c r="F645" s="52"/>
      <c r="G645" s="52"/>
      <c r="H645" s="52"/>
      <c r="I645" s="52"/>
      <c r="J645" s="53"/>
      <c r="K645" s="52"/>
    </row>
    <row r="646">
      <c r="A646" s="17"/>
      <c r="B646" s="17"/>
      <c r="C646" s="51"/>
      <c r="D646" s="51"/>
      <c r="E646" s="51"/>
      <c r="F646" s="52"/>
      <c r="G646" s="52"/>
      <c r="H646" s="52"/>
      <c r="I646" s="52"/>
      <c r="J646" s="53"/>
      <c r="K646" s="52"/>
    </row>
    <row r="647">
      <c r="A647" s="17"/>
      <c r="B647" s="17"/>
      <c r="C647" s="51"/>
      <c r="D647" s="51"/>
      <c r="E647" s="51"/>
      <c r="F647" s="52"/>
      <c r="G647" s="52"/>
      <c r="H647" s="52"/>
      <c r="I647" s="52"/>
      <c r="J647" s="53"/>
      <c r="K647" s="52"/>
    </row>
    <row r="648">
      <c r="A648" s="17"/>
      <c r="B648" s="17"/>
      <c r="C648" s="51"/>
      <c r="D648" s="51"/>
      <c r="E648" s="51"/>
      <c r="F648" s="52"/>
      <c r="G648" s="52"/>
      <c r="H648" s="52"/>
      <c r="I648" s="52"/>
      <c r="J648" s="53"/>
      <c r="K648" s="52"/>
    </row>
    <row r="649">
      <c r="A649" s="17"/>
      <c r="B649" s="17"/>
      <c r="C649" s="51"/>
      <c r="D649" s="51"/>
      <c r="E649" s="51"/>
      <c r="F649" s="52"/>
      <c r="G649" s="52"/>
      <c r="H649" s="52"/>
      <c r="I649" s="52"/>
      <c r="J649" s="53"/>
      <c r="K649" s="52"/>
    </row>
    <row r="650">
      <c r="A650" s="17"/>
      <c r="B650" s="17"/>
      <c r="C650" s="51"/>
      <c r="D650" s="51"/>
      <c r="E650" s="51"/>
      <c r="F650" s="52"/>
      <c r="G650" s="52"/>
      <c r="H650" s="52"/>
      <c r="I650" s="52"/>
      <c r="J650" s="53"/>
      <c r="K650" s="52"/>
    </row>
    <row r="651">
      <c r="A651" s="17"/>
      <c r="B651" s="17"/>
      <c r="C651" s="51"/>
      <c r="D651" s="51"/>
      <c r="E651" s="51"/>
      <c r="F651" s="52"/>
      <c r="G651" s="52"/>
      <c r="H651" s="52"/>
      <c r="I651" s="52"/>
      <c r="J651" s="53"/>
      <c r="K651" s="52"/>
    </row>
    <row r="652">
      <c r="A652" s="17"/>
      <c r="B652" s="17"/>
      <c r="C652" s="51"/>
      <c r="D652" s="51"/>
      <c r="E652" s="51"/>
      <c r="F652" s="52"/>
      <c r="G652" s="52"/>
      <c r="H652" s="52"/>
      <c r="I652" s="52"/>
      <c r="J652" s="53"/>
      <c r="K652" s="52"/>
    </row>
    <row r="653">
      <c r="A653" s="17"/>
      <c r="B653" s="17"/>
      <c r="C653" s="51"/>
      <c r="D653" s="51"/>
      <c r="E653" s="51"/>
      <c r="F653" s="52"/>
      <c r="G653" s="52"/>
      <c r="H653" s="52"/>
      <c r="I653" s="52"/>
      <c r="J653" s="53"/>
      <c r="K653" s="52"/>
    </row>
    <row r="654">
      <c r="A654" s="17"/>
      <c r="B654" s="17"/>
      <c r="C654" s="51"/>
      <c r="D654" s="51"/>
      <c r="E654" s="51"/>
      <c r="F654" s="52"/>
      <c r="G654" s="52"/>
      <c r="H654" s="52"/>
      <c r="I654" s="52"/>
      <c r="J654" s="53"/>
      <c r="K654" s="52"/>
    </row>
    <row r="655">
      <c r="A655" s="17"/>
      <c r="B655" s="17"/>
      <c r="C655" s="51"/>
      <c r="D655" s="51"/>
      <c r="E655" s="51"/>
      <c r="F655" s="52"/>
      <c r="G655" s="52"/>
      <c r="H655" s="52"/>
      <c r="I655" s="52"/>
      <c r="J655" s="53"/>
      <c r="K655" s="52"/>
    </row>
    <row r="656">
      <c r="A656" s="17"/>
      <c r="B656" s="17"/>
      <c r="C656" s="51"/>
      <c r="D656" s="51"/>
      <c r="E656" s="51"/>
      <c r="F656" s="52"/>
      <c r="G656" s="52"/>
      <c r="H656" s="52"/>
      <c r="I656" s="52"/>
      <c r="J656" s="53"/>
      <c r="K656" s="52"/>
    </row>
    <row r="657">
      <c r="A657" s="17"/>
      <c r="B657" s="17"/>
      <c r="C657" s="51"/>
      <c r="D657" s="51"/>
      <c r="E657" s="51"/>
      <c r="F657" s="52"/>
      <c r="G657" s="52"/>
      <c r="H657" s="52"/>
      <c r="I657" s="52"/>
      <c r="J657" s="53"/>
      <c r="K657" s="52"/>
    </row>
    <row r="658">
      <c r="A658" s="17"/>
      <c r="B658" s="17"/>
      <c r="C658" s="51"/>
      <c r="D658" s="51"/>
      <c r="E658" s="51"/>
      <c r="F658" s="52"/>
      <c r="G658" s="52"/>
      <c r="H658" s="52"/>
      <c r="I658" s="52"/>
      <c r="J658" s="53"/>
      <c r="K658" s="52"/>
    </row>
    <row r="659">
      <c r="A659" s="17"/>
      <c r="B659" s="17"/>
      <c r="C659" s="51"/>
      <c r="D659" s="51"/>
      <c r="E659" s="51"/>
      <c r="F659" s="52"/>
      <c r="G659" s="52"/>
      <c r="H659" s="52"/>
      <c r="I659" s="52"/>
      <c r="J659" s="53"/>
      <c r="K659" s="52"/>
    </row>
    <row r="660">
      <c r="A660" s="17"/>
      <c r="B660" s="17"/>
      <c r="C660" s="51"/>
      <c r="D660" s="51"/>
      <c r="E660" s="51"/>
      <c r="F660" s="52"/>
      <c r="G660" s="52"/>
      <c r="H660" s="52"/>
      <c r="I660" s="52"/>
      <c r="J660" s="53"/>
      <c r="K660" s="52"/>
    </row>
    <row r="661">
      <c r="A661" s="17"/>
      <c r="B661" s="17"/>
      <c r="C661" s="51"/>
      <c r="D661" s="51"/>
      <c r="E661" s="51"/>
      <c r="F661" s="52"/>
      <c r="G661" s="52"/>
      <c r="H661" s="52"/>
      <c r="I661" s="52"/>
      <c r="J661" s="53"/>
      <c r="K661" s="52"/>
    </row>
    <row r="662">
      <c r="A662" s="17"/>
      <c r="B662" s="17"/>
      <c r="C662" s="51"/>
      <c r="D662" s="51"/>
      <c r="E662" s="51"/>
      <c r="F662" s="52"/>
      <c r="G662" s="52"/>
      <c r="H662" s="52"/>
      <c r="I662" s="52"/>
      <c r="J662" s="53"/>
      <c r="K662" s="52"/>
    </row>
    <row r="663">
      <c r="A663" s="17"/>
      <c r="B663" s="17"/>
      <c r="C663" s="51"/>
      <c r="D663" s="51"/>
      <c r="E663" s="51"/>
      <c r="F663" s="52"/>
      <c r="G663" s="52"/>
      <c r="H663" s="52"/>
      <c r="I663" s="52"/>
      <c r="J663" s="53"/>
      <c r="K663" s="52"/>
    </row>
    <row r="664">
      <c r="A664" s="17"/>
      <c r="B664" s="17"/>
      <c r="C664" s="51"/>
      <c r="D664" s="51"/>
      <c r="E664" s="51"/>
      <c r="F664" s="52"/>
      <c r="G664" s="52"/>
      <c r="H664" s="52"/>
      <c r="I664" s="52"/>
      <c r="J664" s="53"/>
      <c r="K664" s="52"/>
    </row>
    <row r="665">
      <c r="A665" s="17"/>
      <c r="B665" s="17"/>
      <c r="C665" s="51"/>
      <c r="D665" s="51"/>
      <c r="E665" s="51"/>
      <c r="F665" s="52"/>
      <c r="G665" s="52"/>
      <c r="H665" s="52"/>
      <c r="I665" s="52"/>
      <c r="J665" s="53"/>
      <c r="K665" s="52"/>
    </row>
    <row r="666">
      <c r="A666" s="17"/>
      <c r="B666" s="17"/>
      <c r="C666" s="51"/>
      <c r="D666" s="51"/>
      <c r="E666" s="51"/>
      <c r="F666" s="52"/>
      <c r="G666" s="52"/>
      <c r="H666" s="52"/>
      <c r="I666" s="52"/>
      <c r="J666" s="53"/>
      <c r="K666" s="52"/>
    </row>
    <row r="667">
      <c r="A667" s="17"/>
      <c r="B667" s="17"/>
      <c r="C667" s="51"/>
      <c r="D667" s="51"/>
      <c r="E667" s="51"/>
      <c r="F667" s="52"/>
      <c r="G667" s="52"/>
      <c r="H667" s="52"/>
      <c r="I667" s="52"/>
      <c r="J667" s="53"/>
      <c r="K667" s="52"/>
    </row>
    <row r="668">
      <c r="A668" s="17"/>
      <c r="B668" s="17"/>
      <c r="C668" s="51"/>
      <c r="D668" s="51"/>
      <c r="E668" s="51"/>
      <c r="F668" s="52"/>
      <c r="G668" s="52"/>
      <c r="H668" s="52"/>
      <c r="I668" s="52"/>
      <c r="J668" s="53"/>
      <c r="K668" s="52"/>
    </row>
    <row r="669">
      <c r="A669" s="17"/>
      <c r="B669" s="17"/>
      <c r="C669" s="51"/>
      <c r="D669" s="51"/>
      <c r="E669" s="51"/>
      <c r="F669" s="52"/>
      <c r="G669" s="52"/>
      <c r="H669" s="52"/>
      <c r="I669" s="52"/>
      <c r="J669" s="53"/>
      <c r="K669" s="52"/>
    </row>
    <row r="670">
      <c r="A670" s="17"/>
      <c r="B670" s="17"/>
      <c r="C670" s="51"/>
      <c r="D670" s="51"/>
      <c r="E670" s="51"/>
      <c r="F670" s="52"/>
      <c r="G670" s="52"/>
      <c r="H670" s="52"/>
      <c r="I670" s="52"/>
      <c r="J670" s="53"/>
      <c r="K670" s="52"/>
    </row>
    <row r="671">
      <c r="A671" s="17"/>
      <c r="B671" s="17"/>
      <c r="C671" s="51"/>
      <c r="D671" s="51"/>
      <c r="E671" s="51"/>
      <c r="F671" s="52"/>
      <c r="G671" s="52"/>
      <c r="H671" s="52"/>
      <c r="I671" s="52"/>
      <c r="J671" s="53"/>
      <c r="K671" s="52"/>
    </row>
    <row r="672">
      <c r="A672" s="17"/>
      <c r="B672" s="17"/>
      <c r="C672" s="51"/>
      <c r="D672" s="51"/>
      <c r="E672" s="51"/>
      <c r="F672" s="52"/>
      <c r="G672" s="52"/>
      <c r="H672" s="52"/>
      <c r="I672" s="52"/>
      <c r="J672" s="53"/>
      <c r="K672" s="52"/>
    </row>
    <row r="673">
      <c r="A673" s="17"/>
      <c r="B673" s="17"/>
      <c r="C673" s="51"/>
      <c r="D673" s="51"/>
      <c r="E673" s="51"/>
      <c r="F673" s="52"/>
      <c r="G673" s="52"/>
      <c r="H673" s="52"/>
      <c r="I673" s="52"/>
      <c r="J673" s="53"/>
      <c r="K673" s="52"/>
    </row>
    <row r="674">
      <c r="A674" s="17"/>
      <c r="B674" s="17"/>
      <c r="C674" s="51"/>
      <c r="D674" s="51"/>
      <c r="E674" s="51"/>
      <c r="F674" s="52"/>
      <c r="G674" s="52"/>
      <c r="H674" s="52"/>
      <c r="I674" s="52"/>
      <c r="J674" s="53"/>
      <c r="K674" s="52"/>
    </row>
    <row r="675">
      <c r="A675" s="17"/>
      <c r="B675" s="17"/>
      <c r="C675" s="51"/>
      <c r="D675" s="51"/>
      <c r="E675" s="51"/>
      <c r="F675" s="52"/>
      <c r="G675" s="52"/>
      <c r="H675" s="52"/>
      <c r="I675" s="52"/>
      <c r="J675" s="53"/>
      <c r="K675" s="52"/>
    </row>
    <row r="676">
      <c r="A676" s="17"/>
      <c r="B676" s="17"/>
      <c r="C676" s="51"/>
      <c r="D676" s="51"/>
      <c r="E676" s="51"/>
      <c r="F676" s="52"/>
      <c r="G676" s="52"/>
      <c r="H676" s="52"/>
      <c r="I676" s="52"/>
      <c r="J676" s="53"/>
      <c r="K676" s="52"/>
    </row>
    <row r="677">
      <c r="A677" s="17"/>
      <c r="B677" s="17"/>
      <c r="C677" s="51"/>
      <c r="D677" s="51"/>
      <c r="E677" s="51"/>
      <c r="F677" s="52"/>
      <c r="G677" s="52"/>
      <c r="H677" s="52"/>
      <c r="I677" s="52"/>
      <c r="J677" s="53"/>
      <c r="K677" s="52"/>
    </row>
    <row r="678">
      <c r="A678" s="17"/>
      <c r="B678" s="17"/>
      <c r="C678" s="51"/>
      <c r="D678" s="51"/>
      <c r="E678" s="51"/>
      <c r="F678" s="52"/>
      <c r="G678" s="52"/>
      <c r="H678" s="52"/>
      <c r="I678" s="52"/>
      <c r="J678" s="53"/>
      <c r="K678" s="52"/>
    </row>
    <row r="679">
      <c r="A679" s="17"/>
      <c r="B679" s="17"/>
      <c r="C679" s="51"/>
      <c r="D679" s="51"/>
      <c r="E679" s="51"/>
      <c r="F679" s="52"/>
      <c r="G679" s="52"/>
      <c r="H679" s="52"/>
      <c r="I679" s="52"/>
      <c r="J679" s="53"/>
      <c r="K679" s="52"/>
    </row>
    <row r="680">
      <c r="A680" s="17"/>
      <c r="B680" s="17"/>
      <c r="C680" s="51"/>
      <c r="D680" s="51"/>
      <c r="E680" s="51"/>
      <c r="F680" s="52"/>
      <c r="G680" s="52"/>
      <c r="H680" s="52"/>
      <c r="I680" s="52"/>
      <c r="J680" s="53"/>
      <c r="K680" s="52"/>
    </row>
    <row r="681">
      <c r="A681" s="17"/>
      <c r="B681" s="17"/>
      <c r="C681" s="51"/>
      <c r="D681" s="51"/>
      <c r="E681" s="51"/>
      <c r="F681" s="52"/>
      <c r="G681" s="52"/>
      <c r="H681" s="52"/>
      <c r="I681" s="52"/>
      <c r="J681" s="53"/>
      <c r="K681" s="52"/>
    </row>
    <row r="682">
      <c r="A682" s="17"/>
      <c r="B682" s="17"/>
      <c r="C682" s="51"/>
      <c r="D682" s="51"/>
      <c r="E682" s="51"/>
      <c r="F682" s="52"/>
      <c r="G682" s="52"/>
      <c r="H682" s="52"/>
      <c r="I682" s="52"/>
      <c r="J682" s="53"/>
      <c r="K682" s="52"/>
    </row>
    <row r="683">
      <c r="A683" s="17"/>
      <c r="B683" s="17"/>
      <c r="C683" s="51"/>
      <c r="D683" s="51"/>
      <c r="E683" s="51"/>
      <c r="F683" s="52"/>
      <c r="G683" s="52"/>
      <c r="H683" s="52"/>
      <c r="I683" s="52"/>
      <c r="J683" s="53"/>
      <c r="K683" s="52"/>
    </row>
    <row r="684">
      <c r="A684" s="17"/>
      <c r="B684" s="17"/>
      <c r="C684" s="51"/>
      <c r="D684" s="51"/>
      <c r="E684" s="51"/>
      <c r="F684" s="52"/>
      <c r="G684" s="52"/>
      <c r="H684" s="52"/>
      <c r="I684" s="52"/>
      <c r="J684" s="53"/>
      <c r="K684" s="52"/>
    </row>
    <row r="685">
      <c r="A685" s="17"/>
      <c r="B685" s="17"/>
      <c r="C685" s="51"/>
      <c r="D685" s="51"/>
      <c r="E685" s="51"/>
      <c r="F685" s="52"/>
      <c r="G685" s="52"/>
      <c r="H685" s="52"/>
      <c r="I685" s="52"/>
      <c r="J685" s="53"/>
      <c r="K685" s="52"/>
    </row>
    <row r="686">
      <c r="A686" s="17"/>
      <c r="B686" s="17"/>
      <c r="C686" s="51"/>
      <c r="D686" s="51"/>
      <c r="E686" s="51"/>
      <c r="F686" s="52"/>
      <c r="G686" s="52"/>
      <c r="H686" s="52"/>
      <c r="I686" s="52"/>
      <c r="J686" s="53"/>
      <c r="K686" s="52"/>
    </row>
    <row r="687">
      <c r="A687" s="17"/>
      <c r="B687" s="17"/>
      <c r="C687" s="51"/>
      <c r="D687" s="51"/>
      <c r="E687" s="51"/>
      <c r="F687" s="52"/>
      <c r="G687" s="52"/>
      <c r="H687" s="52"/>
      <c r="I687" s="52"/>
      <c r="J687" s="53"/>
      <c r="K687" s="52"/>
    </row>
    <row r="688">
      <c r="A688" s="17"/>
      <c r="B688" s="17"/>
      <c r="C688" s="51"/>
      <c r="D688" s="51"/>
      <c r="E688" s="51"/>
      <c r="F688" s="52"/>
      <c r="G688" s="52"/>
      <c r="H688" s="52"/>
      <c r="I688" s="52"/>
      <c r="J688" s="53"/>
      <c r="K688" s="52"/>
    </row>
    <row r="689">
      <c r="A689" s="17"/>
      <c r="B689" s="17"/>
      <c r="C689" s="51"/>
      <c r="D689" s="51"/>
      <c r="E689" s="51"/>
      <c r="F689" s="52"/>
      <c r="G689" s="52"/>
      <c r="H689" s="52"/>
      <c r="I689" s="52"/>
      <c r="J689" s="53"/>
      <c r="K689" s="52"/>
    </row>
    <row r="690">
      <c r="A690" s="17"/>
      <c r="B690" s="17"/>
      <c r="C690" s="51"/>
      <c r="D690" s="51"/>
      <c r="E690" s="51"/>
      <c r="F690" s="52"/>
      <c r="G690" s="52"/>
      <c r="H690" s="52"/>
      <c r="I690" s="52"/>
      <c r="J690" s="53"/>
      <c r="K690" s="52"/>
    </row>
    <row r="691">
      <c r="A691" s="17"/>
      <c r="B691" s="17"/>
      <c r="C691" s="51"/>
      <c r="D691" s="51"/>
      <c r="E691" s="51"/>
      <c r="F691" s="52"/>
      <c r="G691" s="52"/>
      <c r="H691" s="52"/>
      <c r="I691" s="52"/>
      <c r="J691" s="53"/>
      <c r="K691" s="52"/>
    </row>
    <row r="692">
      <c r="A692" s="17"/>
      <c r="B692" s="17"/>
      <c r="C692" s="51"/>
      <c r="D692" s="51"/>
      <c r="E692" s="51"/>
      <c r="F692" s="52"/>
      <c r="G692" s="52"/>
      <c r="H692" s="52"/>
      <c r="I692" s="52"/>
      <c r="J692" s="53"/>
      <c r="K692" s="52"/>
    </row>
    <row r="693">
      <c r="A693" s="17"/>
      <c r="B693" s="17"/>
      <c r="C693" s="51"/>
      <c r="D693" s="51"/>
      <c r="E693" s="51"/>
      <c r="F693" s="52"/>
      <c r="G693" s="52"/>
      <c r="H693" s="52"/>
      <c r="I693" s="52"/>
      <c r="J693" s="53"/>
      <c r="K693" s="52"/>
    </row>
    <row r="694">
      <c r="A694" s="17"/>
      <c r="B694" s="17"/>
      <c r="C694" s="51"/>
      <c r="D694" s="51"/>
      <c r="E694" s="51"/>
      <c r="F694" s="52"/>
      <c r="G694" s="52"/>
      <c r="H694" s="52"/>
      <c r="I694" s="52"/>
      <c r="J694" s="53"/>
      <c r="K694" s="52"/>
    </row>
    <row r="695">
      <c r="A695" s="17"/>
      <c r="B695" s="17"/>
      <c r="C695" s="51"/>
      <c r="D695" s="51"/>
      <c r="E695" s="51"/>
      <c r="F695" s="52"/>
      <c r="G695" s="52"/>
      <c r="H695" s="52"/>
      <c r="I695" s="52"/>
      <c r="J695" s="53"/>
      <c r="K695" s="52"/>
    </row>
    <row r="696">
      <c r="A696" s="17"/>
      <c r="B696" s="17"/>
      <c r="C696" s="51"/>
      <c r="D696" s="51"/>
      <c r="E696" s="51"/>
      <c r="F696" s="52"/>
      <c r="G696" s="52"/>
      <c r="H696" s="52"/>
      <c r="I696" s="52"/>
      <c r="J696" s="53"/>
      <c r="K696" s="52"/>
    </row>
    <row r="697">
      <c r="A697" s="17"/>
      <c r="B697" s="17"/>
      <c r="C697" s="51"/>
      <c r="D697" s="51"/>
      <c r="E697" s="51"/>
      <c r="F697" s="52"/>
      <c r="G697" s="52"/>
      <c r="H697" s="52"/>
      <c r="I697" s="52"/>
      <c r="J697" s="53"/>
      <c r="K697" s="52"/>
    </row>
    <row r="698">
      <c r="A698" s="17"/>
      <c r="B698" s="17"/>
      <c r="C698" s="51"/>
      <c r="D698" s="51"/>
      <c r="E698" s="51"/>
      <c r="F698" s="52"/>
      <c r="G698" s="52"/>
      <c r="H698" s="52"/>
      <c r="I698" s="52"/>
      <c r="J698" s="53"/>
      <c r="K698" s="52"/>
    </row>
    <row r="699">
      <c r="A699" s="17"/>
      <c r="B699" s="17"/>
      <c r="C699" s="51"/>
      <c r="D699" s="51"/>
      <c r="E699" s="51"/>
      <c r="F699" s="52"/>
      <c r="G699" s="52"/>
      <c r="H699" s="52"/>
      <c r="I699" s="52"/>
      <c r="J699" s="53"/>
      <c r="K699" s="52"/>
    </row>
    <row r="700">
      <c r="A700" s="17"/>
      <c r="B700" s="17"/>
      <c r="C700" s="51"/>
      <c r="D700" s="51"/>
      <c r="E700" s="51"/>
      <c r="F700" s="52"/>
      <c r="G700" s="52"/>
      <c r="H700" s="52"/>
      <c r="I700" s="52"/>
      <c r="J700" s="53"/>
      <c r="K700" s="52"/>
    </row>
    <row r="701">
      <c r="A701" s="17"/>
      <c r="B701" s="17"/>
      <c r="C701" s="51"/>
      <c r="D701" s="51"/>
      <c r="E701" s="51"/>
      <c r="F701" s="52"/>
      <c r="G701" s="52"/>
      <c r="H701" s="52"/>
      <c r="I701" s="52"/>
      <c r="J701" s="53"/>
      <c r="K701" s="52"/>
    </row>
    <row r="702">
      <c r="A702" s="17"/>
      <c r="B702" s="17"/>
      <c r="C702" s="51"/>
      <c r="D702" s="51"/>
      <c r="E702" s="51"/>
      <c r="F702" s="52"/>
      <c r="G702" s="52"/>
      <c r="H702" s="52"/>
      <c r="I702" s="52"/>
      <c r="J702" s="53"/>
      <c r="K702" s="52"/>
    </row>
    <row r="703">
      <c r="A703" s="17"/>
      <c r="B703" s="17"/>
      <c r="C703" s="51"/>
      <c r="D703" s="51"/>
      <c r="E703" s="51"/>
      <c r="F703" s="52"/>
      <c r="G703" s="52"/>
      <c r="H703" s="52"/>
      <c r="I703" s="52"/>
      <c r="J703" s="53"/>
      <c r="K703" s="52"/>
    </row>
    <row r="704">
      <c r="A704" s="17"/>
      <c r="B704" s="17"/>
      <c r="C704" s="51"/>
      <c r="D704" s="51"/>
      <c r="E704" s="51"/>
      <c r="F704" s="52"/>
      <c r="G704" s="52"/>
      <c r="H704" s="52"/>
      <c r="I704" s="52"/>
      <c r="J704" s="53"/>
      <c r="K704" s="52"/>
    </row>
    <row r="705">
      <c r="A705" s="17"/>
      <c r="B705" s="17"/>
      <c r="C705" s="51"/>
      <c r="D705" s="51"/>
      <c r="E705" s="51"/>
      <c r="F705" s="52"/>
      <c r="G705" s="52"/>
      <c r="H705" s="52"/>
      <c r="I705" s="52"/>
      <c r="J705" s="53"/>
      <c r="K705" s="52"/>
    </row>
    <row r="706">
      <c r="A706" s="17"/>
      <c r="B706" s="17"/>
      <c r="C706" s="51"/>
      <c r="D706" s="51"/>
      <c r="E706" s="51"/>
      <c r="F706" s="52"/>
      <c r="G706" s="52"/>
      <c r="H706" s="52"/>
      <c r="I706" s="52"/>
      <c r="J706" s="53"/>
      <c r="K706" s="52"/>
    </row>
    <row r="707">
      <c r="A707" s="17"/>
      <c r="B707" s="17"/>
      <c r="C707" s="51"/>
      <c r="D707" s="51"/>
      <c r="E707" s="51"/>
      <c r="F707" s="52"/>
      <c r="G707" s="52"/>
      <c r="H707" s="52"/>
      <c r="I707" s="52"/>
      <c r="J707" s="53"/>
      <c r="K707" s="52"/>
    </row>
    <row r="708">
      <c r="A708" s="17"/>
      <c r="B708" s="17"/>
      <c r="C708" s="51"/>
      <c r="D708" s="51"/>
      <c r="E708" s="51"/>
      <c r="F708" s="52"/>
      <c r="G708" s="52"/>
      <c r="H708" s="52"/>
      <c r="I708" s="52"/>
      <c r="J708" s="53"/>
      <c r="K708" s="52"/>
    </row>
    <row r="709">
      <c r="A709" s="17"/>
      <c r="B709" s="17"/>
      <c r="C709" s="51"/>
      <c r="D709" s="51"/>
      <c r="E709" s="51"/>
      <c r="F709" s="52"/>
      <c r="G709" s="52"/>
      <c r="H709" s="52"/>
      <c r="I709" s="52"/>
      <c r="J709" s="53"/>
      <c r="K709" s="52"/>
    </row>
    <row r="710">
      <c r="A710" s="17"/>
      <c r="B710" s="17"/>
      <c r="C710" s="51"/>
      <c r="D710" s="51"/>
      <c r="E710" s="51"/>
      <c r="F710" s="52"/>
      <c r="G710" s="52"/>
      <c r="H710" s="52"/>
      <c r="I710" s="52"/>
      <c r="J710" s="53"/>
      <c r="K710" s="52"/>
    </row>
    <row r="711">
      <c r="A711" s="17"/>
      <c r="B711" s="17"/>
      <c r="C711" s="51"/>
      <c r="D711" s="51"/>
      <c r="E711" s="51"/>
      <c r="F711" s="52"/>
      <c r="G711" s="52"/>
      <c r="H711" s="52"/>
      <c r="I711" s="52"/>
      <c r="J711" s="53"/>
      <c r="K711" s="52"/>
    </row>
    <row r="712">
      <c r="A712" s="17"/>
      <c r="B712" s="17"/>
      <c r="C712" s="51"/>
      <c r="D712" s="51"/>
      <c r="E712" s="51"/>
      <c r="F712" s="52"/>
      <c r="G712" s="52"/>
      <c r="H712" s="52"/>
      <c r="I712" s="52"/>
      <c r="J712" s="53"/>
      <c r="K712" s="52"/>
    </row>
    <row r="713">
      <c r="A713" s="17"/>
      <c r="B713" s="17"/>
      <c r="C713" s="51"/>
      <c r="D713" s="51"/>
      <c r="E713" s="51"/>
      <c r="F713" s="52"/>
      <c r="G713" s="52"/>
      <c r="H713" s="52"/>
      <c r="I713" s="52"/>
      <c r="J713" s="53"/>
      <c r="K713" s="52"/>
    </row>
    <row r="714">
      <c r="A714" s="17"/>
      <c r="B714" s="17"/>
      <c r="C714" s="51"/>
      <c r="D714" s="51"/>
      <c r="E714" s="51"/>
      <c r="F714" s="52"/>
      <c r="G714" s="52"/>
      <c r="H714" s="52"/>
      <c r="I714" s="52"/>
      <c r="J714" s="53"/>
      <c r="K714" s="52"/>
    </row>
    <row r="715">
      <c r="A715" s="17"/>
      <c r="B715" s="17"/>
      <c r="C715" s="51"/>
      <c r="D715" s="51"/>
      <c r="E715" s="51"/>
      <c r="F715" s="52"/>
      <c r="G715" s="52"/>
      <c r="H715" s="52"/>
      <c r="I715" s="52"/>
      <c r="J715" s="53"/>
      <c r="K715" s="52"/>
    </row>
    <row r="716">
      <c r="A716" s="17"/>
      <c r="B716" s="17"/>
      <c r="C716" s="51"/>
      <c r="D716" s="51"/>
      <c r="E716" s="51"/>
      <c r="F716" s="52"/>
      <c r="G716" s="52"/>
      <c r="H716" s="52"/>
      <c r="I716" s="52"/>
      <c r="J716" s="53"/>
      <c r="K716" s="52"/>
    </row>
    <row r="717">
      <c r="A717" s="17"/>
      <c r="B717" s="17"/>
      <c r="C717" s="51"/>
      <c r="D717" s="51"/>
      <c r="E717" s="51"/>
      <c r="F717" s="52"/>
      <c r="G717" s="52"/>
      <c r="H717" s="52"/>
      <c r="I717" s="52"/>
      <c r="J717" s="53"/>
      <c r="K717" s="52"/>
    </row>
    <row r="718">
      <c r="A718" s="17"/>
      <c r="B718" s="17"/>
      <c r="C718" s="51"/>
      <c r="D718" s="51"/>
      <c r="E718" s="51"/>
      <c r="F718" s="52"/>
      <c r="G718" s="52"/>
      <c r="H718" s="52"/>
      <c r="I718" s="52"/>
      <c r="J718" s="53"/>
      <c r="K718" s="52"/>
    </row>
    <row r="719">
      <c r="A719" s="17"/>
      <c r="B719" s="17"/>
      <c r="C719" s="51"/>
      <c r="D719" s="51"/>
      <c r="E719" s="51"/>
      <c r="F719" s="52"/>
      <c r="G719" s="52"/>
      <c r="H719" s="52"/>
      <c r="I719" s="52"/>
      <c r="J719" s="53"/>
      <c r="K719" s="52"/>
    </row>
    <row r="720">
      <c r="A720" s="17"/>
      <c r="B720" s="17"/>
      <c r="C720" s="51"/>
      <c r="D720" s="51"/>
      <c r="E720" s="51"/>
      <c r="F720" s="52"/>
      <c r="G720" s="52"/>
      <c r="H720" s="52"/>
      <c r="I720" s="52"/>
      <c r="J720" s="53"/>
      <c r="K720" s="52"/>
    </row>
    <row r="721">
      <c r="A721" s="17"/>
      <c r="B721" s="17"/>
      <c r="C721" s="51"/>
      <c r="D721" s="51"/>
      <c r="E721" s="51"/>
      <c r="F721" s="52"/>
      <c r="G721" s="52"/>
      <c r="H721" s="52"/>
      <c r="I721" s="52"/>
      <c r="J721" s="53"/>
      <c r="K721" s="52"/>
    </row>
    <row r="722">
      <c r="A722" s="17"/>
      <c r="B722" s="17"/>
      <c r="C722" s="51"/>
      <c r="D722" s="51"/>
      <c r="E722" s="51"/>
      <c r="F722" s="52"/>
      <c r="G722" s="52"/>
      <c r="H722" s="52"/>
      <c r="I722" s="52"/>
      <c r="J722" s="53"/>
      <c r="K722" s="52"/>
    </row>
    <row r="723">
      <c r="A723" s="17"/>
      <c r="B723" s="17"/>
      <c r="C723" s="51"/>
      <c r="D723" s="51"/>
      <c r="E723" s="51"/>
      <c r="F723" s="52"/>
      <c r="G723" s="52"/>
      <c r="H723" s="52"/>
      <c r="I723" s="52"/>
      <c r="J723" s="53"/>
      <c r="K723" s="52"/>
    </row>
    <row r="724">
      <c r="A724" s="17"/>
      <c r="B724" s="17"/>
      <c r="C724" s="51"/>
      <c r="D724" s="51"/>
      <c r="E724" s="51"/>
      <c r="F724" s="52"/>
      <c r="G724" s="52"/>
      <c r="H724" s="52"/>
      <c r="I724" s="52"/>
      <c r="J724" s="53"/>
      <c r="K724" s="52"/>
    </row>
    <row r="725">
      <c r="A725" s="17"/>
      <c r="B725" s="17"/>
      <c r="C725" s="51"/>
      <c r="D725" s="51"/>
      <c r="E725" s="51"/>
      <c r="F725" s="52"/>
      <c r="G725" s="52"/>
      <c r="H725" s="52"/>
      <c r="I725" s="52"/>
      <c r="J725" s="53"/>
      <c r="K725" s="52"/>
    </row>
    <row r="726">
      <c r="A726" s="17"/>
      <c r="B726" s="17"/>
      <c r="C726" s="51"/>
      <c r="D726" s="51"/>
      <c r="E726" s="51"/>
      <c r="F726" s="52"/>
      <c r="G726" s="52"/>
      <c r="H726" s="52"/>
      <c r="I726" s="52"/>
      <c r="J726" s="53"/>
      <c r="K726" s="52"/>
    </row>
    <row r="727">
      <c r="A727" s="17"/>
      <c r="B727" s="17"/>
      <c r="C727" s="51"/>
      <c r="D727" s="51"/>
      <c r="E727" s="51"/>
      <c r="F727" s="52"/>
      <c r="G727" s="52"/>
      <c r="H727" s="52"/>
      <c r="I727" s="52"/>
      <c r="J727" s="53"/>
      <c r="K727" s="52"/>
    </row>
    <row r="728">
      <c r="A728" s="17"/>
      <c r="B728" s="17"/>
      <c r="C728" s="51"/>
      <c r="D728" s="51"/>
      <c r="E728" s="51"/>
      <c r="F728" s="52"/>
      <c r="G728" s="52"/>
      <c r="H728" s="52"/>
      <c r="I728" s="52"/>
      <c r="J728" s="53"/>
      <c r="K728" s="52"/>
    </row>
    <row r="729">
      <c r="A729" s="17"/>
      <c r="B729" s="17"/>
      <c r="C729" s="51"/>
      <c r="D729" s="51"/>
      <c r="E729" s="51"/>
      <c r="F729" s="52"/>
      <c r="G729" s="52"/>
      <c r="H729" s="52"/>
      <c r="I729" s="52"/>
      <c r="J729" s="53"/>
      <c r="K729" s="52"/>
    </row>
    <row r="730">
      <c r="A730" s="17"/>
      <c r="B730" s="17"/>
      <c r="C730" s="51"/>
      <c r="D730" s="51"/>
      <c r="E730" s="51"/>
      <c r="F730" s="52"/>
      <c r="G730" s="52"/>
      <c r="H730" s="52"/>
      <c r="I730" s="52"/>
      <c r="J730" s="53"/>
      <c r="K730" s="52"/>
    </row>
    <row r="731">
      <c r="A731" s="17"/>
      <c r="B731" s="17"/>
      <c r="C731" s="51"/>
      <c r="D731" s="51"/>
      <c r="E731" s="51"/>
      <c r="F731" s="52"/>
      <c r="G731" s="52"/>
      <c r="H731" s="52"/>
      <c r="I731" s="52"/>
      <c r="J731" s="53"/>
      <c r="K731" s="52"/>
    </row>
    <row r="732">
      <c r="A732" s="17"/>
      <c r="B732" s="17"/>
      <c r="C732" s="51"/>
      <c r="D732" s="51"/>
      <c r="E732" s="51"/>
      <c r="F732" s="52"/>
      <c r="G732" s="52"/>
      <c r="H732" s="52"/>
      <c r="I732" s="52"/>
      <c r="J732" s="53"/>
      <c r="K732" s="52"/>
    </row>
    <row r="733">
      <c r="A733" s="17"/>
      <c r="B733" s="17"/>
      <c r="C733" s="51"/>
      <c r="D733" s="51"/>
      <c r="E733" s="51"/>
      <c r="F733" s="52"/>
      <c r="G733" s="52"/>
      <c r="H733" s="52"/>
      <c r="I733" s="52"/>
      <c r="J733" s="53"/>
      <c r="K733" s="52"/>
    </row>
    <row r="734">
      <c r="A734" s="17"/>
      <c r="B734" s="17"/>
      <c r="C734" s="51"/>
      <c r="D734" s="51"/>
      <c r="E734" s="51"/>
      <c r="F734" s="52"/>
      <c r="G734" s="52"/>
      <c r="H734" s="52"/>
      <c r="I734" s="52"/>
      <c r="J734" s="53"/>
      <c r="K734" s="52"/>
    </row>
    <row r="735">
      <c r="A735" s="17"/>
      <c r="B735" s="17"/>
      <c r="C735" s="51"/>
      <c r="D735" s="51"/>
      <c r="E735" s="51"/>
      <c r="F735" s="52"/>
      <c r="G735" s="52"/>
      <c r="H735" s="52"/>
      <c r="I735" s="52"/>
      <c r="J735" s="53"/>
      <c r="K735" s="52"/>
    </row>
    <row r="736">
      <c r="A736" s="17"/>
      <c r="B736" s="17"/>
      <c r="C736" s="51"/>
      <c r="D736" s="51"/>
      <c r="E736" s="51"/>
      <c r="F736" s="52"/>
      <c r="G736" s="52"/>
      <c r="H736" s="52"/>
      <c r="I736" s="52"/>
      <c r="J736" s="53"/>
      <c r="K736" s="52"/>
    </row>
    <row r="737">
      <c r="A737" s="17"/>
      <c r="B737" s="17"/>
      <c r="C737" s="51"/>
      <c r="D737" s="51"/>
      <c r="E737" s="51"/>
      <c r="F737" s="52"/>
      <c r="G737" s="52"/>
      <c r="H737" s="52"/>
      <c r="I737" s="52"/>
      <c r="J737" s="53"/>
      <c r="K737" s="52"/>
    </row>
    <row r="738">
      <c r="A738" s="17"/>
      <c r="B738" s="17"/>
      <c r="C738" s="51"/>
      <c r="D738" s="51"/>
      <c r="E738" s="51"/>
      <c r="F738" s="52"/>
      <c r="G738" s="52"/>
      <c r="H738" s="52"/>
      <c r="I738" s="52"/>
      <c r="J738" s="53"/>
      <c r="K738" s="52"/>
    </row>
    <row r="739">
      <c r="A739" s="17"/>
      <c r="B739" s="17"/>
      <c r="C739" s="51"/>
      <c r="D739" s="51"/>
      <c r="E739" s="51"/>
      <c r="F739" s="52"/>
      <c r="G739" s="52"/>
      <c r="H739" s="52"/>
      <c r="I739" s="52"/>
      <c r="J739" s="53"/>
      <c r="K739" s="52"/>
    </row>
    <row r="740">
      <c r="A740" s="17"/>
      <c r="B740" s="17"/>
      <c r="C740" s="51"/>
      <c r="D740" s="51"/>
      <c r="E740" s="51"/>
      <c r="F740" s="52"/>
      <c r="G740" s="52"/>
      <c r="H740" s="52"/>
      <c r="I740" s="52"/>
      <c r="J740" s="53"/>
      <c r="K740" s="52"/>
    </row>
    <row r="741">
      <c r="A741" s="17"/>
      <c r="B741" s="17"/>
      <c r="C741" s="51"/>
      <c r="D741" s="51"/>
      <c r="E741" s="51"/>
      <c r="F741" s="52"/>
      <c r="G741" s="52"/>
      <c r="H741" s="52"/>
      <c r="I741" s="52"/>
      <c r="J741" s="53"/>
      <c r="K741" s="52"/>
    </row>
    <row r="742">
      <c r="A742" s="17"/>
      <c r="B742" s="17"/>
      <c r="C742" s="51"/>
      <c r="D742" s="51"/>
      <c r="E742" s="51"/>
      <c r="F742" s="52"/>
      <c r="G742" s="52"/>
      <c r="H742" s="52"/>
      <c r="I742" s="52"/>
      <c r="J742" s="53"/>
      <c r="K742" s="52"/>
    </row>
    <row r="743">
      <c r="A743" s="17"/>
      <c r="B743" s="17"/>
      <c r="C743" s="51"/>
      <c r="D743" s="51"/>
      <c r="E743" s="51"/>
      <c r="F743" s="52"/>
      <c r="G743" s="52"/>
      <c r="H743" s="52"/>
      <c r="I743" s="52"/>
      <c r="J743" s="53"/>
      <c r="K743" s="52"/>
    </row>
    <row r="744">
      <c r="A744" s="17"/>
      <c r="B744" s="17"/>
      <c r="C744" s="51"/>
      <c r="D744" s="51"/>
      <c r="E744" s="51"/>
      <c r="F744" s="52"/>
      <c r="G744" s="52"/>
      <c r="H744" s="52"/>
      <c r="I744" s="52"/>
      <c r="J744" s="53"/>
      <c r="K744" s="52"/>
    </row>
    <row r="745">
      <c r="A745" s="17"/>
      <c r="B745" s="17"/>
      <c r="C745" s="51"/>
      <c r="D745" s="51"/>
      <c r="E745" s="51"/>
      <c r="F745" s="52"/>
      <c r="G745" s="52"/>
      <c r="H745" s="52"/>
      <c r="I745" s="52"/>
      <c r="J745" s="53"/>
      <c r="K745" s="52"/>
    </row>
    <row r="746">
      <c r="A746" s="17"/>
      <c r="B746" s="17"/>
      <c r="C746" s="51"/>
      <c r="D746" s="51"/>
      <c r="E746" s="51"/>
      <c r="F746" s="52"/>
      <c r="G746" s="52"/>
      <c r="H746" s="52"/>
      <c r="I746" s="52"/>
      <c r="J746" s="53"/>
      <c r="K746" s="52"/>
    </row>
    <row r="747">
      <c r="A747" s="17"/>
      <c r="B747" s="17"/>
      <c r="C747" s="51"/>
      <c r="D747" s="51"/>
      <c r="E747" s="51"/>
      <c r="F747" s="52"/>
      <c r="G747" s="52"/>
      <c r="H747" s="52"/>
      <c r="I747" s="52"/>
      <c r="J747" s="53"/>
      <c r="K747" s="52"/>
    </row>
    <row r="748">
      <c r="A748" s="17"/>
      <c r="B748" s="17"/>
      <c r="C748" s="51"/>
      <c r="D748" s="51"/>
      <c r="E748" s="51"/>
      <c r="F748" s="52"/>
      <c r="G748" s="52"/>
      <c r="H748" s="52"/>
      <c r="I748" s="52"/>
      <c r="J748" s="53"/>
      <c r="K748" s="52"/>
    </row>
    <row r="749">
      <c r="A749" s="17"/>
      <c r="B749" s="17"/>
      <c r="C749" s="51"/>
      <c r="D749" s="51"/>
      <c r="E749" s="51"/>
      <c r="F749" s="52"/>
      <c r="G749" s="52"/>
      <c r="H749" s="52"/>
      <c r="I749" s="52"/>
      <c r="J749" s="53"/>
      <c r="K749" s="52"/>
    </row>
    <row r="750">
      <c r="A750" s="17"/>
      <c r="B750" s="17"/>
      <c r="C750" s="51"/>
      <c r="D750" s="51"/>
      <c r="E750" s="51"/>
      <c r="F750" s="52"/>
      <c r="G750" s="52"/>
      <c r="H750" s="52"/>
      <c r="I750" s="52"/>
      <c r="J750" s="53"/>
      <c r="K750" s="52"/>
    </row>
    <row r="751">
      <c r="A751" s="17"/>
      <c r="B751" s="17"/>
      <c r="C751" s="51"/>
      <c r="D751" s="51"/>
      <c r="E751" s="51"/>
      <c r="F751" s="52"/>
      <c r="G751" s="52"/>
      <c r="H751" s="52"/>
      <c r="I751" s="52"/>
      <c r="J751" s="53"/>
      <c r="K751" s="52"/>
    </row>
    <row r="752">
      <c r="A752" s="17"/>
      <c r="B752" s="17"/>
      <c r="C752" s="51"/>
      <c r="D752" s="51"/>
      <c r="E752" s="51"/>
      <c r="F752" s="52"/>
      <c r="G752" s="52"/>
      <c r="H752" s="52"/>
      <c r="I752" s="52"/>
      <c r="J752" s="53"/>
      <c r="K752" s="52"/>
    </row>
    <row r="753">
      <c r="A753" s="17"/>
      <c r="B753" s="17"/>
      <c r="C753" s="51"/>
      <c r="D753" s="51"/>
      <c r="E753" s="51"/>
      <c r="F753" s="52"/>
      <c r="G753" s="52"/>
      <c r="H753" s="52"/>
      <c r="I753" s="52"/>
      <c r="J753" s="53"/>
      <c r="K753" s="52"/>
    </row>
    <row r="754">
      <c r="A754" s="17"/>
      <c r="B754" s="17"/>
      <c r="C754" s="51"/>
      <c r="D754" s="51"/>
      <c r="E754" s="51"/>
      <c r="F754" s="52"/>
      <c r="G754" s="52"/>
      <c r="H754" s="52"/>
      <c r="I754" s="52"/>
      <c r="J754" s="53"/>
      <c r="K754" s="52"/>
    </row>
    <row r="755">
      <c r="A755" s="17"/>
      <c r="B755" s="17"/>
      <c r="C755" s="51"/>
      <c r="D755" s="51"/>
      <c r="E755" s="51"/>
      <c r="F755" s="52"/>
      <c r="G755" s="52"/>
      <c r="H755" s="52"/>
      <c r="I755" s="52"/>
      <c r="J755" s="53"/>
      <c r="K755" s="52"/>
    </row>
    <row r="756">
      <c r="A756" s="17"/>
      <c r="B756" s="17"/>
      <c r="C756" s="51"/>
      <c r="D756" s="51"/>
      <c r="E756" s="51"/>
      <c r="F756" s="52"/>
      <c r="G756" s="52"/>
      <c r="H756" s="52"/>
      <c r="I756" s="52"/>
      <c r="J756" s="53"/>
      <c r="K756" s="52"/>
    </row>
    <row r="757">
      <c r="A757" s="17"/>
      <c r="B757" s="17"/>
      <c r="C757" s="51"/>
      <c r="D757" s="51"/>
      <c r="E757" s="51"/>
      <c r="F757" s="52"/>
      <c r="G757" s="52"/>
      <c r="H757" s="52"/>
      <c r="I757" s="52"/>
      <c r="J757" s="53"/>
      <c r="K757" s="52"/>
    </row>
    <row r="758">
      <c r="A758" s="17"/>
      <c r="B758" s="17"/>
      <c r="C758" s="51"/>
      <c r="D758" s="51"/>
      <c r="E758" s="51"/>
      <c r="F758" s="52"/>
      <c r="G758" s="52"/>
      <c r="H758" s="52"/>
      <c r="I758" s="52"/>
      <c r="J758" s="53"/>
      <c r="K758" s="52"/>
    </row>
    <row r="759">
      <c r="A759" s="17"/>
      <c r="B759" s="17"/>
      <c r="C759" s="51"/>
      <c r="D759" s="51"/>
      <c r="E759" s="51"/>
      <c r="F759" s="52"/>
      <c r="G759" s="52"/>
      <c r="H759" s="52"/>
      <c r="I759" s="52"/>
      <c r="J759" s="53"/>
      <c r="K759" s="52"/>
    </row>
    <row r="760">
      <c r="A760" s="17"/>
      <c r="B760" s="17"/>
      <c r="C760" s="51"/>
      <c r="D760" s="51"/>
      <c r="E760" s="51"/>
      <c r="F760" s="52"/>
      <c r="G760" s="52"/>
      <c r="H760" s="52"/>
      <c r="I760" s="52"/>
      <c r="J760" s="53"/>
      <c r="K760" s="52"/>
    </row>
    <row r="761">
      <c r="A761" s="17"/>
      <c r="B761" s="17"/>
      <c r="C761" s="51"/>
      <c r="D761" s="51"/>
      <c r="E761" s="51"/>
      <c r="F761" s="52"/>
      <c r="G761" s="52"/>
      <c r="H761" s="52"/>
      <c r="I761" s="52"/>
      <c r="J761" s="53"/>
      <c r="K761" s="52"/>
    </row>
    <row r="762">
      <c r="A762" s="17"/>
      <c r="B762" s="17"/>
      <c r="C762" s="51"/>
      <c r="D762" s="51"/>
      <c r="E762" s="51"/>
      <c r="F762" s="52"/>
      <c r="G762" s="52"/>
      <c r="H762" s="52"/>
      <c r="I762" s="52"/>
      <c r="J762" s="53"/>
      <c r="K762" s="52"/>
    </row>
    <row r="763">
      <c r="A763" s="17"/>
      <c r="B763" s="17"/>
      <c r="C763" s="51"/>
      <c r="D763" s="51"/>
      <c r="E763" s="51"/>
      <c r="F763" s="52"/>
      <c r="G763" s="52"/>
      <c r="H763" s="52"/>
      <c r="I763" s="52"/>
      <c r="J763" s="53"/>
      <c r="K763" s="52"/>
    </row>
    <row r="764">
      <c r="A764" s="17"/>
      <c r="B764" s="17"/>
      <c r="C764" s="51"/>
      <c r="D764" s="51"/>
      <c r="E764" s="51"/>
      <c r="F764" s="52"/>
      <c r="G764" s="52"/>
      <c r="H764" s="52"/>
      <c r="I764" s="52"/>
      <c r="J764" s="53"/>
      <c r="K764" s="52"/>
    </row>
    <row r="765">
      <c r="A765" s="17"/>
      <c r="B765" s="17"/>
      <c r="C765" s="51"/>
      <c r="D765" s="51"/>
      <c r="E765" s="51"/>
      <c r="F765" s="52"/>
      <c r="G765" s="52"/>
      <c r="H765" s="52"/>
      <c r="I765" s="52"/>
      <c r="J765" s="53"/>
      <c r="K765" s="52"/>
    </row>
    <row r="766">
      <c r="A766" s="17"/>
      <c r="B766" s="17"/>
      <c r="C766" s="51"/>
      <c r="D766" s="51"/>
      <c r="E766" s="51"/>
      <c r="F766" s="52"/>
      <c r="G766" s="52"/>
      <c r="H766" s="52"/>
      <c r="I766" s="52"/>
      <c r="J766" s="53"/>
      <c r="K766" s="52"/>
    </row>
    <row r="767">
      <c r="A767" s="17"/>
      <c r="B767" s="17"/>
      <c r="C767" s="51"/>
      <c r="D767" s="51"/>
      <c r="E767" s="51"/>
      <c r="F767" s="52"/>
      <c r="G767" s="52"/>
      <c r="H767" s="52"/>
      <c r="I767" s="52"/>
      <c r="J767" s="53"/>
      <c r="K767" s="52"/>
    </row>
    <row r="768">
      <c r="A768" s="17"/>
      <c r="B768" s="17"/>
      <c r="C768" s="51"/>
      <c r="D768" s="51"/>
      <c r="E768" s="51"/>
      <c r="F768" s="52"/>
      <c r="G768" s="52"/>
      <c r="H768" s="52"/>
      <c r="I768" s="52"/>
      <c r="J768" s="53"/>
      <c r="K768" s="52"/>
    </row>
    <row r="769">
      <c r="A769" s="17"/>
      <c r="B769" s="17"/>
      <c r="C769" s="51"/>
      <c r="D769" s="51"/>
      <c r="E769" s="51"/>
      <c r="F769" s="52"/>
      <c r="G769" s="52"/>
      <c r="H769" s="52"/>
      <c r="I769" s="52"/>
      <c r="J769" s="53"/>
      <c r="K769" s="52"/>
    </row>
    <row r="770">
      <c r="A770" s="17"/>
      <c r="B770" s="17"/>
      <c r="C770" s="51"/>
      <c r="D770" s="51"/>
      <c r="E770" s="51"/>
      <c r="F770" s="52"/>
      <c r="G770" s="52"/>
      <c r="H770" s="52"/>
      <c r="I770" s="52"/>
      <c r="J770" s="53"/>
      <c r="K770" s="52"/>
    </row>
    <row r="771">
      <c r="A771" s="17"/>
      <c r="B771" s="17"/>
      <c r="C771" s="51"/>
      <c r="D771" s="51"/>
      <c r="E771" s="51"/>
      <c r="F771" s="52"/>
      <c r="G771" s="52"/>
      <c r="H771" s="52"/>
      <c r="I771" s="52"/>
      <c r="J771" s="53"/>
      <c r="K771" s="52"/>
    </row>
    <row r="772">
      <c r="A772" s="17"/>
      <c r="B772" s="17"/>
      <c r="C772" s="51"/>
      <c r="D772" s="51"/>
      <c r="E772" s="51"/>
      <c r="F772" s="52"/>
      <c r="G772" s="52"/>
      <c r="H772" s="52"/>
      <c r="I772" s="52"/>
      <c r="J772" s="53"/>
      <c r="K772" s="52"/>
    </row>
    <row r="773">
      <c r="A773" s="17"/>
      <c r="B773" s="17"/>
      <c r="C773" s="51"/>
      <c r="D773" s="51"/>
      <c r="E773" s="51"/>
      <c r="F773" s="52"/>
      <c r="G773" s="52"/>
      <c r="H773" s="52"/>
      <c r="I773" s="52"/>
      <c r="J773" s="53"/>
      <c r="K773" s="52"/>
    </row>
    <row r="774">
      <c r="A774" s="17"/>
      <c r="B774" s="17"/>
      <c r="C774" s="51"/>
      <c r="D774" s="51"/>
      <c r="E774" s="51"/>
      <c r="F774" s="52"/>
      <c r="G774" s="52"/>
      <c r="H774" s="52"/>
      <c r="I774" s="52"/>
      <c r="J774" s="53"/>
      <c r="K774" s="52"/>
    </row>
    <row r="775">
      <c r="A775" s="17"/>
      <c r="B775" s="17"/>
      <c r="C775" s="51"/>
      <c r="D775" s="51"/>
      <c r="E775" s="51"/>
      <c r="F775" s="52"/>
      <c r="G775" s="52"/>
      <c r="H775" s="52"/>
      <c r="I775" s="52"/>
      <c r="J775" s="53"/>
      <c r="K775" s="52"/>
    </row>
    <row r="776">
      <c r="A776" s="17"/>
      <c r="B776" s="17"/>
      <c r="C776" s="51"/>
      <c r="D776" s="51"/>
      <c r="E776" s="51"/>
      <c r="F776" s="52"/>
      <c r="G776" s="52"/>
      <c r="H776" s="52"/>
      <c r="I776" s="52"/>
      <c r="J776" s="53"/>
      <c r="K776" s="52"/>
    </row>
    <row r="777">
      <c r="A777" s="17"/>
      <c r="B777" s="17"/>
      <c r="C777" s="51"/>
      <c r="D777" s="51"/>
      <c r="E777" s="51"/>
      <c r="F777" s="52"/>
      <c r="G777" s="52"/>
      <c r="H777" s="52"/>
      <c r="I777" s="52"/>
      <c r="J777" s="53"/>
      <c r="K777" s="52"/>
    </row>
    <row r="778">
      <c r="A778" s="17"/>
      <c r="B778" s="17"/>
      <c r="C778" s="51"/>
      <c r="D778" s="51"/>
      <c r="E778" s="51"/>
      <c r="F778" s="52"/>
      <c r="G778" s="52"/>
      <c r="H778" s="52"/>
      <c r="I778" s="52"/>
      <c r="J778" s="53"/>
      <c r="K778" s="52"/>
    </row>
    <row r="779">
      <c r="A779" s="17"/>
      <c r="B779" s="17"/>
      <c r="C779" s="51"/>
      <c r="D779" s="51"/>
      <c r="E779" s="51"/>
      <c r="F779" s="52"/>
      <c r="G779" s="52"/>
      <c r="H779" s="52"/>
      <c r="I779" s="52"/>
      <c r="J779" s="53"/>
      <c r="K779" s="52"/>
    </row>
    <row r="780">
      <c r="A780" s="17"/>
      <c r="B780" s="17"/>
      <c r="C780" s="51"/>
      <c r="D780" s="51"/>
      <c r="E780" s="51"/>
      <c r="F780" s="52"/>
      <c r="G780" s="52"/>
      <c r="H780" s="52"/>
      <c r="I780" s="52"/>
      <c r="J780" s="53"/>
      <c r="K780" s="52"/>
    </row>
    <row r="781">
      <c r="A781" s="17"/>
      <c r="B781" s="17"/>
      <c r="C781" s="51"/>
      <c r="D781" s="51"/>
      <c r="E781" s="51"/>
      <c r="F781" s="52"/>
      <c r="G781" s="52"/>
      <c r="H781" s="52"/>
      <c r="I781" s="52"/>
      <c r="J781" s="53"/>
      <c r="K781" s="52"/>
    </row>
    <row r="782">
      <c r="A782" s="17"/>
      <c r="B782" s="17"/>
      <c r="C782" s="51"/>
      <c r="D782" s="51"/>
      <c r="E782" s="51"/>
      <c r="F782" s="52"/>
      <c r="G782" s="52"/>
      <c r="H782" s="52"/>
      <c r="I782" s="52"/>
      <c r="J782" s="53"/>
      <c r="K782" s="52"/>
    </row>
    <row r="783">
      <c r="A783" s="17"/>
      <c r="B783" s="17"/>
      <c r="C783" s="51"/>
      <c r="D783" s="51"/>
      <c r="E783" s="51"/>
      <c r="F783" s="52"/>
      <c r="G783" s="52"/>
      <c r="H783" s="52"/>
      <c r="I783" s="52"/>
      <c r="J783" s="53"/>
      <c r="K783" s="52"/>
    </row>
    <row r="784">
      <c r="A784" s="17"/>
      <c r="B784" s="17"/>
      <c r="C784" s="51"/>
      <c r="D784" s="51"/>
      <c r="E784" s="51"/>
      <c r="F784" s="52"/>
      <c r="G784" s="52"/>
      <c r="H784" s="52"/>
      <c r="I784" s="52"/>
      <c r="J784" s="53"/>
      <c r="K784" s="52"/>
    </row>
    <row r="785">
      <c r="A785" s="17"/>
      <c r="B785" s="17"/>
      <c r="C785" s="51"/>
      <c r="D785" s="51"/>
      <c r="E785" s="51"/>
      <c r="F785" s="52"/>
      <c r="G785" s="52"/>
      <c r="H785" s="52"/>
      <c r="I785" s="52"/>
      <c r="J785" s="53"/>
      <c r="K785" s="52"/>
    </row>
    <row r="786">
      <c r="A786" s="17"/>
      <c r="B786" s="17"/>
      <c r="C786" s="51"/>
      <c r="D786" s="51"/>
      <c r="E786" s="51"/>
      <c r="F786" s="52"/>
      <c r="G786" s="52"/>
      <c r="H786" s="52"/>
      <c r="I786" s="52"/>
      <c r="J786" s="53"/>
      <c r="K786" s="52"/>
    </row>
    <row r="787">
      <c r="A787" s="17"/>
      <c r="B787" s="17"/>
      <c r="C787" s="51"/>
      <c r="D787" s="51"/>
      <c r="E787" s="51"/>
      <c r="F787" s="52"/>
      <c r="G787" s="52"/>
      <c r="H787" s="52"/>
      <c r="I787" s="52"/>
      <c r="J787" s="53"/>
      <c r="K787" s="52"/>
    </row>
    <row r="788">
      <c r="A788" s="17"/>
      <c r="B788" s="17"/>
      <c r="C788" s="51"/>
      <c r="D788" s="51"/>
      <c r="E788" s="51"/>
      <c r="F788" s="52"/>
      <c r="G788" s="52"/>
      <c r="H788" s="52"/>
      <c r="I788" s="52"/>
      <c r="J788" s="53"/>
      <c r="K788" s="52"/>
    </row>
    <row r="789">
      <c r="A789" s="17"/>
      <c r="B789" s="17"/>
      <c r="C789" s="51"/>
      <c r="D789" s="51"/>
      <c r="E789" s="51"/>
      <c r="F789" s="52"/>
      <c r="G789" s="52"/>
      <c r="H789" s="52"/>
      <c r="I789" s="52"/>
      <c r="J789" s="53"/>
      <c r="K789" s="52"/>
    </row>
    <row r="790">
      <c r="A790" s="17"/>
      <c r="B790" s="17"/>
      <c r="C790" s="51"/>
      <c r="D790" s="51"/>
      <c r="E790" s="51"/>
      <c r="F790" s="52"/>
      <c r="G790" s="52"/>
      <c r="H790" s="52"/>
      <c r="I790" s="52"/>
      <c r="J790" s="53"/>
      <c r="K790" s="52"/>
    </row>
    <row r="791">
      <c r="A791" s="17"/>
      <c r="B791" s="17"/>
      <c r="C791" s="51"/>
      <c r="D791" s="51"/>
      <c r="E791" s="51"/>
      <c r="F791" s="52"/>
      <c r="G791" s="52"/>
      <c r="H791" s="52"/>
      <c r="I791" s="52"/>
      <c r="J791" s="53"/>
      <c r="K791" s="52"/>
    </row>
    <row r="792">
      <c r="A792" s="17"/>
      <c r="B792" s="17"/>
      <c r="C792" s="51"/>
      <c r="D792" s="51"/>
      <c r="E792" s="51"/>
      <c r="F792" s="52"/>
      <c r="G792" s="52"/>
      <c r="H792" s="52"/>
      <c r="I792" s="52"/>
      <c r="J792" s="53"/>
      <c r="K792" s="52"/>
    </row>
    <row r="793">
      <c r="A793" s="17"/>
      <c r="B793" s="17"/>
      <c r="C793" s="51"/>
      <c r="D793" s="51"/>
      <c r="E793" s="51"/>
      <c r="F793" s="52"/>
      <c r="G793" s="52"/>
      <c r="H793" s="52"/>
      <c r="I793" s="52"/>
      <c r="J793" s="53"/>
      <c r="K793" s="52"/>
    </row>
    <row r="794">
      <c r="A794" s="17"/>
      <c r="B794" s="17"/>
      <c r="C794" s="51"/>
      <c r="D794" s="51"/>
      <c r="E794" s="51"/>
      <c r="F794" s="52"/>
      <c r="G794" s="52"/>
      <c r="H794" s="52"/>
      <c r="I794" s="52"/>
      <c r="J794" s="53"/>
      <c r="K794" s="52"/>
    </row>
    <row r="795">
      <c r="A795" s="17"/>
      <c r="B795" s="17"/>
      <c r="C795" s="51"/>
      <c r="D795" s="51"/>
      <c r="E795" s="51"/>
      <c r="F795" s="52"/>
      <c r="G795" s="52"/>
      <c r="H795" s="52"/>
      <c r="I795" s="52"/>
      <c r="J795" s="53"/>
      <c r="K795" s="52"/>
    </row>
    <row r="796">
      <c r="A796" s="17"/>
      <c r="B796" s="17"/>
      <c r="C796" s="51"/>
      <c r="D796" s="51"/>
      <c r="E796" s="51"/>
      <c r="F796" s="52"/>
      <c r="G796" s="52"/>
      <c r="H796" s="52"/>
      <c r="I796" s="52"/>
      <c r="J796" s="53"/>
      <c r="K796" s="52"/>
    </row>
    <row r="797">
      <c r="A797" s="17"/>
      <c r="B797" s="17"/>
      <c r="C797" s="51"/>
      <c r="D797" s="51"/>
      <c r="E797" s="51"/>
      <c r="F797" s="52"/>
      <c r="G797" s="52"/>
      <c r="H797" s="52"/>
      <c r="I797" s="52"/>
      <c r="J797" s="53"/>
      <c r="K797" s="52"/>
    </row>
    <row r="798">
      <c r="A798" s="17"/>
      <c r="B798" s="17"/>
      <c r="C798" s="51"/>
      <c r="D798" s="51"/>
      <c r="E798" s="51"/>
      <c r="F798" s="52"/>
      <c r="G798" s="52"/>
      <c r="H798" s="52"/>
      <c r="I798" s="52"/>
      <c r="J798" s="53"/>
      <c r="K798" s="52"/>
    </row>
    <row r="799">
      <c r="A799" s="17"/>
      <c r="B799" s="17"/>
      <c r="C799" s="51"/>
      <c r="D799" s="51"/>
      <c r="E799" s="51"/>
      <c r="F799" s="52"/>
      <c r="G799" s="52"/>
      <c r="H799" s="52"/>
      <c r="I799" s="52"/>
      <c r="J799" s="53"/>
      <c r="K799" s="52"/>
    </row>
    <row r="800">
      <c r="A800" s="17"/>
      <c r="B800" s="17"/>
      <c r="C800" s="51"/>
      <c r="D800" s="51"/>
      <c r="E800" s="51"/>
      <c r="F800" s="52"/>
      <c r="G800" s="52"/>
      <c r="H800" s="52"/>
      <c r="I800" s="52"/>
      <c r="J800" s="53"/>
      <c r="K800" s="52"/>
    </row>
    <row r="801">
      <c r="A801" s="17"/>
      <c r="B801" s="17"/>
      <c r="C801" s="51"/>
      <c r="D801" s="51"/>
      <c r="E801" s="51"/>
      <c r="F801" s="52"/>
      <c r="G801" s="52"/>
      <c r="H801" s="52"/>
      <c r="I801" s="52"/>
      <c r="J801" s="53"/>
      <c r="K801" s="52"/>
    </row>
    <row r="802">
      <c r="A802" s="17"/>
      <c r="B802" s="17"/>
      <c r="C802" s="51"/>
      <c r="D802" s="51"/>
      <c r="E802" s="51"/>
      <c r="F802" s="52"/>
      <c r="G802" s="52"/>
      <c r="H802" s="52"/>
      <c r="I802" s="52"/>
      <c r="J802" s="53"/>
      <c r="K802" s="52"/>
    </row>
    <row r="803">
      <c r="A803" s="17"/>
      <c r="B803" s="17"/>
      <c r="C803" s="51"/>
      <c r="D803" s="51"/>
      <c r="E803" s="51"/>
      <c r="F803" s="52"/>
      <c r="G803" s="52"/>
      <c r="H803" s="52"/>
      <c r="I803" s="52"/>
      <c r="J803" s="53"/>
      <c r="K803" s="52"/>
    </row>
    <row r="804">
      <c r="A804" s="17"/>
      <c r="B804" s="17"/>
      <c r="C804" s="51"/>
      <c r="D804" s="51"/>
      <c r="E804" s="51"/>
      <c r="F804" s="52"/>
      <c r="G804" s="52"/>
      <c r="H804" s="52"/>
      <c r="I804" s="52"/>
      <c r="J804" s="53"/>
      <c r="K804" s="52"/>
    </row>
    <row r="805">
      <c r="A805" s="17"/>
      <c r="B805" s="17"/>
      <c r="C805" s="51"/>
      <c r="D805" s="51"/>
      <c r="E805" s="51"/>
      <c r="F805" s="52"/>
      <c r="G805" s="52"/>
      <c r="H805" s="52"/>
      <c r="I805" s="52"/>
      <c r="J805" s="53"/>
      <c r="K805" s="52"/>
    </row>
    <row r="806">
      <c r="A806" s="17"/>
      <c r="B806" s="17"/>
      <c r="C806" s="51"/>
      <c r="D806" s="51"/>
      <c r="E806" s="51"/>
      <c r="F806" s="52"/>
      <c r="G806" s="52"/>
      <c r="H806" s="52"/>
      <c r="I806" s="52"/>
      <c r="J806" s="53"/>
      <c r="K806" s="52"/>
    </row>
    <row r="807">
      <c r="A807" s="17"/>
      <c r="B807" s="17"/>
      <c r="C807" s="51"/>
      <c r="D807" s="51"/>
      <c r="E807" s="51"/>
      <c r="F807" s="52"/>
      <c r="G807" s="52"/>
      <c r="H807" s="52"/>
      <c r="I807" s="52"/>
      <c r="J807" s="53"/>
      <c r="K807" s="52"/>
    </row>
    <row r="808">
      <c r="A808" s="17"/>
      <c r="B808" s="17"/>
      <c r="C808" s="51"/>
      <c r="D808" s="51"/>
      <c r="E808" s="51"/>
      <c r="F808" s="52"/>
      <c r="G808" s="52"/>
      <c r="H808" s="52"/>
      <c r="I808" s="52"/>
      <c r="J808" s="53"/>
      <c r="K808" s="52"/>
    </row>
    <row r="809">
      <c r="A809" s="17"/>
      <c r="B809" s="17"/>
      <c r="C809" s="51"/>
      <c r="D809" s="51"/>
      <c r="E809" s="51"/>
      <c r="F809" s="52"/>
      <c r="G809" s="52"/>
      <c r="H809" s="52"/>
      <c r="I809" s="52"/>
      <c r="J809" s="53"/>
      <c r="K809" s="52"/>
    </row>
    <row r="810">
      <c r="A810" s="17"/>
      <c r="B810" s="17"/>
      <c r="C810" s="51"/>
      <c r="D810" s="51"/>
      <c r="E810" s="51"/>
      <c r="F810" s="52"/>
      <c r="G810" s="52"/>
      <c r="H810" s="52"/>
      <c r="I810" s="52"/>
      <c r="J810" s="53"/>
      <c r="K810" s="52"/>
    </row>
    <row r="811">
      <c r="A811" s="17"/>
      <c r="B811" s="17"/>
      <c r="C811" s="51"/>
      <c r="D811" s="51"/>
      <c r="E811" s="51"/>
      <c r="F811" s="52"/>
      <c r="G811" s="52"/>
      <c r="H811" s="52"/>
      <c r="I811" s="52"/>
      <c r="J811" s="53"/>
      <c r="K811" s="52"/>
    </row>
    <row r="812">
      <c r="A812" s="17"/>
      <c r="B812" s="17"/>
      <c r="C812" s="51"/>
      <c r="D812" s="51"/>
      <c r="E812" s="51"/>
      <c r="F812" s="52"/>
      <c r="G812" s="52"/>
      <c r="H812" s="52"/>
      <c r="I812" s="52"/>
      <c r="J812" s="53"/>
      <c r="K812" s="52"/>
    </row>
    <row r="813">
      <c r="A813" s="17"/>
      <c r="B813" s="17"/>
      <c r="C813" s="51"/>
      <c r="D813" s="51"/>
      <c r="E813" s="51"/>
      <c r="F813" s="52"/>
      <c r="G813" s="52"/>
      <c r="H813" s="52"/>
      <c r="I813" s="52"/>
      <c r="J813" s="53"/>
      <c r="K813" s="52"/>
    </row>
    <row r="814">
      <c r="A814" s="17"/>
      <c r="B814" s="17"/>
      <c r="C814" s="51"/>
      <c r="D814" s="51"/>
      <c r="E814" s="51"/>
      <c r="F814" s="52"/>
      <c r="G814" s="52"/>
      <c r="H814" s="52"/>
      <c r="I814" s="52"/>
      <c r="J814" s="53"/>
      <c r="K814" s="52"/>
    </row>
    <row r="815">
      <c r="A815" s="17"/>
      <c r="B815" s="17"/>
      <c r="C815" s="51"/>
      <c r="D815" s="51"/>
      <c r="E815" s="51"/>
      <c r="F815" s="52"/>
      <c r="G815" s="52"/>
      <c r="H815" s="52"/>
      <c r="I815" s="52"/>
      <c r="J815" s="53"/>
      <c r="K815" s="52"/>
    </row>
    <row r="816">
      <c r="A816" s="17"/>
      <c r="B816" s="17"/>
      <c r="C816" s="51"/>
      <c r="D816" s="51"/>
      <c r="E816" s="51"/>
      <c r="F816" s="52"/>
      <c r="G816" s="52"/>
      <c r="H816" s="52"/>
      <c r="I816" s="52"/>
      <c r="J816" s="53"/>
      <c r="K816" s="52"/>
    </row>
    <row r="817">
      <c r="A817" s="17"/>
      <c r="B817" s="17"/>
      <c r="C817" s="51"/>
      <c r="D817" s="51"/>
      <c r="E817" s="51"/>
      <c r="F817" s="52"/>
      <c r="G817" s="52"/>
      <c r="H817" s="52"/>
      <c r="I817" s="52"/>
      <c r="J817" s="53"/>
      <c r="K817" s="52"/>
    </row>
    <row r="818">
      <c r="A818" s="17"/>
      <c r="B818" s="17"/>
      <c r="C818" s="51"/>
      <c r="D818" s="51"/>
      <c r="E818" s="51"/>
      <c r="F818" s="52"/>
      <c r="G818" s="52"/>
      <c r="H818" s="52"/>
      <c r="I818" s="52"/>
      <c r="J818" s="53"/>
      <c r="K818" s="52"/>
    </row>
    <row r="819">
      <c r="A819" s="17"/>
      <c r="B819" s="17"/>
      <c r="C819" s="51"/>
      <c r="D819" s="51"/>
      <c r="E819" s="51"/>
      <c r="F819" s="52"/>
      <c r="G819" s="52"/>
      <c r="H819" s="52"/>
      <c r="I819" s="52"/>
      <c r="J819" s="53"/>
      <c r="K819" s="52"/>
    </row>
    <row r="820">
      <c r="A820" s="17"/>
      <c r="B820" s="17"/>
      <c r="C820" s="51"/>
      <c r="D820" s="51"/>
      <c r="E820" s="51"/>
      <c r="F820" s="52"/>
      <c r="G820" s="52"/>
      <c r="H820" s="52"/>
      <c r="I820" s="52"/>
      <c r="J820" s="53"/>
      <c r="K820" s="52"/>
    </row>
    <row r="821">
      <c r="A821" s="17"/>
      <c r="B821" s="17"/>
      <c r="C821" s="51"/>
      <c r="D821" s="51"/>
      <c r="E821" s="51"/>
      <c r="F821" s="52"/>
      <c r="G821" s="52"/>
      <c r="H821" s="52"/>
      <c r="I821" s="52"/>
      <c r="J821" s="53"/>
      <c r="K821" s="52"/>
    </row>
    <row r="822">
      <c r="A822" s="17"/>
      <c r="B822" s="17"/>
      <c r="C822" s="51"/>
      <c r="D822" s="51"/>
      <c r="E822" s="51"/>
      <c r="F822" s="52"/>
      <c r="G822" s="52"/>
      <c r="H822" s="52"/>
      <c r="I822" s="52"/>
      <c r="J822" s="53"/>
      <c r="K822" s="52"/>
    </row>
    <row r="823">
      <c r="A823" s="17"/>
      <c r="B823" s="17"/>
      <c r="C823" s="51"/>
      <c r="D823" s="51"/>
      <c r="E823" s="51"/>
      <c r="F823" s="52"/>
      <c r="G823" s="52"/>
      <c r="H823" s="52"/>
      <c r="I823" s="52"/>
      <c r="J823" s="53"/>
      <c r="K823" s="52"/>
    </row>
    <row r="824">
      <c r="A824" s="17"/>
      <c r="B824" s="17"/>
      <c r="C824" s="51"/>
      <c r="D824" s="51"/>
      <c r="E824" s="51"/>
      <c r="F824" s="52"/>
      <c r="G824" s="52"/>
      <c r="H824" s="52"/>
      <c r="I824" s="52"/>
      <c r="J824" s="53"/>
      <c r="K824" s="52"/>
    </row>
    <row r="825">
      <c r="A825" s="17"/>
      <c r="B825" s="17"/>
      <c r="C825" s="51"/>
      <c r="D825" s="51"/>
      <c r="E825" s="51"/>
      <c r="F825" s="52"/>
      <c r="G825" s="52"/>
      <c r="H825" s="52"/>
      <c r="I825" s="52"/>
      <c r="J825" s="53"/>
      <c r="K825" s="52"/>
    </row>
    <row r="826">
      <c r="A826" s="17"/>
      <c r="B826" s="17"/>
      <c r="C826" s="51"/>
      <c r="D826" s="51"/>
      <c r="E826" s="51"/>
      <c r="F826" s="52"/>
      <c r="G826" s="52"/>
      <c r="H826" s="52"/>
      <c r="I826" s="52"/>
      <c r="J826" s="53"/>
      <c r="K826" s="52"/>
    </row>
    <row r="827">
      <c r="A827" s="17"/>
      <c r="B827" s="17"/>
      <c r="C827" s="51"/>
      <c r="D827" s="51"/>
      <c r="E827" s="51"/>
      <c r="F827" s="52"/>
      <c r="G827" s="52"/>
      <c r="H827" s="52"/>
      <c r="I827" s="52"/>
      <c r="J827" s="53"/>
      <c r="K827" s="52"/>
    </row>
    <row r="828">
      <c r="A828" s="17"/>
      <c r="B828" s="17"/>
      <c r="C828" s="51"/>
      <c r="D828" s="51"/>
      <c r="E828" s="51"/>
      <c r="F828" s="52"/>
      <c r="G828" s="52"/>
      <c r="H828" s="52"/>
      <c r="I828" s="52"/>
      <c r="J828" s="53"/>
      <c r="K828" s="52"/>
    </row>
    <row r="829">
      <c r="A829" s="17"/>
      <c r="B829" s="17"/>
      <c r="C829" s="51"/>
      <c r="D829" s="51"/>
      <c r="E829" s="51"/>
      <c r="F829" s="52"/>
      <c r="G829" s="52"/>
      <c r="H829" s="52"/>
      <c r="I829" s="52"/>
      <c r="J829" s="53"/>
      <c r="K829" s="52"/>
    </row>
    <row r="830">
      <c r="A830" s="17"/>
      <c r="B830" s="17"/>
      <c r="C830" s="51"/>
      <c r="D830" s="51"/>
      <c r="E830" s="51"/>
      <c r="F830" s="52"/>
      <c r="G830" s="52"/>
      <c r="H830" s="52"/>
      <c r="I830" s="52"/>
      <c r="J830" s="53"/>
      <c r="K830" s="52"/>
    </row>
    <row r="831">
      <c r="A831" s="17"/>
      <c r="B831" s="17"/>
      <c r="C831" s="51"/>
      <c r="D831" s="51"/>
      <c r="E831" s="51"/>
      <c r="F831" s="52"/>
      <c r="G831" s="52"/>
      <c r="H831" s="52"/>
      <c r="I831" s="52"/>
      <c r="J831" s="53"/>
      <c r="K831" s="52"/>
    </row>
    <row r="832">
      <c r="A832" s="17"/>
      <c r="B832" s="17"/>
      <c r="C832" s="51"/>
      <c r="D832" s="51"/>
      <c r="E832" s="51"/>
      <c r="F832" s="52"/>
      <c r="G832" s="52"/>
      <c r="H832" s="52"/>
      <c r="I832" s="52"/>
      <c r="J832" s="53"/>
      <c r="K832" s="52"/>
    </row>
    <row r="833">
      <c r="A833" s="17"/>
      <c r="B833" s="17"/>
      <c r="C833" s="51"/>
      <c r="D833" s="51"/>
      <c r="E833" s="51"/>
      <c r="F833" s="52"/>
      <c r="G833" s="52"/>
      <c r="H833" s="52"/>
      <c r="I833" s="52"/>
      <c r="J833" s="53"/>
      <c r="K833" s="52"/>
    </row>
    <row r="834">
      <c r="A834" s="17"/>
      <c r="B834" s="17"/>
      <c r="C834" s="51"/>
      <c r="D834" s="51"/>
      <c r="E834" s="51"/>
      <c r="F834" s="52"/>
      <c r="G834" s="52"/>
      <c r="H834" s="52"/>
      <c r="I834" s="52"/>
      <c r="J834" s="53"/>
      <c r="K834" s="52"/>
    </row>
    <row r="835">
      <c r="A835" s="17"/>
      <c r="B835" s="17"/>
      <c r="C835" s="51"/>
      <c r="D835" s="51"/>
      <c r="E835" s="51"/>
      <c r="F835" s="52"/>
      <c r="G835" s="52"/>
      <c r="H835" s="52"/>
      <c r="I835" s="52"/>
      <c r="J835" s="53"/>
      <c r="K835" s="52"/>
    </row>
    <row r="836">
      <c r="A836" s="17"/>
      <c r="B836" s="17"/>
      <c r="C836" s="51"/>
      <c r="D836" s="51"/>
      <c r="E836" s="51"/>
      <c r="F836" s="52"/>
      <c r="G836" s="52"/>
      <c r="H836" s="52"/>
      <c r="I836" s="52"/>
      <c r="J836" s="53"/>
      <c r="K836" s="52"/>
    </row>
    <row r="837">
      <c r="A837" s="17"/>
      <c r="B837" s="17"/>
      <c r="C837" s="51"/>
      <c r="D837" s="51"/>
      <c r="E837" s="51"/>
      <c r="F837" s="52"/>
      <c r="G837" s="52"/>
      <c r="H837" s="52"/>
      <c r="I837" s="52"/>
      <c r="J837" s="53"/>
      <c r="K837" s="52"/>
    </row>
    <row r="838">
      <c r="A838" s="17"/>
      <c r="B838" s="17"/>
      <c r="C838" s="51"/>
      <c r="D838" s="51"/>
      <c r="E838" s="51"/>
      <c r="F838" s="52"/>
      <c r="G838" s="52"/>
      <c r="H838" s="52"/>
      <c r="I838" s="52"/>
      <c r="J838" s="53"/>
      <c r="K838" s="52"/>
    </row>
    <row r="839">
      <c r="A839" s="17"/>
      <c r="B839" s="17"/>
      <c r="C839" s="51"/>
      <c r="D839" s="51"/>
      <c r="E839" s="51"/>
      <c r="F839" s="52"/>
      <c r="G839" s="52"/>
      <c r="H839" s="52"/>
      <c r="I839" s="52"/>
      <c r="J839" s="53"/>
      <c r="K839" s="52"/>
    </row>
    <row r="840">
      <c r="A840" s="17"/>
      <c r="B840" s="17"/>
      <c r="C840" s="51"/>
      <c r="D840" s="51"/>
      <c r="E840" s="51"/>
      <c r="F840" s="52"/>
      <c r="G840" s="52"/>
      <c r="H840" s="52"/>
      <c r="I840" s="52"/>
      <c r="J840" s="53"/>
      <c r="K840" s="52"/>
    </row>
    <row r="841">
      <c r="A841" s="17"/>
      <c r="B841" s="17"/>
      <c r="C841" s="51"/>
      <c r="D841" s="51"/>
      <c r="E841" s="51"/>
      <c r="F841" s="52"/>
      <c r="G841" s="52"/>
      <c r="H841" s="52"/>
      <c r="I841" s="52"/>
      <c r="J841" s="53"/>
      <c r="K841" s="52"/>
    </row>
    <row r="842">
      <c r="A842" s="17"/>
      <c r="B842" s="17"/>
      <c r="C842" s="51"/>
      <c r="D842" s="51"/>
      <c r="E842" s="51"/>
      <c r="F842" s="52"/>
      <c r="G842" s="52"/>
      <c r="H842" s="52"/>
      <c r="I842" s="52"/>
      <c r="J842" s="53"/>
      <c r="K842" s="52"/>
    </row>
    <row r="843">
      <c r="A843" s="17"/>
      <c r="B843" s="17"/>
      <c r="C843" s="51"/>
      <c r="D843" s="51"/>
      <c r="E843" s="51"/>
      <c r="F843" s="52"/>
      <c r="G843" s="52"/>
      <c r="H843" s="52"/>
      <c r="I843" s="52"/>
      <c r="J843" s="53"/>
      <c r="K843" s="52"/>
    </row>
    <row r="844">
      <c r="A844" s="17"/>
      <c r="B844" s="17"/>
      <c r="C844" s="51"/>
      <c r="D844" s="51"/>
      <c r="E844" s="51"/>
      <c r="F844" s="52"/>
      <c r="G844" s="52"/>
      <c r="H844" s="52"/>
      <c r="I844" s="52"/>
      <c r="J844" s="53"/>
      <c r="K844" s="52"/>
    </row>
    <row r="845">
      <c r="A845" s="17"/>
      <c r="B845" s="17"/>
      <c r="C845" s="51"/>
      <c r="D845" s="51"/>
      <c r="E845" s="51"/>
      <c r="F845" s="52"/>
      <c r="G845" s="52"/>
      <c r="H845" s="52"/>
      <c r="I845" s="52"/>
      <c r="J845" s="53"/>
      <c r="K845" s="52"/>
    </row>
    <row r="846">
      <c r="A846" s="17"/>
      <c r="B846" s="17"/>
      <c r="C846" s="51"/>
      <c r="D846" s="51"/>
      <c r="E846" s="51"/>
      <c r="F846" s="52"/>
      <c r="G846" s="52"/>
      <c r="H846" s="52"/>
      <c r="I846" s="52"/>
      <c r="J846" s="53"/>
      <c r="K846" s="52"/>
    </row>
    <row r="847">
      <c r="A847" s="17"/>
      <c r="B847" s="17"/>
      <c r="C847" s="51"/>
      <c r="D847" s="51"/>
      <c r="E847" s="51"/>
      <c r="F847" s="52"/>
      <c r="G847" s="52"/>
      <c r="H847" s="52"/>
      <c r="I847" s="52"/>
      <c r="J847" s="53"/>
      <c r="K847" s="52"/>
    </row>
    <row r="848">
      <c r="A848" s="17"/>
      <c r="B848" s="17"/>
      <c r="C848" s="51"/>
      <c r="D848" s="51"/>
      <c r="E848" s="51"/>
      <c r="F848" s="52"/>
      <c r="G848" s="52"/>
      <c r="H848" s="52"/>
      <c r="I848" s="52"/>
      <c r="J848" s="53"/>
      <c r="K848" s="52"/>
    </row>
    <row r="849">
      <c r="A849" s="17"/>
      <c r="B849" s="17"/>
      <c r="C849" s="51"/>
      <c r="D849" s="51"/>
      <c r="E849" s="51"/>
      <c r="F849" s="52"/>
      <c r="G849" s="52"/>
      <c r="H849" s="52"/>
      <c r="I849" s="52"/>
      <c r="J849" s="53"/>
      <c r="K849" s="52"/>
    </row>
    <row r="850">
      <c r="A850" s="17"/>
      <c r="B850" s="17"/>
      <c r="C850" s="51"/>
      <c r="D850" s="51"/>
      <c r="E850" s="51"/>
      <c r="F850" s="52"/>
      <c r="G850" s="52"/>
      <c r="H850" s="52"/>
      <c r="I850" s="52"/>
      <c r="J850" s="53"/>
      <c r="K850" s="52"/>
    </row>
    <row r="851">
      <c r="A851" s="17"/>
      <c r="B851" s="17"/>
      <c r="C851" s="51"/>
      <c r="D851" s="51"/>
      <c r="E851" s="51"/>
      <c r="F851" s="52"/>
      <c r="G851" s="52"/>
      <c r="H851" s="52"/>
      <c r="I851" s="52"/>
      <c r="J851" s="53"/>
      <c r="K851" s="52"/>
    </row>
    <row r="852">
      <c r="A852" s="17"/>
      <c r="B852" s="17"/>
      <c r="C852" s="51"/>
      <c r="D852" s="51"/>
      <c r="E852" s="51"/>
      <c r="F852" s="52"/>
      <c r="G852" s="52"/>
      <c r="H852" s="52"/>
      <c r="I852" s="52"/>
      <c r="J852" s="53"/>
      <c r="K852" s="52"/>
    </row>
    <row r="853">
      <c r="A853" s="17"/>
      <c r="B853" s="17"/>
      <c r="C853" s="51"/>
      <c r="D853" s="51"/>
      <c r="E853" s="51"/>
      <c r="F853" s="52"/>
      <c r="G853" s="52"/>
      <c r="H853" s="52"/>
      <c r="I853" s="52"/>
      <c r="J853" s="53"/>
      <c r="K853" s="52"/>
    </row>
    <row r="854">
      <c r="A854" s="17"/>
      <c r="B854" s="17"/>
      <c r="C854" s="51"/>
      <c r="D854" s="51"/>
      <c r="E854" s="51"/>
      <c r="F854" s="52"/>
      <c r="G854" s="52"/>
      <c r="H854" s="52"/>
      <c r="I854" s="52"/>
      <c r="J854" s="53"/>
      <c r="K854" s="52"/>
    </row>
    <row r="855">
      <c r="A855" s="17"/>
      <c r="B855" s="17"/>
      <c r="C855" s="51"/>
      <c r="D855" s="51"/>
      <c r="E855" s="51"/>
      <c r="F855" s="52"/>
      <c r="G855" s="52"/>
      <c r="H855" s="52"/>
      <c r="I855" s="52"/>
      <c r="J855" s="53"/>
      <c r="K855" s="52"/>
    </row>
    <row r="856">
      <c r="A856" s="17"/>
      <c r="B856" s="17"/>
      <c r="C856" s="51"/>
      <c r="D856" s="51"/>
      <c r="E856" s="51"/>
      <c r="F856" s="52"/>
      <c r="G856" s="52"/>
      <c r="H856" s="52"/>
      <c r="I856" s="52"/>
      <c r="J856" s="53"/>
      <c r="K856" s="52"/>
    </row>
    <row r="857">
      <c r="A857" s="17"/>
      <c r="B857" s="17"/>
      <c r="C857" s="51"/>
      <c r="D857" s="51"/>
      <c r="E857" s="51"/>
      <c r="F857" s="52"/>
      <c r="G857" s="52"/>
      <c r="H857" s="52"/>
      <c r="I857" s="52"/>
      <c r="J857" s="53"/>
      <c r="K857" s="52"/>
    </row>
    <row r="858">
      <c r="A858" s="17"/>
      <c r="B858" s="17"/>
      <c r="C858" s="51"/>
      <c r="D858" s="51"/>
      <c r="E858" s="51"/>
      <c r="F858" s="52"/>
      <c r="G858" s="52"/>
      <c r="H858" s="52"/>
      <c r="I858" s="52"/>
      <c r="J858" s="53"/>
      <c r="K858" s="52"/>
    </row>
    <row r="859">
      <c r="A859" s="17"/>
      <c r="B859" s="17"/>
      <c r="C859" s="51"/>
      <c r="D859" s="51"/>
      <c r="E859" s="51"/>
      <c r="F859" s="52"/>
      <c r="G859" s="52"/>
      <c r="H859" s="52"/>
      <c r="I859" s="52"/>
      <c r="J859" s="53"/>
      <c r="K859" s="52"/>
    </row>
    <row r="860">
      <c r="A860" s="17"/>
      <c r="B860" s="17"/>
      <c r="C860" s="51"/>
      <c r="D860" s="51"/>
      <c r="E860" s="51"/>
      <c r="F860" s="52"/>
      <c r="G860" s="52"/>
      <c r="H860" s="52"/>
      <c r="I860" s="52"/>
      <c r="J860" s="53"/>
      <c r="K860" s="52"/>
    </row>
    <row r="861">
      <c r="A861" s="17"/>
      <c r="B861" s="17"/>
      <c r="C861" s="51"/>
      <c r="D861" s="51"/>
      <c r="E861" s="51"/>
      <c r="F861" s="52"/>
      <c r="G861" s="52"/>
      <c r="H861" s="52"/>
      <c r="I861" s="52"/>
      <c r="J861" s="53"/>
      <c r="K861" s="52"/>
    </row>
    <row r="862">
      <c r="A862" s="17"/>
      <c r="B862" s="17"/>
      <c r="C862" s="51"/>
      <c r="D862" s="51"/>
      <c r="E862" s="51"/>
      <c r="F862" s="52"/>
      <c r="G862" s="52"/>
      <c r="H862" s="52"/>
      <c r="I862" s="52"/>
      <c r="J862" s="53"/>
      <c r="K862" s="52"/>
    </row>
    <row r="863">
      <c r="A863" s="17"/>
      <c r="B863" s="17"/>
      <c r="C863" s="51"/>
      <c r="D863" s="51"/>
      <c r="E863" s="51"/>
      <c r="F863" s="52"/>
      <c r="G863" s="52"/>
      <c r="H863" s="52"/>
      <c r="I863" s="52"/>
      <c r="J863" s="53"/>
      <c r="K863" s="52"/>
    </row>
    <row r="864">
      <c r="A864" s="17"/>
      <c r="B864" s="17"/>
      <c r="C864" s="51"/>
      <c r="D864" s="51"/>
      <c r="E864" s="51"/>
      <c r="F864" s="52"/>
      <c r="G864" s="52"/>
      <c r="H864" s="52"/>
      <c r="I864" s="52"/>
      <c r="J864" s="53"/>
      <c r="K864" s="52"/>
    </row>
    <row r="865">
      <c r="A865" s="17"/>
      <c r="B865" s="17"/>
      <c r="C865" s="51"/>
      <c r="D865" s="51"/>
      <c r="E865" s="51"/>
      <c r="F865" s="52"/>
      <c r="G865" s="52"/>
      <c r="H865" s="52"/>
      <c r="I865" s="52"/>
      <c r="J865" s="53"/>
      <c r="K865" s="52"/>
    </row>
    <row r="866">
      <c r="A866" s="17"/>
      <c r="B866" s="17"/>
      <c r="C866" s="51"/>
      <c r="D866" s="51"/>
      <c r="E866" s="51"/>
      <c r="F866" s="52"/>
      <c r="G866" s="52"/>
      <c r="H866" s="52"/>
      <c r="I866" s="52"/>
      <c r="J866" s="53"/>
      <c r="K866" s="52"/>
    </row>
    <row r="867">
      <c r="A867" s="17"/>
      <c r="B867" s="17"/>
      <c r="C867" s="51"/>
      <c r="D867" s="51"/>
      <c r="E867" s="51"/>
      <c r="F867" s="52"/>
      <c r="G867" s="52"/>
      <c r="H867" s="52"/>
      <c r="I867" s="52"/>
      <c r="J867" s="53"/>
      <c r="K867" s="52"/>
    </row>
    <row r="868">
      <c r="A868" s="17"/>
      <c r="B868" s="17"/>
      <c r="C868" s="51"/>
      <c r="D868" s="51"/>
      <c r="E868" s="51"/>
      <c r="F868" s="52"/>
      <c r="G868" s="52"/>
      <c r="H868" s="52"/>
      <c r="I868" s="52"/>
      <c r="J868" s="53"/>
      <c r="K868" s="52"/>
    </row>
    <row r="869">
      <c r="A869" s="17"/>
      <c r="B869" s="17"/>
      <c r="C869" s="51"/>
      <c r="D869" s="51"/>
      <c r="E869" s="51"/>
      <c r="F869" s="52"/>
      <c r="G869" s="52"/>
      <c r="H869" s="52"/>
      <c r="I869" s="52"/>
      <c r="J869" s="53"/>
      <c r="K869" s="52"/>
    </row>
    <row r="870">
      <c r="A870" s="17"/>
      <c r="B870" s="17"/>
      <c r="C870" s="51"/>
      <c r="D870" s="51"/>
      <c r="E870" s="51"/>
      <c r="F870" s="52"/>
      <c r="G870" s="52"/>
      <c r="H870" s="52"/>
      <c r="I870" s="52"/>
      <c r="J870" s="53"/>
      <c r="K870" s="52"/>
    </row>
    <row r="871">
      <c r="A871" s="17"/>
      <c r="B871" s="17"/>
      <c r="C871" s="51"/>
      <c r="D871" s="51"/>
      <c r="E871" s="51"/>
      <c r="F871" s="52"/>
      <c r="G871" s="52"/>
      <c r="H871" s="52"/>
      <c r="I871" s="52"/>
      <c r="J871" s="53"/>
      <c r="K871" s="52"/>
    </row>
    <row r="872">
      <c r="A872" s="17"/>
      <c r="B872" s="17"/>
      <c r="C872" s="51"/>
      <c r="D872" s="51"/>
      <c r="E872" s="51"/>
      <c r="F872" s="52"/>
      <c r="G872" s="52"/>
      <c r="H872" s="52"/>
      <c r="I872" s="52"/>
      <c r="J872" s="53"/>
      <c r="K872" s="52"/>
    </row>
    <row r="873">
      <c r="A873" s="17"/>
      <c r="B873" s="17"/>
      <c r="C873" s="51"/>
      <c r="D873" s="51"/>
      <c r="E873" s="51"/>
      <c r="F873" s="52"/>
      <c r="G873" s="52"/>
      <c r="H873" s="52"/>
      <c r="I873" s="52"/>
      <c r="J873" s="53"/>
      <c r="K873" s="52"/>
    </row>
    <row r="874">
      <c r="A874" s="17"/>
      <c r="B874" s="17"/>
      <c r="C874" s="51"/>
      <c r="D874" s="51"/>
      <c r="E874" s="51"/>
      <c r="F874" s="52"/>
      <c r="G874" s="52"/>
      <c r="H874" s="52"/>
      <c r="I874" s="52"/>
      <c r="J874" s="53"/>
      <c r="K874" s="52"/>
    </row>
    <row r="875">
      <c r="A875" s="17"/>
      <c r="B875" s="17"/>
      <c r="C875" s="51"/>
      <c r="D875" s="51"/>
      <c r="E875" s="51"/>
      <c r="F875" s="52"/>
      <c r="G875" s="52"/>
      <c r="H875" s="52"/>
      <c r="I875" s="52"/>
      <c r="J875" s="53"/>
      <c r="K875" s="52"/>
    </row>
    <row r="876">
      <c r="A876" s="17"/>
      <c r="B876" s="17"/>
      <c r="C876" s="51"/>
      <c r="D876" s="51"/>
      <c r="E876" s="51"/>
      <c r="F876" s="52"/>
      <c r="G876" s="52"/>
      <c r="H876" s="52"/>
      <c r="I876" s="52"/>
      <c r="J876" s="53"/>
      <c r="K876" s="52"/>
    </row>
    <row r="877">
      <c r="A877" s="17"/>
      <c r="B877" s="17"/>
      <c r="C877" s="51"/>
      <c r="D877" s="51"/>
      <c r="E877" s="51"/>
      <c r="F877" s="52"/>
      <c r="G877" s="52"/>
      <c r="H877" s="52"/>
      <c r="I877" s="52"/>
      <c r="J877" s="53"/>
      <c r="K877" s="52"/>
    </row>
    <row r="878">
      <c r="A878" s="17"/>
      <c r="B878" s="17"/>
      <c r="C878" s="51"/>
      <c r="D878" s="51"/>
      <c r="E878" s="51"/>
      <c r="F878" s="52"/>
      <c r="G878" s="52"/>
      <c r="H878" s="52"/>
      <c r="I878" s="52"/>
      <c r="J878" s="53"/>
      <c r="K878" s="52"/>
    </row>
    <row r="879">
      <c r="A879" s="17"/>
      <c r="B879" s="17"/>
      <c r="C879" s="51"/>
      <c r="D879" s="51"/>
      <c r="E879" s="51"/>
      <c r="F879" s="52"/>
      <c r="G879" s="52"/>
      <c r="H879" s="52"/>
      <c r="I879" s="52"/>
      <c r="J879" s="53"/>
      <c r="K879" s="52"/>
    </row>
    <row r="880">
      <c r="A880" s="17"/>
      <c r="B880" s="17"/>
      <c r="C880" s="51"/>
      <c r="D880" s="51"/>
      <c r="E880" s="51"/>
      <c r="F880" s="52"/>
      <c r="G880" s="52"/>
      <c r="H880" s="52"/>
      <c r="I880" s="52"/>
      <c r="J880" s="53"/>
      <c r="K880" s="52"/>
    </row>
    <row r="881">
      <c r="A881" s="17"/>
      <c r="B881" s="17"/>
      <c r="C881" s="51"/>
      <c r="D881" s="51"/>
      <c r="E881" s="51"/>
      <c r="F881" s="52"/>
      <c r="G881" s="52"/>
      <c r="H881" s="52"/>
      <c r="I881" s="52"/>
      <c r="J881" s="53"/>
      <c r="K881" s="52"/>
    </row>
    <row r="882">
      <c r="A882" s="17"/>
      <c r="B882" s="17"/>
      <c r="C882" s="51"/>
      <c r="D882" s="51"/>
      <c r="E882" s="51"/>
      <c r="F882" s="52"/>
      <c r="G882" s="52"/>
      <c r="H882" s="52"/>
      <c r="I882" s="52"/>
      <c r="J882" s="53"/>
      <c r="K882" s="52"/>
    </row>
    <row r="883">
      <c r="A883" s="17"/>
      <c r="B883" s="17"/>
      <c r="C883" s="51"/>
      <c r="D883" s="51"/>
      <c r="E883" s="51"/>
      <c r="F883" s="52"/>
      <c r="G883" s="52"/>
      <c r="H883" s="52"/>
      <c r="I883" s="52"/>
      <c r="J883" s="53"/>
      <c r="K883" s="52"/>
    </row>
    <row r="884">
      <c r="A884" s="17"/>
      <c r="B884" s="17"/>
      <c r="C884" s="51"/>
      <c r="D884" s="51"/>
      <c r="E884" s="51"/>
      <c r="F884" s="52"/>
      <c r="G884" s="52"/>
      <c r="H884" s="52"/>
      <c r="I884" s="52"/>
      <c r="J884" s="53"/>
      <c r="K884" s="52"/>
    </row>
    <row r="885">
      <c r="A885" s="17"/>
      <c r="B885" s="17"/>
      <c r="C885" s="51"/>
      <c r="D885" s="51"/>
      <c r="E885" s="51"/>
      <c r="F885" s="52"/>
      <c r="G885" s="52"/>
      <c r="H885" s="52"/>
      <c r="I885" s="52"/>
      <c r="J885" s="53"/>
      <c r="K885" s="52"/>
    </row>
    <row r="886">
      <c r="A886" s="17"/>
      <c r="B886" s="17"/>
      <c r="C886" s="51"/>
      <c r="D886" s="51"/>
      <c r="E886" s="51"/>
      <c r="F886" s="52"/>
      <c r="G886" s="52"/>
      <c r="H886" s="52"/>
      <c r="I886" s="52"/>
      <c r="J886" s="53"/>
      <c r="K886" s="52"/>
    </row>
    <row r="887">
      <c r="A887" s="17"/>
      <c r="B887" s="17"/>
      <c r="C887" s="51"/>
      <c r="D887" s="51"/>
      <c r="E887" s="51"/>
      <c r="F887" s="52"/>
      <c r="G887" s="52"/>
      <c r="H887" s="52"/>
      <c r="I887" s="52"/>
      <c r="J887" s="53"/>
      <c r="K887" s="52"/>
    </row>
    <row r="888">
      <c r="A888" s="17"/>
      <c r="B888" s="17"/>
      <c r="C888" s="51"/>
      <c r="D888" s="51"/>
      <c r="E888" s="51"/>
      <c r="F888" s="52"/>
      <c r="G888" s="52"/>
      <c r="H888" s="52"/>
      <c r="I888" s="52"/>
      <c r="J888" s="53"/>
      <c r="K888" s="52"/>
    </row>
    <row r="889">
      <c r="A889" s="17"/>
      <c r="B889" s="17"/>
      <c r="C889" s="51"/>
      <c r="D889" s="51"/>
      <c r="E889" s="51"/>
      <c r="F889" s="52"/>
      <c r="G889" s="52"/>
      <c r="H889" s="52"/>
      <c r="I889" s="52"/>
      <c r="J889" s="53"/>
      <c r="K889" s="52"/>
    </row>
    <row r="890">
      <c r="A890" s="17"/>
      <c r="B890" s="17"/>
      <c r="C890" s="51"/>
      <c r="D890" s="51"/>
      <c r="E890" s="51"/>
      <c r="F890" s="52"/>
      <c r="G890" s="52"/>
      <c r="H890" s="52"/>
      <c r="I890" s="52"/>
      <c r="J890" s="53"/>
      <c r="K890" s="52"/>
    </row>
    <row r="891">
      <c r="A891" s="17"/>
      <c r="B891" s="17"/>
      <c r="C891" s="51"/>
      <c r="D891" s="51"/>
      <c r="E891" s="51"/>
      <c r="F891" s="52"/>
      <c r="G891" s="52"/>
      <c r="H891" s="52"/>
      <c r="I891" s="52"/>
      <c r="J891" s="53"/>
      <c r="K891" s="52"/>
    </row>
    <row r="892">
      <c r="A892" s="17"/>
      <c r="B892" s="17"/>
      <c r="C892" s="51"/>
      <c r="D892" s="51"/>
      <c r="E892" s="51"/>
      <c r="F892" s="52"/>
      <c r="G892" s="52"/>
      <c r="H892" s="52"/>
      <c r="I892" s="52"/>
      <c r="J892" s="53"/>
      <c r="K892" s="52"/>
    </row>
    <row r="893">
      <c r="A893" s="17"/>
      <c r="B893" s="17"/>
      <c r="C893" s="51"/>
      <c r="D893" s="51"/>
      <c r="E893" s="51"/>
      <c r="F893" s="52"/>
      <c r="G893" s="52"/>
      <c r="H893" s="52"/>
      <c r="I893" s="52"/>
      <c r="J893" s="53"/>
      <c r="K893" s="52"/>
    </row>
    <row r="894">
      <c r="A894" s="17"/>
      <c r="B894" s="17"/>
      <c r="C894" s="51"/>
      <c r="D894" s="51"/>
      <c r="E894" s="51"/>
      <c r="F894" s="52"/>
      <c r="G894" s="52"/>
      <c r="H894" s="52"/>
      <c r="I894" s="52"/>
      <c r="J894" s="53"/>
      <c r="K894" s="52"/>
    </row>
    <row r="895">
      <c r="A895" s="17"/>
      <c r="B895" s="17"/>
      <c r="C895" s="51"/>
      <c r="D895" s="51"/>
      <c r="E895" s="51"/>
      <c r="F895" s="52"/>
      <c r="G895" s="52"/>
      <c r="H895" s="52"/>
      <c r="I895" s="52"/>
      <c r="J895" s="53"/>
      <c r="K895" s="52"/>
    </row>
    <row r="896">
      <c r="A896" s="17"/>
      <c r="B896" s="17"/>
      <c r="C896" s="51"/>
      <c r="D896" s="51"/>
      <c r="E896" s="51"/>
      <c r="F896" s="52"/>
      <c r="G896" s="52"/>
      <c r="H896" s="52"/>
      <c r="I896" s="52"/>
      <c r="J896" s="53"/>
      <c r="K896" s="52"/>
    </row>
    <row r="897">
      <c r="A897" s="17"/>
      <c r="B897" s="17"/>
      <c r="C897" s="51"/>
      <c r="D897" s="51"/>
      <c r="E897" s="51"/>
      <c r="F897" s="52"/>
      <c r="G897" s="52"/>
      <c r="H897" s="52"/>
      <c r="I897" s="52"/>
      <c r="J897" s="53"/>
      <c r="K897" s="52"/>
    </row>
    <row r="898">
      <c r="A898" s="17"/>
      <c r="B898" s="17"/>
      <c r="C898" s="51"/>
      <c r="D898" s="51"/>
      <c r="E898" s="51"/>
      <c r="F898" s="52"/>
      <c r="G898" s="52"/>
      <c r="H898" s="52"/>
      <c r="I898" s="52"/>
      <c r="J898" s="53"/>
      <c r="K898" s="52"/>
    </row>
    <row r="899">
      <c r="A899" s="17"/>
      <c r="B899" s="17"/>
      <c r="C899" s="51"/>
      <c r="D899" s="51"/>
      <c r="E899" s="51"/>
      <c r="F899" s="52"/>
      <c r="G899" s="52"/>
      <c r="H899" s="52"/>
      <c r="I899" s="52"/>
      <c r="J899" s="53"/>
      <c r="K899" s="52"/>
    </row>
    <row r="900">
      <c r="A900" s="17"/>
      <c r="B900" s="17"/>
      <c r="C900" s="51"/>
      <c r="D900" s="51"/>
      <c r="E900" s="51"/>
      <c r="F900" s="52"/>
      <c r="G900" s="52"/>
      <c r="H900" s="52"/>
      <c r="I900" s="52"/>
      <c r="J900" s="53"/>
      <c r="K900" s="52"/>
    </row>
    <row r="901">
      <c r="A901" s="17"/>
      <c r="B901" s="17"/>
      <c r="C901" s="51"/>
      <c r="D901" s="51"/>
      <c r="E901" s="51"/>
      <c r="F901" s="52"/>
      <c r="G901" s="52"/>
      <c r="H901" s="52"/>
      <c r="I901" s="52"/>
      <c r="J901" s="53"/>
      <c r="K901" s="52"/>
    </row>
    <row r="902">
      <c r="A902" s="17"/>
      <c r="B902" s="17"/>
      <c r="C902" s="51"/>
      <c r="D902" s="51"/>
      <c r="E902" s="51"/>
      <c r="F902" s="52"/>
      <c r="G902" s="52"/>
      <c r="H902" s="52"/>
      <c r="I902" s="52"/>
      <c r="J902" s="53"/>
      <c r="K902" s="52"/>
    </row>
    <row r="903">
      <c r="A903" s="17"/>
      <c r="B903" s="17"/>
      <c r="C903" s="51"/>
      <c r="D903" s="51"/>
      <c r="E903" s="51"/>
      <c r="F903" s="52"/>
      <c r="G903" s="52"/>
      <c r="H903" s="52"/>
      <c r="I903" s="52"/>
      <c r="J903" s="53"/>
      <c r="K903" s="52"/>
    </row>
    <row r="904">
      <c r="A904" s="17"/>
      <c r="B904" s="17"/>
      <c r="C904" s="51"/>
      <c r="D904" s="51"/>
      <c r="E904" s="51"/>
      <c r="F904" s="52"/>
      <c r="G904" s="52"/>
      <c r="H904" s="52"/>
      <c r="I904" s="52"/>
      <c r="J904" s="53"/>
      <c r="K904" s="52"/>
    </row>
    <row r="905">
      <c r="A905" s="17"/>
      <c r="B905" s="17"/>
      <c r="C905" s="51"/>
      <c r="D905" s="51"/>
      <c r="E905" s="51"/>
      <c r="F905" s="52"/>
      <c r="G905" s="52"/>
      <c r="H905" s="52"/>
      <c r="I905" s="52"/>
      <c r="J905" s="53"/>
      <c r="K905" s="52"/>
    </row>
    <row r="906">
      <c r="A906" s="17"/>
      <c r="B906" s="17"/>
      <c r="C906" s="51"/>
      <c r="D906" s="51"/>
      <c r="E906" s="51"/>
      <c r="F906" s="52"/>
      <c r="G906" s="52"/>
      <c r="H906" s="52"/>
      <c r="I906" s="52"/>
      <c r="J906" s="53"/>
      <c r="K906" s="52"/>
    </row>
    <row r="907">
      <c r="A907" s="17"/>
      <c r="B907" s="17"/>
      <c r="C907" s="51"/>
      <c r="D907" s="51"/>
      <c r="E907" s="51"/>
      <c r="F907" s="52"/>
      <c r="G907" s="52"/>
      <c r="H907" s="52"/>
      <c r="I907" s="52"/>
      <c r="J907" s="53"/>
      <c r="K907" s="52"/>
    </row>
    <row r="908">
      <c r="A908" s="17"/>
      <c r="B908" s="17"/>
      <c r="C908" s="51"/>
      <c r="D908" s="51"/>
      <c r="E908" s="51"/>
      <c r="F908" s="52"/>
      <c r="G908" s="52"/>
      <c r="H908" s="52"/>
      <c r="I908" s="52"/>
      <c r="J908" s="53"/>
      <c r="K908" s="52"/>
    </row>
    <row r="909">
      <c r="A909" s="17"/>
      <c r="B909" s="17"/>
      <c r="C909" s="51"/>
      <c r="D909" s="51"/>
      <c r="E909" s="51"/>
      <c r="F909" s="52"/>
      <c r="G909" s="52"/>
      <c r="H909" s="52"/>
      <c r="I909" s="52"/>
      <c r="J909" s="53"/>
      <c r="K909" s="52"/>
    </row>
    <row r="910">
      <c r="A910" s="17"/>
      <c r="B910" s="17"/>
      <c r="C910" s="51"/>
      <c r="D910" s="51"/>
      <c r="E910" s="51"/>
      <c r="F910" s="52"/>
      <c r="G910" s="52"/>
      <c r="H910" s="52"/>
      <c r="I910" s="52"/>
      <c r="J910" s="53"/>
      <c r="K910" s="52"/>
    </row>
    <row r="911">
      <c r="A911" s="17"/>
      <c r="B911" s="17"/>
      <c r="C911" s="51"/>
      <c r="D911" s="51"/>
      <c r="E911" s="51"/>
      <c r="F911" s="52"/>
      <c r="G911" s="52"/>
      <c r="H911" s="52"/>
      <c r="I911" s="52"/>
      <c r="J911" s="53"/>
      <c r="K911" s="52"/>
    </row>
    <row r="912">
      <c r="A912" s="17"/>
      <c r="B912" s="17"/>
      <c r="C912" s="51"/>
      <c r="D912" s="51"/>
      <c r="E912" s="51"/>
      <c r="F912" s="52"/>
      <c r="G912" s="52"/>
      <c r="H912" s="52"/>
      <c r="I912" s="52"/>
      <c r="J912" s="53"/>
      <c r="K912" s="52"/>
    </row>
    <row r="913">
      <c r="A913" s="17"/>
      <c r="B913" s="17"/>
      <c r="C913" s="51"/>
      <c r="D913" s="51"/>
      <c r="E913" s="51"/>
      <c r="F913" s="52"/>
      <c r="G913" s="52"/>
      <c r="H913" s="52"/>
      <c r="I913" s="52"/>
      <c r="J913" s="53"/>
      <c r="K913" s="52"/>
    </row>
    <row r="914">
      <c r="A914" s="17"/>
      <c r="B914" s="17"/>
      <c r="C914" s="51"/>
      <c r="D914" s="51"/>
      <c r="E914" s="51"/>
      <c r="F914" s="52"/>
      <c r="G914" s="52"/>
      <c r="H914" s="52"/>
      <c r="I914" s="52"/>
      <c r="J914" s="53"/>
      <c r="K914" s="52"/>
    </row>
    <row r="915">
      <c r="A915" s="17"/>
      <c r="B915" s="17"/>
      <c r="C915" s="51"/>
      <c r="D915" s="51"/>
      <c r="E915" s="51"/>
      <c r="F915" s="52"/>
      <c r="G915" s="52"/>
      <c r="H915" s="52"/>
      <c r="I915" s="52"/>
      <c r="J915" s="53"/>
      <c r="K915" s="52"/>
    </row>
    <row r="916">
      <c r="A916" s="17"/>
      <c r="B916" s="17"/>
      <c r="C916" s="51"/>
      <c r="D916" s="51"/>
      <c r="E916" s="51"/>
      <c r="F916" s="52"/>
      <c r="G916" s="52"/>
      <c r="H916" s="52"/>
      <c r="I916" s="52"/>
      <c r="J916" s="53"/>
      <c r="K916" s="52"/>
    </row>
    <row r="917">
      <c r="A917" s="17"/>
      <c r="B917" s="17"/>
      <c r="C917" s="51"/>
      <c r="D917" s="51"/>
      <c r="E917" s="51"/>
      <c r="F917" s="52"/>
      <c r="G917" s="52"/>
      <c r="H917" s="52"/>
      <c r="I917" s="52"/>
      <c r="J917" s="53"/>
      <c r="K917" s="52"/>
    </row>
    <row r="918">
      <c r="A918" s="17"/>
      <c r="B918" s="17"/>
      <c r="C918" s="51"/>
      <c r="D918" s="51"/>
      <c r="E918" s="51"/>
      <c r="F918" s="52"/>
      <c r="G918" s="52"/>
      <c r="H918" s="52"/>
      <c r="I918" s="52"/>
      <c r="J918" s="53"/>
      <c r="K918" s="52"/>
    </row>
    <row r="919">
      <c r="A919" s="17"/>
      <c r="B919" s="17"/>
      <c r="C919" s="51"/>
      <c r="D919" s="51"/>
      <c r="E919" s="51"/>
      <c r="F919" s="52"/>
      <c r="G919" s="52"/>
      <c r="H919" s="52"/>
      <c r="I919" s="52"/>
      <c r="J919" s="53"/>
      <c r="K919" s="52"/>
    </row>
    <row r="920">
      <c r="A920" s="17"/>
      <c r="B920" s="17"/>
      <c r="C920" s="51"/>
      <c r="D920" s="51"/>
      <c r="E920" s="51"/>
      <c r="F920" s="52"/>
      <c r="G920" s="52"/>
      <c r="H920" s="52"/>
      <c r="I920" s="52"/>
      <c r="J920" s="53"/>
      <c r="K920" s="52"/>
    </row>
    <row r="921">
      <c r="A921" s="17"/>
      <c r="B921" s="17"/>
      <c r="C921" s="51"/>
      <c r="D921" s="51"/>
      <c r="E921" s="51"/>
      <c r="F921" s="52"/>
      <c r="G921" s="52"/>
      <c r="H921" s="52"/>
      <c r="I921" s="52"/>
      <c r="J921" s="53"/>
      <c r="K921" s="52"/>
    </row>
    <row r="922">
      <c r="A922" s="17"/>
      <c r="B922" s="17"/>
      <c r="C922" s="51"/>
      <c r="D922" s="51"/>
      <c r="E922" s="51"/>
      <c r="F922" s="52"/>
      <c r="G922" s="52"/>
      <c r="H922" s="52"/>
      <c r="I922" s="52"/>
      <c r="J922" s="53"/>
      <c r="K922" s="52"/>
    </row>
    <row r="923">
      <c r="A923" s="17"/>
      <c r="B923" s="17"/>
      <c r="C923" s="51"/>
      <c r="D923" s="51"/>
      <c r="E923" s="51"/>
      <c r="F923" s="52"/>
      <c r="G923" s="52"/>
      <c r="H923" s="52"/>
      <c r="I923" s="52"/>
      <c r="J923" s="53"/>
      <c r="K923" s="52"/>
    </row>
    <row r="924">
      <c r="A924" s="17"/>
      <c r="B924" s="17"/>
      <c r="C924" s="51"/>
      <c r="D924" s="51"/>
      <c r="E924" s="51"/>
      <c r="F924" s="52"/>
      <c r="G924" s="52"/>
      <c r="H924" s="52"/>
      <c r="I924" s="52"/>
      <c r="J924" s="53"/>
      <c r="K924" s="52"/>
    </row>
    <row r="925">
      <c r="A925" s="17"/>
      <c r="B925" s="17"/>
      <c r="C925" s="51"/>
      <c r="D925" s="51"/>
      <c r="E925" s="51"/>
      <c r="F925" s="52"/>
      <c r="G925" s="52"/>
      <c r="H925" s="52"/>
      <c r="I925" s="52"/>
      <c r="J925" s="53"/>
      <c r="K925" s="52"/>
    </row>
    <row r="926">
      <c r="A926" s="17"/>
      <c r="B926" s="17"/>
      <c r="C926" s="51"/>
      <c r="D926" s="51"/>
      <c r="E926" s="51"/>
      <c r="F926" s="52"/>
      <c r="G926" s="52"/>
      <c r="H926" s="52"/>
      <c r="I926" s="52"/>
      <c r="J926" s="53"/>
      <c r="K926" s="52"/>
    </row>
    <row r="927">
      <c r="A927" s="17"/>
      <c r="B927" s="17"/>
      <c r="C927" s="51"/>
      <c r="D927" s="51"/>
      <c r="E927" s="51"/>
      <c r="F927" s="52"/>
      <c r="G927" s="52"/>
      <c r="H927" s="52"/>
      <c r="I927" s="52"/>
      <c r="J927" s="53"/>
      <c r="K927" s="52"/>
    </row>
    <row r="928">
      <c r="A928" s="17"/>
      <c r="B928" s="17"/>
      <c r="C928" s="51"/>
      <c r="D928" s="51"/>
      <c r="E928" s="51"/>
      <c r="F928" s="52"/>
      <c r="G928" s="52"/>
      <c r="H928" s="52"/>
      <c r="I928" s="52"/>
      <c r="J928" s="53"/>
      <c r="K928" s="52"/>
    </row>
    <row r="929">
      <c r="A929" s="17"/>
      <c r="B929" s="17"/>
      <c r="C929" s="51"/>
      <c r="D929" s="51"/>
      <c r="E929" s="51"/>
      <c r="F929" s="52"/>
      <c r="G929" s="52"/>
      <c r="H929" s="52"/>
      <c r="I929" s="52"/>
      <c r="J929" s="53"/>
      <c r="K929" s="52"/>
    </row>
    <row r="930">
      <c r="A930" s="17"/>
      <c r="B930" s="17"/>
      <c r="C930" s="51"/>
      <c r="D930" s="51"/>
      <c r="E930" s="51"/>
      <c r="F930" s="52"/>
      <c r="G930" s="52"/>
      <c r="H930" s="52"/>
      <c r="I930" s="52"/>
      <c r="J930" s="53"/>
      <c r="K930" s="52"/>
    </row>
    <row r="931">
      <c r="A931" s="17"/>
      <c r="B931" s="17"/>
      <c r="C931" s="51"/>
      <c r="D931" s="51"/>
      <c r="E931" s="51"/>
      <c r="F931" s="52"/>
      <c r="G931" s="52"/>
      <c r="H931" s="52"/>
      <c r="I931" s="52"/>
      <c r="J931" s="53"/>
      <c r="K931" s="52"/>
    </row>
    <row r="932">
      <c r="A932" s="17"/>
      <c r="B932" s="17"/>
      <c r="C932" s="51"/>
      <c r="D932" s="51"/>
      <c r="E932" s="51"/>
      <c r="F932" s="52"/>
      <c r="G932" s="52"/>
      <c r="H932" s="52"/>
      <c r="I932" s="52"/>
      <c r="J932" s="53"/>
      <c r="K932" s="52"/>
    </row>
    <row r="933">
      <c r="A933" s="17"/>
      <c r="B933" s="17"/>
      <c r="C933" s="51"/>
      <c r="D933" s="51"/>
      <c r="E933" s="51"/>
      <c r="F933" s="52"/>
      <c r="G933" s="52"/>
      <c r="H933" s="52"/>
      <c r="I933" s="52"/>
      <c r="J933" s="53"/>
      <c r="K933" s="52"/>
    </row>
    <row r="934">
      <c r="A934" s="17"/>
      <c r="B934" s="17"/>
      <c r="C934" s="51"/>
      <c r="D934" s="51"/>
      <c r="E934" s="51"/>
      <c r="F934" s="52"/>
      <c r="G934" s="52"/>
      <c r="H934" s="52"/>
      <c r="I934" s="52"/>
      <c r="J934" s="53"/>
      <c r="K934" s="52"/>
    </row>
    <row r="935">
      <c r="A935" s="17"/>
      <c r="B935" s="17"/>
      <c r="C935" s="51"/>
      <c r="D935" s="51"/>
      <c r="E935" s="51"/>
      <c r="F935" s="52"/>
      <c r="G935" s="52"/>
      <c r="H935" s="52"/>
      <c r="I935" s="52"/>
      <c r="J935" s="53"/>
      <c r="K935" s="52"/>
    </row>
    <row r="936">
      <c r="A936" s="17"/>
      <c r="B936" s="17"/>
      <c r="C936" s="51"/>
      <c r="D936" s="51"/>
      <c r="E936" s="51"/>
      <c r="F936" s="52"/>
      <c r="G936" s="52"/>
      <c r="H936" s="52"/>
      <c r="I936" s="52"/>
      <c r="J936" s="53"/>
      <c r="K936" s="52"/>
    </row>
    <row r="937">
      <c r="A937" s="17"/>
      <c r="B937" s="17"/>
      <c r="C937" s="51"/>
      <c r="D937" s="51"/>
      <c r="E937" s="51"/>
      <c r="F937" s="52"/>
      <c r="G937" s="52"/>
      <c r="H937" s="52"/>
      <c r="I937" s="52"/>
      <c r="J937" s="53"/>
      <c r="K937" s="52"/>
    </row>
    <row r="938">
      <c r="A938" s="17"/>
      <c r="B938" s="17"/>
      <c r="C938" s="51"/>
      <c r="D938" s="51"/>
      <c r="E938" s="51"/>
      <c r="F938" s="52"/>
      <c r="G938" s="52"/>
      <c r="H938" s="52"/>
      <c r="I938" s="52"/>
      <c r="J938" s="53"/>
      <c r="K938" s="52"/>
    </row>
    <row r="939">
      <c r="A939" s="17"/>
      <c r="B939" s="17"/>
      <c r="C939" s="51"/>
      <c r="D939" s="51"/>
      <c r="E939" s="51"/>
      <c r="F939" s="52"/>
      <c r="G939" s="52"/>
      <c r="H939" s="52"/>
      <c r="I939" s="52"/>
      <c r="J939" s="53"/>
      <c r="K939" s="52"/>
    </row>
    <row r="940">
      <c r="A940" s="17"/>
      <c r="B940" s="17"/>
      <c r="C940" s="51"/>
      <c r="D940" s="51"/>
      <c r="E940" s="51"/>
      <c r="F940" s="52"/>
      <c r="G940" s="52"/>
      <c r="H940" s="52"/>
      <c r="I940" s="52"/>
      <c r="J940" s="53"/>
      <c r="K940" s="52"/>
    </row>
    <row r="941">
      <c r="A941" s="17"/>
      <c r="B941" s="17"/>
      <c r="C941" s="51"/>
      <c r="D941" s="51"/>
      <c r="E941" s="51"/>
      <c r="F941" s="52"/>
      <c r="G941" s="52"/>
      <c r="H941" s="52"/>
      <c r="I941" s="52"/>
      <c r="J941" s="53"/>
      <c r="K941" s="52"/>
    </row>
    <row r="942">
      <c r="A942" s="17"/>
      <c r="B942" s="17"/>
      <c r="C942" s="51"/>
      <c r="D942" s="51"/>
      <c r="E942" s="51"/>
      <c r="F942" s="52"/>
      <c r="G942" s="52"/>
      <c r="H942" s="52"/>
      <c r="I942" s="52"/>
      <c r="J942" s="53"/>
      <c r="K942" s="52"/>
    </row>
    <row r="943">
      <c r="A943" s="17"/>
      <c r="B943" s="17"/>
      <c r="C943" s="51"/>
      <c r="D943" s="51"/>
      <c r="E943" s="51"/>
      <c r="F943" s="52"/>
      <c r="G943" s="52"/>
      <c r="H943" s="52"/>
      <c r="I943" s="52"/>
      <c r="J943" s="53"/>
      <c r="K943" s="52"/>
    </row>
    <row r="944">
      <c r="A944" s="17"/>
      <c r="B944" s="17"/>
      <c r="C944" s="51"/>
      <c r="D944" s="51"/>
      <c r="E944" s="51"/>
      <c r="F944" s="52"/>
      <c r="G944" s="52"/>
      <c r="H944" s="52"/>
      <c r="I944" s="52"/>
      <c r="J944" s="53"/>
      <c r="K944" s="52"/>
    </row>
    <row r="945">
      <c r="A945" s="17"/>
      <c r="B945" s="17"/>
      <c r="C945" s="51"/>
      <c r="D945" s="51"/>
      <c r="E945" s="51"/>
      <c r="F945" s="52"/>
      <c r="G945" s="52"/>
      <c r="H945" s="52"/>
      <c r="I945" s="52"/>
      <c r="J945" s="53"/>
      <c r="K945" s="52"/>
    </row>
    <row r="946">
      <c r="A946" s="17"/>
      <c r="B946" s="17"/>
      <c r="C946" s="51"/>
      <c r="D946" s="51"/>
      <c r="E946" s="51"/>
      <c r="F946" s="52"/>
      <c r="G946" s="52"/>
      <c r="H946" s="52"/>
      <c r="I946" s="52"/>
      <c r="J946" s="53"/>
      <c r="K946" s="52"/>
    </row>
    <row r="947">
      <c r="A947" s="17"/>
      <c r="B947" s="17"/>
      <c r="C947" s="51"/>
      <c r="D947" s="51"/>
      <c r="E947" s="51"/>
      <c r="F947" s="52"/>
      <c r="G947" s="52"/>
      <c r="H947" s="52"/>
      <c r="I947" s="52"/>
      <c r="J947" s="53"/>
      <c r="K947" s="52"/>
    </row>
    <row r="948">
      <c r="A948" s="17"/>
      <c r="B948" s="17"/>
      <c r="C948" s="51"/>
      <c r="D948" s="51"/>
      <c r="E948" s="51"/>
      <c r="F948" s="52"/>
      <c r="G948" s="52"/>
      <c r="H948" s="52"/>
      <c r="I948" s="52"/>
      <c r="J948" s="53"/>
      <c r="K948" s="52"/>
    </row>
    <row r="949">
      <c r="A949" s="17"/>
      <c r="B949" s="17"/>
      <c r="C949" s="51"/>
      <c r="D949" s="51"/>
      <c r="E949" s="51"/>
      <c r="F949" s="52"/>
      <c r="G949" s="52"/>
      <c r="H949" s="52"/>
      <c r="I949" s="52"/>
      <c r="J949" s="53"/>
      <c r="K949" s="52"/>
    </row>
    <row r="950">
      <c r="A950" s="17"/>
      <c r="B950" s="17"/>
      <c r="C950" s="51"/>
      <c r="D950" s="51"/>
      <c r="E950" s="51"/>
      <c r="F950" s="52"/>
      <c r="G950" s="52"/>
      <c r="H950" s="52"/>
      <c r="I950" s="52"/>
      <c r="J950" s="53"/>
      <c r="K950" s="52"/>
    </row>
    <row r="951">
      <c r="A951" s="17"/>
      <c r="B951" s="17"/>
      <c r="C951" s="51"/>
      <c r="D951" s="51"/>
      <c r="E951" s="51"/>
      <c r="F951" s="52"/>
      <c r="G951" s="52"/>
      <c r="H951" s="52"/>
      <c r="I951" s="52"/>
      <c r="J951" s="53"/>
      <c r="K951" s="52"/>
    </row>
    <row r="952">
      <c r="A952" s="17"/>
      <c r="B952" s="17"/>
      <c r="C952" s="51"/>
      <c r="D952" s="51"/>
      <c r="E952" s="51"/>
      <c r="F952" s="52"/>
      <c r="G952" s="52"/>
      <c r="H952" s="52"/>
      <c r="I952" s="52"/>
      <c r="J952" s="53"/>
      <c r="K952" s="52"/>
    </row>
    <row r="953">
      <c r="A953" s="17"/>
      <c r="B953" s="17"/>
      <c r="C953" s="51"/>
      <c r="D953" s="51"/>
      <c r="E953" s="51"/>
      <c r="F953" s="52"/>
      <c r="G953" s="52"/>
      <c r="H953" s="52"/>
      <c r="I953" s="52"/>
      <c r="J953" s="53"/>
      <c r="K953" s="52"/>
    </row>
    <row r="954">
      <c r="A954" s="17"/>
      <c r="B954" s="17"/>
      <c r="C954" s="51"/>
      <c r="D954" s="51"/>
      <c r="E954" s="51"/>
      <c r="F954" s="52"/>
      <c r="G954" s="52"/>
      <c r="H954" s="52"/>
      <c r="I954" s="52"/>
      <c r="J954" s="53"/>
      <c r="K954" s="52"/>
    </row>
    <row r="955">
      <c r="A955" s="17"/>
      <c r="B955" s="17"/>
      <c r="C955" s="51"/>
      <c r="D955" s="51"/>
      <c r="E955" s="51"/>
      <c r="F955" s="52"/>
      <c r="G955" s="52"/>
      <c r="H955" s="52"/>
      <c r="I955" s="52"/>
      <c r="J955" s="53"/>
      <c r="K955" s="52"/>
    </row>
    <row r="956">
      <c r="A956" s="17"/>
      <c r="B956" s="17"/>
      <c r="C956" s="51"/>
      <c r="D956" s="51"/>
      <c r="E956" s="51"/>
      <c r="F956" s="52"/>
      <c r="G956" s="52"/>
      <c r="H956" s="52"/>
      <c r="I956" s="52"/>
      <c r="J956" s="53"/>
      <c r="K956" s="52"/>
    </row>
    <row r="957">
      <c r="A957" s="17"/>
      <c r="B957" s="17"/>
      <c r="C957" s="51"/>
      <c r="D957" s="51"/>
      <c r="E957" s="51"/>
      <c r="F957" s="52"/>
      <c r="G957" s="52"/>
      <c r="H957" s="52"/>
      <c r="I957" s="52"/>
      <c r="J957" s="53"/>
      <c r="K957" s="52"/>
    </row>
    <row r="958">
      <c r="A958" s="17"/>
      <c r="B958" s="17"/>
      <c r="C958" s="51"/>
      <c r="D958" s="51"/>
      <c r="E958" s="51"/>
      <c r="F958" s="52"/>
      <c r="G958" s="52"/>
      <c r="H958" s="52"/>
      <c r="I958" s="52"/>
      <c r="J958" s="53"/>
      <c r="K958" s="52"/>
    </row>
    <row r="959">
      <c r="A959" s="17"/>
      <c r="B959" s="17"/>
      <c r="C959" s="51"/>
      <c r="D959" s="51"/>
      <c r="E959" s="51"/>
      <c r="F959" s="52"/>
      <c r="G959" s="52"/>
      <c r="H959" s="52"/>
      <c r="I959" s="52"/>
      <c r="J959" s="53"/>
      <c r="K959" s="52"/>
    </row>
    <row r="960">
      <c r="A960" s="17"/>
      <c r="B960" s="17"/>
      <c r="C960" s="51"/>
      <c r="D960" s="51"/>
      <c r="E960" s="51"/>
      <c r="F960" s="52"/>
      <c r="G960" s="52"/>
      <c r="H960" s="52"/>
      <c r="I960" s="52"/>
      <c r="J960" s="53"/>
      <c r="K960" s="52"/>
    </row>
    <row r="961">
      <c r="A961" s="17"/>
      <c r="B961" s="17"/>
      <c r="C961" s="51"/>
      <c r="D961" s="51"/>
      <c r="E961" s="51"/>
      <c r="F961" s="52"/>
      <c r="G961" s="52"/>
      <c r="H961" s="52"/>
      <c r="I961" s="52"/>
      <c r="J961" s="53"/>
      <c r="K961" s="52"/>
    </row>
    <row r="962">
      <c r="A962" s="17"/>
      <c r="B962" s="17"/>
      <c r="C962" s="51"/>
      <c r="D962" s="51"/>
      <c r="E962" s="51"/>
      <c r="F962" s="52"/>
      <c r="G962" s="52"/>
      <c r="H962" s="52"/>
      <c r="I962" s="52"/>
      <c r="J962" s="53"/>
      <c r="K962" s="52"/>
    </row>
    <row r="963">
      <c r="A963" s="17"/>
      <c r="B963" s="17"/>
      <c r="C963" s="51"/>
      <c r="D963" s="51"/>
      <c r="E963" s="51"/>
      <c r="F963" s="52"/>
      <c r="G963" s="52"/>
      <c r="H963" s="52"/>
      <c r="I963" s="52"/>
      <c r="J963" s="53"/>
      <c r="K963" s="52"/>
    </row>
    <row r="964">
      <c r="A964" s="17"/>
      <c r="B964" s="17"/>
      <c r="C964" s="51"/>
      <c r="D964" s="51"/>
      <c r="E964" s="51"/>
      <c r="F964" s="52"/>
      <c r="G964" s="52"/>
      <c r="H964" s="52"/>
      <c r="I964" s="52"/>
      <c r="J964" s="53"/>
      <c r="K964" s="52"/>
    </row>
    <row r="965">
      <c r="A965" s="17"/>
      <c r="B965" s="17"/>
      <c r="C965" s="51"/>
      <c r="D965" s="51"/>
      <c r="E965" s="51"/>
      <c r="F965" s="52"/>
      <c r="G965" s="52"/>
      <c r="H965" s="52"/>
      <c r="I965" s="52"/>
      <c r="J965" s="53"/>
      <c r="K965" s="52"/>
    </row>
    <row r="966">
      <c r="A966" s="17"/>
      <c r="B966" s="17"/>
      <c r="C966" s="51"/>
      <c r="D966" s="51"/>
      <c r="E966" s="51"/>
      <c r="F966" s="52"/>
      <c r="G966" s="52"/>
      <c r="H966" s="52"/>
      <c r="I966" s="52"/>
      <c r="J966" s="53"/>
      <c r="K966" s="52"/>
    </row>
    <row r="967">
      <c r="A967" s="17"/>
      <c r="B967" s="17"/>
      <c r="C967" s="51"/>
      <c r="D967" s="51"/>
      <c r="E967" s="51"/>
      <c r="F967" s="52"/>
      <c r="G967" s="52"/>
      <c r="H967" s="52"/>
      <c r="I967" s="52"/>
      <c r="J967" s="53"/>
      <c r="K967" s="52"/>
    </row>
    <row r="968">
      <c r="A968" s="17"/>
      <c r="B968" s="17"/>
      <c r="C968" s="51"/>
      <c r="D968" s="51"/>
      <c r="E968" s="51"/>
      <c r="F968" s="52"/>
      <c r="G968" s="52"/>
      <c r="H968" s="52"/>
      <c r="I968" s="52"/>
      <c r="J968" s="53"/>
      <c r="K968" s="52"/>
    </row>
    <row r="969">
      <c r="A969" s="17"/>
      <c r="B969" s="17"/>
      <c r="C969" s="51"/>
      <c r="D969" s="51"/>
      <c r="E969" s="51"/>
      <c r="F969" s="52"/>
      <c r="G969" s="52"/>
      <c r="H969" s="52"/>
      <c r="I969" s="52"/>
      <c r="J969" s="53"/>
      <c r="K969" s="52"/>
    </row>
    <row r="970">
      <c r="A970" s="17"/>
      <c r="B970" s="17"/>
      <c r="C970" s="51"/>
      <c r="D970" s="51"/>
      <c r="E970" s="51"/>
      <c r="F970" s="52"/>
      <c r="G970" s="52"/>
      <c r="H970" s="52"/>
      <c r="I970" s="52"/>
      <c r="J970" s="53"/>
      <c r="K970" s="52"/>
    </row>
    <row r="971">
      <c r="A971" s="17"/>
      <c r="B971" s="17"/>
      <c r="C971" s="51"/>
      <c r="D971" s="51"/>
      <c r="E971" s="51"/>
      <c r="F971" s="52"/>
      <c r="G971" s="52"/>
      <c r="H971" s="52"/>
      <c r="I971" s="52"/>
      <c r="J971" s="53"/>
      <c r="K971" s="52"/>
    </row>
    <row r="972">
      <c r="A972" s="17"/>
      <c r="B972" s="17"/>
      <c r="C972" s="51"/>
      <c r="D972" s="51"/>
      <c r="E972" s="51"/>
      <c r="F972" s="52"/>
      <c r="G972" s="52"/>
      <c r="H972" s="52"/>
      <c r="I972" s="52"/>
      <c r="J972" s="53"/>
      <c r="K972" s="52"/>
    </row>
    <row r="973">
      <c r="A973" s="17"/>
      <c r="B973" s="17"/>
      <c r="C973" s="51"/>
      <c r="D973" s="51"/>
      <c r="E973" s="51"/>
      <c r="F973" s="52"/>
      <c r="G973" s="52"/>
      <c r="H973" s="52"/>
      <c r="I973" s="52"/>
      <c r="J973" s="53"/>
      <c r="K973" s="52"/>
    </row>
    <row r="974">
      <c r="A974" s="17"/>
      <c r="B974" s="17"/>
      <c r="C974" s="51"/>
      <c r="D974" s="51"/>
      <c r="E974" s="51"/>
      <c r="F974" s="52"/>
      <c r="G974" s="52"/>
      <c r="H974" s="52"/>
      <c r="I974" s="52"/>
      <c r="J974" s="53"/>
      <c r="K974" s="52"/>
    </row>
    <row r="975">
      <c r="A975" s="17"/>
      <c r="B975" s="17"/>
      <c r="C975" s="51"/>
      <c r="D975" s="51"/>
      <c r="E975" s="51"/>
      <c r="F975" s="52"/>
      <c r="G975" s="52"/>
      <c r="H975" s="52"/>
      <c r="I975" s="52"/>
      <c r="J975" s="53"/>
      <c r="K975" s="52"/>
    </row>
    <row r="976">
      <c r="A976" s="17"/>
      <c r="B976" s="17"/>
      <c r="C976" s="51"/>
      <c r="D976" s="51"/>
      <c r="E976" s="51"/>
      <c r="F976" s="52"/>
      <c r="G976" s="52"/>
      <c r="H976" s="52"/>
      <c r="I976" s="52"/>
      <c r="J976" s="53"/>
      <c r="K976" s="52"/>
    </row>
    <row r="977">
      <c r="A977" s="17"/>
      <c r="B977" s="17"/>
      <c r="C977" s="51"/>
      <c r="D977" s="51"/>
      <c r="E977" s="51"/>
      <c r="F977" s="52"/>
      <c r="G977" s="52"/>
      <c r="H977" s="52"/>
      <c r="I977" s="52"/>
      <c r="J977" s="53"/>
      <c r="K977" s="52"/>
    </row>
    <row r="978">
      <c r="A978" s="17"/>
      <c r="B978" s="17"/>
      <c r="C978" s="51"/>
      <c r="D978" s="51"/>
      <c r="E978" s="51"/>
      <c r="F978" s="52"/>
      <c r="G978" s="52"/>
      <c r="H978" s="52"/>
      <c r="I978" s="52"/>
      <c r="J978" s="53"/>
      <c r="K978" s="52"/>
    </row>
    <row r="979">
      <c r="A979" s="17"/>
      <c r="B979" s="17"/>
      <c r="C979" s="51"/>
      <c r="D979" s="51"/>
      <c r="E979" s="51"/>
      <c r="F979" s="52"/>
      <c r="G979" s="52"/>
      <c r="H979" s="52"/>
      <c r="I979" s="52"/>
      <c r="J979" s="53"/>
      <c r="K979" s="52"/>
    </row>
    <row r="980">
      <c r="A980" s="17"/>
      <c r="B980" s="17"/>
      <c r="C980" s="51"/>
      <c r="D980" s="51"/>
      <c r="E980" s="51"/>
      <c r="F980" s="52"/>
      <c r="G980" s="52"/>
      <c r="H980" s="52"/>
      <c r="I980" s="52"/>
      <c r="J980" s="53"/>
      <c r="K980" s="52"/>
    </row>
    <row r="981">
      <c r="A981" s="17"/>
      <c r="B981" s="17"/>
      <c r="C981" s="51"/>
      <c r="D981" s="51"/>
      <c r="E981" s="51"/>
      <c r="F981" s="52"/>
      <c r="G981" s="52"/>
      <c r="H981" s="52"/>
      <c r="I981" s="52"/>
      <c r="J981" s="53"/>
      <c r="K981" s="52"/>
    </row>
    <row r="982">
      <c r="A982" s="17"/>
      <c r="B982" s="17"/>
      <c r="C982" s="51"/>
      <c r="D982" s="51"/>
      <c r="E982" s="51"/>
      <c r="F982" s="52"/>
      <c r="G982" s="52"/>
      <c r="H982" s="52"/>
      <c r="I982" s="52"/>
      <c r="J982" s="53"/>
      <c r="K982" s="52"/>
    </row>
    <row r="983">
      <c r="A983" s="17"/>
      <c r="B983" s="17"/>
      <c r="C983" s="51"/>
      <c r="D983" s="51"/>
      <c r="E983" s="51"/>
      <c r="F983" s="52"/>
      <c r="G983" s="52"/>
      <c r="H983" s="52"/>
      <c r="I983" s="52"/>
      <c r="J983" s="53"/>
      <c r="K983" s="52"/>
    </row>
    <row r="984">
      <c r="A984" s="17"/>
      <c r="B984" s="17"/>
      <c r="C984" s="51"/>
      <c r="D984" s="51"/>
      <c r="E984" s="51"/>
      <c r="F984" s="52"/>
      <c r="G984" s="52"/>
      <c r="H984" s="52"/>
      <c r="I984" s="52"/>
      <c r="J984" s="53"/>
      <c r="K984" s="52"/>
    </row>
    <row r="985">
      <c r="A985" s="17"/>
      <c r="B985" s="17"/>
      <c r="C985" s="51"/>
      <c r="D985" s="51"/>
      <c r="E985" s="51"/>
      <c r="F985" s="52"/>
      <c r="G985" s="52"/>
      <c r="H985" s="52"/>
      <c r="I985" s="52"/>
      <c r="J985" s="53"/>
      <c r="K985" s="52"/>
    </row>
    <row r="986">
      <c r="A986" s="17"/>
      <c r="B986" s="17"/>
      <c r="C986" s="51"/>
      <c r="D986" s="51"/>
      <c r="E986" s="51"/>
      <c r="F986" s="52"/>
      <c r="G986" s="52"/>
      <c r="H986" s="52"/>
      <c r="I986" s="52"/>
      <c r="J986" s="53"/>
      <c r="K986" s="52"/>
    </row>
    <row r="987">
      <c r="A987" s="17"/>
      <c r="B987" s="17"/>
      <c r="C987" s="51"/>
      <c r="D987" s="51"/>
      <c r="E987" s="51"/>
      <c r="F987" s="52"/>
      <c r="G987" s="52"/>
      <c r="H987" s="52"/>
      <c r="I987" s="52"/>
      <c r="J987" s="53"/>
      <c r="K987" s="52"/>
    </row>
    <row r="988">
      <c r="A988" s="17"/>
      <c r="B988" s="17"/>
      <c r="C988" s="51"/>
      <c r="D988" s="51"/>
      <c r="E988" s="51"/>
      <c r="F988" s="52"/>
      <c r="G988" s="52"/>
      <c r="H988" s="52"/>
      <c r="I988" s="52"/>
      <c r="J988" s="53"/>
      <c r="K988" s="52"/>
    </row>
    <row r="989">
      <c r="A989" s="17"/>
      <c r="B989" s="17"/>
      <c r="C989" s="51"/>
      <c r="D989" s="51"/>
      <c r="E989" s="51"/>
      <c r="F989" s="52"/>
      <c r="G989" s="52"/>
      <c r="H989" s="52"/>
      <c r="I989" s="52"/>
      <c r="J989" s="53"/>
      <c r="K989" s="52"/>
    </row>
    <row r="990">
      <c r="A990" s="17"/>
      <c r="B990" s="17"/>
      <c r="C990" s="51"/>
      <c r="D990" s="51"/>
      <c r="E990" s="51"/>
      <c r="F990" s="52"/>
      <c r="G990" s="52"/>
      <c r="H990" s="52"/>
      <c r="I990" s="52"/>
      <c r="J990" s="53"/>
      <c r="K990" s="52"/>
    </row>
    <row r="991">
      <c r="A991" s="17"/>
      <c r="B991" s="17"/>
      <c r="C991" s="51"/>
      <c r="D991" s="51"/>
      <c r="E991" s="51"/>
      <c r="F991" s="52"/>
      <c r="G991" s="52"/>
      <c r="H991" s="52"/>
      <c r="I991" s="52"/>
      <c r="J991" s="53"/>
      <c r="K991" s="52"/>
    </row>
    <row r="992">
      <c r="A992" s="17"/>
      <c r="B992" s="17"/>
      <c r="C992" s="51"/>
      <c r="D992" s="51"/>
      <c r="E992" s="51"/>
      <c r="F992" s="52"/>
      <c r="G992" s="52"/>
      <c r="H992" s="52"/>
      <c r="I992" s="52"/>
      <c r="J992" s="53"/>
      <c r="K992" s="52"/>
    </row>
    <row r="993">
      <c r="A993" s="17"/>
      <c r="B993" s="17"/>
      <c r="C993" s="51"/>
      <c r="D993" s="51"/>
      <c r="E993" s="51"/>
      <c r="F993" s="52"/>
      <c r="G993" s="52"/>
      <c r="H993" s="52"/>
      <c r="I993" s="52"/>
      <c r="J993" s="53"/>
      <c r="K993" s="52"/>
    </row>
    <row r="994">
      <c r="A994" s="17"/>
      <c r="B994" s="17"/>
      <c r="C994" s="51"/>
      <c r="D994" s="51"/>
      <c r="E994" s="51"/>
      <c r="F994" s="52"/>
      <c r="G994" s="52"/>
      <c r="H994" s="52"/>
      <c r="I994" s="52"/>
      <c r="J994" s="53"/>
      <c r="K994" s="52"/>
    </row>
    <row r="995">
      <c r="A995" s="17"/>
      <c r="B995" s="17"/>
      <c r="C995" s="51"/>
      <c r="D995" s="51"/>
      <c r="E995" s="51"/>
      <c r="F995" s="52"/>
      <c r="G995" s="52"/>
      <c r="H995" s="52"/>
      <c r="I995" s="52"/>
      <c r="J995" s="53"/>
      <c r="K995" s="52"/>
    </row>
    <row r="996">
      <c r="A996" s="17"/>
      <c r="B996" s="17"/>
      <c r="C996" s="51"/>
      <c r="D996" s="51"/>
      <c r="E996" s="51"/>
      <c r="F996" s="52"/>
      <c r="G996" s="52"/>
      <c r="H996" s="52"/>
      <c r="I996" s="52"/>
      <c r="J996" s="53"/>
      <c r="K996" s="52"/>
    </row>
    <row r="997">
      <c r="A997" s="17"/>
      <c r="B997" s="17"/>
      <c r="C997" s="51"/>
      <c r="D997" s="51"/>
      <c r="E997" s="51"/>
      <c r="F997" s="52"/>
      <c r="G997" s="52"/>
      <c r="H997" s="52"/>
      <c r="I997" s="52"/>
      <c r="J997" s="53"/>
      <c r="K997" s="52"/>
    </row>
    <row r="998">
      <c r="A998" s="17"/>
      <c r="B998" s="17"/>
      <c r="C998" s="51"/>
      <c r="D998" s="51"/>
      <c r="E998" s="51"/>
      <c r="F998" s="52"/>
      <c r="G998" s="52"/>
      <c r="H998" s="52"/>
      <c r="I998" s="52"/>
      <c r="J998" s="53"/>
      <c r="K998" s="52"/>
    </row>
    <row r="999">
      <c r="A999" s="17"/>
      <c r="B999" s="17"/>
      <c r="C999" s="51"/>
      <c r="D999" s="51"/>
      <c r="E999" s="51"/>
      <c r="F999" s="52"/>
      <c r="G999" s="52"/>
      <c r="H999" s="52"/>
      <c r="I999" s="52"/>
      <c r="J999" s="53"/>
      <c r="K999" s="52"/>
    </row>
    <row r="1000">
      <c r="A1000" s="17"/>
      <c r="B1000" s="17"/>
      <c r="C1000" s="51"/>
      <c r="D1000" s="51"/>
      <c r="E1000" s="51"/>
      <c r="F1000" s="52"/>
      <c r="G1000" s="52"/>
      <c r="H1000" s="52"/>
      <c r="I1000" s="52"/>
      <c r="J1000" s="53"/>
      <c r="K1000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88"/>
  </cols>
  <sheetData>
    <row r="1">
      <c r="A1" s="17"/>
      <c r="B1" s="17"/>
      <c r="C1" s="17"/>
      <c r="D1" s="17"/>
      <c r="E1" s="17"/>
      <c r="F1" s="51"/>
      <c r="G1" s="17"/>
      <c r="H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3" t="s">
        <v>144</v>
      </c>
      <c r="C2" s="17"/>
      <c r="D2" s="17"/>
      <c r="E2" s="17"/>
      <c r="F2" s="70" t="s">
        <v>145</v>
      </c>
      <c r="G2" s="71" t="s">
        <v>146</v>
      </c>
      <c r="H2" s="71" t="s">
        <v>147</v>
      </c>
      <c r="I2" s="71" t="s">
        <v>148</v>
      </c>
      <c r="K2" s="71" t="s">
        <v>149</v>
      </c>
      <c r="L2" s="72" t="s">
        <v>150</v>
      </c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7"/>
      <c r="B3" s="17"/>
      <c r="C3" s="72">
        <v>3.0</v>
      </c>
      <c r="D3" s="72" t="s">
        <v>151</v>
      </c>
      <c r="E3" s="72" t="b">
        <v>1</v>
      </c>
      <c r="F3" s="14">
        <v>14.0</v>
      </c>
      <c r="G3" s="51">
        <f t="shared" ref="G3:G4" si="1">F3*C3</f>
        <v>42</v>
      </c>
      <c r="H3" s="17"/>
      <c r="I3" s="73">
        <f t="shared" ref="I3:I4" si="2">G3</f>
        <v>42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7"/>
      <c r="B4" s="17"/>
      <c r="C4" s="72">
        <v>1.0</v>
      </c>
      <c r="D4" s="72" t="s">
        <v>152</v>
      </c>
      <c r="E4" s="72" t="b">
        <v>1</v>
      </c>
      <c r="F4" s="14">
        <v>80.44</v>
      </c>
      <c r="G4" s="51">
        <f t="shared" si="1"/>
        <v>80.44</v>
      </c>
      <c r="H4" s="17"/>
      <c r="I4" s="73">
        <f t="shared" si="2"/>
        <v>80.44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7"/>
      <c r="B5" s="17"/>
      <c r="C5" s="17"/>
      <c r="D5" s="17"/>
      <c r="E5" s="17"/>
      <c r="F5" s="51"/>
      <c r="G5" s="17"/>
      <c r="H5" s="17"/>
      <c r="I5" s="74">
        <f>sum(I3:I4)</f>
        <v>122.44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7"/>
      <c r="B6" s="3" t="s">
        <v>153</v>
      </c>
      <c r="C6" s="17"/>
      <c r="D6" s="17"/>
      <c r="E6" s="17"/>
      <c r="F6" s="51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72">
        <v>1.0</v>
      </c>
      <c r="D7" s="72" t="s">
        <v>156</v>
      </c>
      <c r="E7" s="72" t="b">
        <v>1</v>
      </c>
      <c r="F7" s="14">
        <v>315.99</v>
      </c>
      <c r="G7" s="51">
        <f>F7*C7</f>
        <v>315.99</v>
      </c>
      <c r="H7" s="51">
        <f>(G7*10%)+G7</f>
        <v>347.589</v>
      </c>
      <c r="I7" s="73">
        <f>(H7*6%)+H7</f>
        <v>368.44434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51"/>
      <c r="G8" s="17"/>
      <c r="H8" s="17"/>
      <c r="I8" s="74">
        <f>sum(I7)</f>
        <v>368.44434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3" t="s">
        <v>158</v>
      </c>
      <c r="C9" s="17"/>
      <c r="D9" s="17"/>
      <c r="E9" s="17"/>
      <c r="F9" s="51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72">
        <v>2.0</v>
      </c>
      <c r="D10" s="72" t="s">
        <v>159</v>
      </c>
      <c r="E10" s="72" t="b">
        <v>1</v>
      </c>
      <c r="F10" s="14">
        <v>10.09</v>
      </c>
      <c r="G10" s="51">
        <f t="shared" ref="G10:G12" si="3">F10*C10</f>
        <v>20.18</v>
      </c>
      <c r="H10" s="51">
        <f t="shared" ref="H10:H12" si="4">(G10*10%)+G10</f>
        <v>22.198</v>
      </c>
      <c r="I10" s="73">
        <f t="shared" ref="I10:I12" si="5">(H10*6%)+H10</f>
        <v>23.52988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72">
        <v>1.0</v>
      </c>
      <c r="D11" s="72" t="s">
        <v>161</v>
      </c>
      <c r="E11" s="72" t="b">
        <v>1</v>
      </c>
      <c r="F11" s="14">
        <v>10.74</v>
      </c>
      <c r="G11" s="51">
        <f t="shared" si="3"/>
        <v>10.74</v>
      </c>
      <c r="H11" s="51">
        <f t="shared" si="4"/>
        <v>11.814</v>
      </c>
      <c r="I11" s="73">
        <f t="shared" si="5"/>
        <v>12.52284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72">
        <v>1.0</v>
      </c>
      <c r="D12" s="72" t="s">
        <v>162</v>
      </c>
      <c r="E12" s="72" t="b">
        <v>1</v>
      </c>
      <c r="F12" s="14">
        <v>315.99</v>
      </c>
      <c r="G12" s="51">
        <f t="shared" si="3"/>
        <v>315.99</v>
      </c>
      <c r="H12" s="51">
        <f t="shared" si="4"/>
        <v>347.589</v>
      </c>
      <c r="I12" s="73">
        <f t="shared" si="5"/>
        <v>368.44434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51"/>
      <c r="G13" s="17"/>
      <c r="H13" s="17"/>
      <c r="I13" s="74">
        <f>sum(I10:I12)</f>
        <v>404.49706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51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72" t="s">
        <v>165</v>
      </c>
      <c r="C15" s="17"/>
      <c r="D15" s="17"/>
      <c r="E15" s="17"/>
      <c r="F15" s="5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72">
        <v>3.0</v>
      </c>
      <c r="D16" s="72" t="s">
        <v>151</v>
      </c>
      <c r="E16" s="72" t="b">
        <v>1</v>
      </c>
      <c r="F16" s="14">
        <v>14.0</v>
      </c>
      <c r="G16" s="51">
        <f t="shared" ref="G16:G18" si="6">F16*C16</f>
        <v>42</v>
      </c>
      <c r="H16" s="17"/>
      <c r="I16" s="73">
        <f t="shared" ref="I16:I18" si="7">G16</f>
        <v>42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72">
        <v>2.0</v>
      </c>
      <c r="D17" s="72" t="s">
        <v>166</v>
      </c>
      <c r="E17" s="72" t="b">
        <v>1</v>
      </c>
      <c r="F17" s="14">
        <v>15.47</v>
      </c>
      <c r="G17" s="51">
        <f t="shared" si="6"/>
        <v>30.94</v>
      </c>
      <c r="H17" s="17"/>
      <c r="I17" s="73">
        <f t="shared" si="7"/>
        <v>30.94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72">
        <v>1.0</v>
      </c>
      <c r="D18" s="72" t="s">
        <v>167</v>
      </c>
      <c r="E18" s="72" t="b">
        <v>1</v>
      </c>
      <c r="F18" s="14">
        <v>10.92</v>
      </c>
      <c r="G18" s="51">
        <f t="shared" si="6"/>
        <v>10.92</v>
      </c>
      <c r="H18" s="17"/>
      <c r="I18" s="73">
        <f t="shared" si="7"/>
        <v>10.92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51"/>
      <c r="G19" s="17"/>
      <c r="H19" s="17"/>
      <c r="I19" s="74">
        <f>sum(I16:I18)</f>
        <v>83.86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5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51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72" t="s">
        <v>168</v>
      </c>
      <c r="C22" s="17"/>
      <c r="D22" s="17"/>
      <c r="E22" s="17"/>
      <c r="F22" s="5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72">
        <v>1.0</v>
      </c>
      <c r="D23" s="72" t="s">
        <v>163</v>
      </c>
      <c r="E23" s="72" t="b">
        <v>1</v>
      </c>
      <c r="F23" s="14">
        <v>132.3</v>
      </c>
      <c r="G23" s="51">
        <f>F23*C23</f>
        <v>132.3</v>
      </c>
      <c r="H23" s="51">
        <f>(G23*10%)+G23</f>
        <v>145.53</v>
      </c>
      <c r="I23" s="73">
        <f>G23</f>
        <v>132.3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5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51"/>
      <c r="G25" s="17"/>
      <c r="H25" s="17"/>
      <c r="I25" s="74">
        <f>sum(I23:I24)</f>
        <v>132.3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5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51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72" t="s">
        <v>171</v>
      </c>
      <c r="B28" s="17"/>
      <c r="C28" s="17"/>
      <c r="D28" s="17"/>
      <c r="E28" s="17"/>
      <c r="F28" s="51">
        <f t="shared" ref="F28:G28" si="8">sum(F3:F26)</f>
        <v>919.94</v>
      </c>
      <c r="G28" s="51">
        <f t="shared" si="8"/>
        <v>1001.5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51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51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51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51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51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51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51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51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51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51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51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51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51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51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51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51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51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51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5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5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51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51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51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51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51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51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5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51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51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51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51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51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51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51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5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5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51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51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51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51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51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51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51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51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51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51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51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51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51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51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51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51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51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5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51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51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51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51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51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51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5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5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5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51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51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51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5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51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51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51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51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51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51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51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51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51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51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51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51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51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51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51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51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51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51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51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51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51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51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51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51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51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51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51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51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51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51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51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51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51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51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51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51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51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51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51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51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51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51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51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51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51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51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51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51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51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51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51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51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51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51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51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51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51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51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51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51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51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51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51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51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51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51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51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51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51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51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51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51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51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51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51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51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51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51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51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51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51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51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51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51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51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51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51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51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51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51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51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51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51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51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51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51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51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51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51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51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51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51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51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51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51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51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51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51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51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51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51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51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51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51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51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51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51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51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51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51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51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51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51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51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51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51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51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51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51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51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51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51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51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51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51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51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51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51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51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51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51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51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51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51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51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51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51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51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51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51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51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51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51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51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51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51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51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51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51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51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51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51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51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51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51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51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51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51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51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51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51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51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51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51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51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51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51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51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51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51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51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51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51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51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51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51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51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51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51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51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51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51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51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51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5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51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51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51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51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51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51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51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51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51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51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51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51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51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51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51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51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51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51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51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51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51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51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51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51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51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51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51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51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51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51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51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51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51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51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51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51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51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51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51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51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51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51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51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51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51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51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51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51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51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51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51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51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51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51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51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51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51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51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51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51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51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51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51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51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51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51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51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51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51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51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51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51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51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51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51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51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51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51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51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51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51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51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51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51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51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51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51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51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51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51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51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51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51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51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51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51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51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51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51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51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51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51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51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51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51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51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51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51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51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51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51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51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51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51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51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51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51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51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51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51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51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51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51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51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51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51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51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51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51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51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51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51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51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51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51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51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51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51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51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51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51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51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51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51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51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51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51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51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51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51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51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51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51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51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51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51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51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51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51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51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51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51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51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51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51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51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51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51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51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51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51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51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51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51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51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51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51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51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51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51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51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51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51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51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51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51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51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51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51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51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51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51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51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51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51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51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51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51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51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51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51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51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51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51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51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51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51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51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51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51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51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51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51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51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51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51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51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51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51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51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51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51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51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51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51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51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51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51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51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51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51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51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51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51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51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51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51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51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51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51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51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51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51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51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51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51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51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51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51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51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51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51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51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51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51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51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51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51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51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51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51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51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51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51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51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51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51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51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51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51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51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51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51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51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51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51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51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51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51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51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51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51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51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51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51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51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51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51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51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51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51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51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51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51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51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51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51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51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51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51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51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51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51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51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51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51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51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51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51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51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51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51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51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51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51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51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51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51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51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51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51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51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51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51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51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51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51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51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51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51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51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51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51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51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51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51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51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51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51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51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51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51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51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51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51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51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51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51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51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51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51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51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51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51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51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51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51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51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51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51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51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51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51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51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51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51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51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51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51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51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51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51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51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51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51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51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51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51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51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51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51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51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51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51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51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51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51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51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51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51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51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51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51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51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51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51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51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51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51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51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51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51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51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51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51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51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51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51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51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51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51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51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51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51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51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51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51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51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51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51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51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51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51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51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51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51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51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51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51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51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51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51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51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51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51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51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51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51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51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51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51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51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51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51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51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51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51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51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51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51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51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51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51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51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51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51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51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51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51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51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51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51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51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51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51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51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51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51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51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51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51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51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51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51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51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51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51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51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51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51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51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51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51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51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51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51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51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51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51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51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51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51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51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51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51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51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51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51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51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51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51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51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51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51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51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51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51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51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51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51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51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51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51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51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51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51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51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51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51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51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51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51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51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51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51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51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51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51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51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51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51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51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51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51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51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51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51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51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51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51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51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51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51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51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51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51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51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51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51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51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51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51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51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51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51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51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51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51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51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51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51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51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51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51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51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51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51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51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51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51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51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51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51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51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51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51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51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51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51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51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51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51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51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51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51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51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51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51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51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51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51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51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51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51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51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51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51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51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51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51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51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51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51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51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51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51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51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51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51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51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51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51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51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51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51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51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51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51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51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51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51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51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51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51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51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51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51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51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51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51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51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51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51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51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51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51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51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51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51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51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51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51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51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51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51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51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51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51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51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51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51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51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51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51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51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51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51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51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51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51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51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51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51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51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51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51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51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51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51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51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51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51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51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51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51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51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51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51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51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51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51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51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51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51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51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51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51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51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51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51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51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51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51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51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51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51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51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51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51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51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51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51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51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51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51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51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51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51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51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51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51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51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51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51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51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51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51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51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</sheetData>
  <drawing r:id="rId1"/>
</worksheet>
</file>